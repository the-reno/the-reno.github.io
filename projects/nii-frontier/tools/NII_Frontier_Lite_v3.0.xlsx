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YYYY-MM-DD"/>
    <numFmt numFmtId="166" formatCode="#,##0.00;(#,##0.00)"/>
    <numFmt numFmtId="167" formatCode="#,##0.0;(#,##0.0)"/>
    <numFmt numFmtId="168" formatCode="0;-0;&quot;-&quot;"/>
    <numFmt numFmtId="169" formatCode="0.0%"/>
    <numFmt numFmtId="170" formatCode="MMM-YY"/>
    <numFmt numFmtId="171" formatCode="0.0000"/>
    <numFmt numFmtId="172" formatCode="0.000000"/>
    <numFmt numFmtId="173" formatCode="0.00000"/>
    <numFmt numFmtId="17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9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b val="1"/>
      <color rgb="001F3864"/>
    </font>
    <font>
      <name val="Arial"/>
      <b val="1"/>
      <color rgb="0000610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6" fontId="5" fillId="0" borderId="0" pivotButton="0" quotePrefix="0" xfId="0"/>
    <xf numFmtId="165" fontId="4" fillId="3" borderId="0" pivotButton="0" quotePrefix="0" xfId="0"/>
    <xf numFmtId="168" fontId="5" fillId="0" borderId="0" applyAlignment="1" pivotButton="0" quotePrefix="0" xfId="0">
      <alignment horizontal="center"/>
    </xf>
    <xf numFmtId="167" fontId="7" fillId="0" borderId="0" pivotButton="0" quotePrefix="0" xfId="0"/>
    <xf numFmtId="170" fontId="4" fillId="3" borderId="0" pivotButton="0" quotePrefix="0" xfId="0"/>
    <xf numFmtId="174" fontId="4" fillId="3" borderId="0" pivotButton="0" quotePrefix="0" xfId="0"/>
    <xf numFmtId="174" fontId="7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7" fillId="0" borderId="0" pivotButton="0" quotePrefix="0" xfId="0"/>
    <xf numFmtId="1" fontId="4" fillId="3" borderId="0" pivotButton="0" quotePrefix="0" xfId="0"/>
    <xf numFmtId="167" fontId="4" fillId="3" borderId="0" pivotButton="0" quotePrefix="0" xfId="0"/>
    <xf numFmtId="166" fontId="4" fillId="3" borderId="0" pivotButton="0" quotePrefix="0" xfId="0"/>
    <xf numFmtId="0" fontId="3" fillId="2" borderId="0" pivotButton="0" quotePrefix="0" xfId="0"/>
    <xf numFmtId="1" fontId="7" fillId="0" borderId="0" pivotButton="0" quotePrefix="0" xfId="0"/>
    <xf numFmtId="2" fontId="5" fillId="0" borderId="0" applyAlignment="1" pivotButton="0" quotePrefix="0" xfId="0">
      <alignment horizontal="center"/>
    </xf>
    <xf numFmtId="169" fontId="5" fillId="0" borderId="0" applyAlignment="1" pivotButton="0" quotePrefix="0" xfId="0">
      <alignment horizontal="center"/>
    </xf>
    <xf numFmtId="0" fontId="8" fillId="2" borderId="0" pivotButton="0" quotePrefix="0" xfId="0"/>
    <xf numFmtId="0" fontId="6" fillId="4" borderId="0" pivotButton="0" quotePrefix="0" xfId="0"/>
    <xf numFmtId="0" fontId="4" fillId="3" borderId="0" pivotButton="0" quotePrefix="0" xfId="0"/>
    <xf numFmtId="171" fontId="4" fillId="3" borderId="0" pivotButton="0" quotePrefix="0" xfId="0"/>
    <xf numFmtId="172" fontId="4" fillId="3" borderId="0" pivotButton="0" quotePrefix="0" xfId="0"/>
    <xf numFmtId="173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SOFR step paths (%)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'MODEL'!D45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'MODEL'!$D$46:$D$69</f>
            </numRef>
          </val>
          <smooth val="0"/>
        </ser>
        <ser>
          <idx val="1"/>
          <order val="1"/>
          <tx>
            <strRef>
              <f>'MODEL'!K45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'MODEL'!$K$46:$K$69</f>
            </numRef>
          </val>
          <smooth val="0"/>
        </ser>
        <ser>
          <idx val="2"/>
          <order val="2"/>
          <tx>
            <strRef>
              <f>'MODEL'!R45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'MODEL'!$R$46:$R$69</f>
            </numRef>
          </val>
          <smooth val="0"/>
        </ser>
        <ser>
          <idx val="3"/>
          <order val="3"/>
          <tx>
            <strRef>
              <f>'MODEL'!Y45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'MODEL'!$Y$46:$Y$69</f>
            </numRef>
          </val>
          <smooth val="0"/>
        </ser>
        <ser>
          <idx val="4"/>
          <order val="4"/>
          <tx>
            <strRef>
              <f>'MODEL'!AF45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'MODEL'!$AF$46:$AF$69</f>
            </numRef>
          </val>
          <smooth val="0"/>
        </ser>
        <ser>
          <idx val="5"/>
          <order val="5"/>
          <tx>
            <strRef>
              <f>'MODEL'!AM45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'MODEL'!$A$46:$A$69</f>
            </numRef>
          </cat>
          <val>
            <numRef>
              <f>'MODEL'!$AM$46:$AM$69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Convergence: NII vs IRS notional %</a:t>
            </a:r>
          </a:p>
        </rich>
      </tx>
    </title>
    <plotArea>
      <lineChart>
        <grouping val="standard"/>
        <ser>
          <idx val="0"/>
          <order val="0"/>
          <tx>
            <strRef>
              <f>'MODEL'!Q18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'MODEL'!$P$19:$P$29</f>
            </numRef>
          </cat>
          <val>
            <numRef>
              <f>'MODEL'!$Q$19:$Q$29</f>
            </numRef>
          </val>
          <smooth val="0"/>
        </ser>
        <ser>
          <idx val="1"/>
          <order val="1"/>
          <tx>
            <strRef>
              <f>'MODEL'!R18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'MODEL'!$P$19:$P$29</f>
            </numRef>
          </cat>
          <val>
            <numRef>
              <f>'MODEL'!$R$19:$R$29</f>
            </numRef>
          </val>
          <smooth val="0"/>
        </ser>
        <ser>
          <idx val="2"/>
          <order val="2"/>
          <tx>
            <strRef>
              <f>'MODEL'!S18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'MODEL'!$P$19:$P$29</f>
            </numRef>
          </cat>
          <val>
            <numRef>
              <f>'MODEL'!$S$19:$S$29</f>
            </numRef>
          </val>
          <smooth val="0"/>
        </ser>
        <ser>
          <idx val="3"/>
          <order val="3"/>
          <tx>
            <strRef>
              <f>'MODEL'!T18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'MODEL'!$P$19:$P$29</f>
            </numRef>
          </cat>
          <val>
            <numRef>
              <f>'MODEL'!$T$19:$T$29</f>
            </numRef>
          </val>
          <smooth val="0"/>
        </ser>
        <ser>
          <idx val="4"/>
          <order val="4"/>
          <tx>
            <strRef>
              <f>'MODEL'!U18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'MODEL'!$P$19:$P$29</f>
            </numRef>
          </cat>
          <val>
            <numRef>
              <f>'MODEL'!$U$19:$U$29</f>
            </numRef>
          </val>
          <smooth val="0"/>
        </ser>
        <ser>
          <idx val="5"/>
          <order val="5"/>
          <tx>
            <strRef>
              <f>'MODEL'!V18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'MODEL'!$P$19:$P$29</f>
            </numRef>
          </cat>
          <val>
            <numRef>
              <f>'MODEL'!$V$19:$V$29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Cashflow composition (selected scenario)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'MODEL'!Z5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'MODEL'!$Y$6:$Y$29</f>
            </numRef>
          </cat>
          <val>
            <numRef>
              <f>'MODEL'!$Z$6:$Z$29</f>
            </numRef>
          </val>
        </ser>
        <ser>
          <idx val="1"/>
          <order val="1"/>
          <tx>
            <strRef>
              <f>'MODEL'!AA5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'MODEL'!$Y$6:$Y$29</f>
            </numRef>
          </cat>
          <val>
            <numRef>
              <f>'MODEL'!$AA$6:$AA$29</f>
            </numRef>
          </val>
        </ser>
        <ser>
          <idx val="2"/>
          <order val="2"/>
          <tx>
            <strRef>
              <f>'MODEL'!AB5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'MODEL'!$Y$6:$Y$29</f>
            </numRef>
          </cat>
          <val>
            <numRef>
              <f>'MODEL'!$AB$6:$AB$29</f>
            </numRef>
          </val>
        </ser>
        <ser>
          <idx val="3"/>
          <order val="3"/>
          <tx>
            <strRef>
              <f>'MODEL'!AC5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'MODEL'!$Y$6:$Y$29</f>
            </numRef>
          </cat>
          <val>
            <numRef>
              <f>'MODEL'!$AC$6:$AC$29</f>
            </numRef>
          </val>
        </ser>
        <ser>
          <idx val="4"/>
          <order val="4"/>
          <tx>
            <strRef>
              <f>'MODEL'!AD5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'MODEL'!$Y$6:$Y$29</f>
            </numRef>
          </cat>
          <val>
            <numRef>
              <f>'MODEL'!$AD$6:$AD$29</f>
            </numRef>
          </val>
        </ser>
        <ser>
          <idx val="5"/>
          <order val="5"/>
          <tx>
            <strRef>
              <f>'MODEL'!AE5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'MODEL'!$Y$6:$Y$29</f>
            </numRef>
          </cat>
          <val>
            <numRef>
              <f>'MODEL'!$AE$6:$AE$29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NII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'MODEL'!AF5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'MODEL'!$Y$6:$Y$29</f>
            </numRef>
          </cat>
          <val>
            <numRef>
              <f>'MODEL'!$AF$6:$AF$29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RONIN</author>
  </authors>
  <commentList>
    <comment ref="AB4" authorId="0" shapeId="0">
      <text>
        <t>IMPACT: Pick which scenario the composition table and charts below display.</t>
      </text>
    </comment>
    <comment ref="B5" authorId="0" shapeId="0">
      <text>
        <t>IMPACT: Anchors the 24-month grid. Every date-driven calc (rate steps, bond drop-offs, rolls) shifts with it.</t>
      </text>
    </comment>
    <comment ref="H5" authorId="0" shapeId="0">
      <text>
        <t>IMPACT: Scenario name - flows through every output header and the charts.</t>
      </text>
    </comment>
    <comment ref="I5" authorId="0" shapeId="0">
      <text>
        <t>IMPACT: Scenario name - flows through every output header and the charts.</t>
      </text>
    </comment>
    <comment ref="J5" authorId="0" shapeId="0">
      <text>
        <t>IMPACT: Scenario name - flows through every output header and the charts.</t>
      </text>
    </comment>
    <comment ref="K5" authorId="0" shapeId="0">
      <text>
        <t>IMPACT: Scenario name - flows through every output header and the charts.</t>
      </text>
    </comment>
    <comment ref="L5" authorId="0" shapeId="0">
      <text>
        <t>IMPACT: Scenario name - flows through every output header and the charts.</t>
      </text>
    </comment>
    <comment ref="M5" authorId="0" shapeId="0">
      <text>
        <t>IMPACT: Scenario name - flows through every output header and the charts.</t>
      </text>
    </comment>
    <comment ref="B6" authorId="0" shapeId="0">
      <text>
        <t>IMPACT: Day-0 rate. Sets the level of all scenario paths and the floating legs; shifts all NII roughly in parallel.</t>
      </text>
    </comment>
    <comment ref="F6" authorId="0" shapeId="0">
      <text>
        <t>IMPACT: FOMC decision date. The move becomes effective the next day. Blank = row ignored.</t>
      </text>
    </comment>
    <comment ref="H6" authorId="0" shapeId="0">
      <text>
        <t>IMPACT: Move in bps at this meeting under this scenario. Cumulative sum builds the rate path.</t>
      </text>
    </comment>
    <comment ref="B7" authorId="0" shapeId="0">
      <text>
        <t>IMPACT: Scales deposit income and the IRS notional (which is % of this). Bigger cash = bigger rate sensitivity.</t>
      </text>
    </comment>
    <comment ref="B8" authorId="0" shapeId="0">
      <text>
        <t>IMPACT: Pass-through of SOFR moves to deposit rates. 1.0 = full; lower beta dampens scenario differences on the cash side.</t>
      </text>
    </comment>
    <comment ref="B9" authorId="0" shapeId="0">
      <text>
        <t>IMPACT: Liquidity floor held overnight. Raising it shortens the book: faster repricing, more exposure to cuts.</t>
      </text>
    </comment>
    <comment ref="B10" authorId="0" shapeId="0">
      <text>
        <t>IMPACT: RCV fixed gains when rates fall (hedges this asset-sensitive book). PAY does the opposite.</t>
      </text>
    </comment>
    <comment ref="B11" authorId="0" shapeId="0">
      <text>
        <t>IMPACT: The traded mid. Its gap to the scenario-fair rate (output) is the carry cost/benefit of hedging - it shapes everything.</t>
      </text>
    </comment>
    <comment ref="B12" authorId="0" shapeId="0">
      <text>
        <t>IMPACT: Added to SOFR on the floating leg. Positive spread makes receive-fixed less attractive bp-for-bp.</t>
      </text>
    </comment>
    <comment ref="B13" authorId="0" shapeId="0">
      <text>
        <t>IMPACT: The hedge ratio. 0% = full scenario dispersion; ~90-100% pins NII near the fixed rate. See the cone chart.</t>
      </text>
    </comment>
    <comment ref="B17" authorId="0" shapeId="0">
      <text>
        <t>IMPACT: Overnight balance: reprices daily, first hurt by cuts, first helped by hikes.</t>
      </text>
    </comment>
    <comment ref="C17" authorId="0" shapeId="0">
      <text>
        <t>IMPACT: Margin over SOFR earned in this bucket. Raising a spread pulls allocation value toward that tenor in every scenario.</t>
      </text>
    </comment>
    <comment ref="B18" authorId="0" shapeId="0">
      <text>
        <t>IMPACT: 1M rolling: ~1 month repricing lag.</t>
      </text>
    </comment>
    <comment ref="C18" authorId="0" shapeId="0">
      <text>
        <t>IMPACT: Margin over SOFR earned in this bucket. Raising a spread pulls allocation value toward that tenor in every scenario.</t>
      </text>
    </comment>
    <comment ref="B19" authorId="0" shapeId="0">
      <text>
        <t>IMPACT: 2M rolling: ~2 month lag, smoother income.</t>
      </text>
    </comment>
    <comment ref="C19" authorId="0" shapeId="0">
      <text>
        <t>IMPACT: Margin over SOFR earned in this bucket. Raising a spread pulls allocation value toward that tenor in every scenario.</t>
      </text>
    </comment>
    <comment ref="B20" authorId="0" shapeId="0">
      <text>
        <t>IMPACT: 3M rolling: slowest repricing - best income protection in cut scenarios.</t>
      </text>
    </comment>
    <comment ref="C20" authorId="0" shapeId="0">
      <text>
        <t>IMPACT: Margin over SOFR earned in this bucket. Raising a spread pulls allocation value toward that tenor in every scenario.</t>
      </text>
    </comment>
    <comment ref="B25" authorId="0" shapeId="0">
      <text>
        <t>IMPACT: Constant cost across scenarios: sets the NII level, not its dispersion. Drops out of the grid the month after maturity.</t>
      </text>
    </comment>
    <comment ref="B26" authorId="0" shapeId="0">
      <text>
        <t>IMPACT: Constant cost across scenarios: sets the NII level, not its dispersion. Drops out of the grid the month after maturity.</t>
      </text>
    </comment>
    <comment ref="B27" authorId="0" shapeId="0">
      <text>
        <t>IMPACT: Constant cost across scenarios: sets the NII level, not its dispersion. Drops out of the grid the month after maturity.</t>
      </text>
    </comment>
    <comment ref="B28" authorId="0" shapeId="0">
      <text>
        <t>IMPACT: Constant cost across scenarios: sets the NII level, not its dispersion. Drops out of the grid the month after maturity.</t>
      </text>
    </comment>
    <comment ref="B29" authorId="0" shapeId="0">
      <text>
        <t>IMPACT: Constant cost across scenarios: sets the NII level, not its dispersion. Drops out of the grid the month after maturity.</t>
      </text>
    </comment>
    <comment ref="B30" authorId="0" shapeId="0">
      <text>
        <t>IMPACT: Constant cost across scenarios: sets the NII level, not its dispersion. Drops out of the grid the month after maturity.</t>
      </text>
    </comment>
    <comment ref="R30" authorId="0" shapeId="0">
      <text>
        <t>IMPACT: The hedge ratio where scenario outcomes converge most - the cone's pinch point.</t>
      </text>
    </comment>
    <comment ref="B31" authorId="0" shapeId="0">
      <text>
        <t>IMPACT: Constant cost across scenarios: sets the NII level, not its dispersion. Drops out of the grid the month after maturity.</t>
      </text>
    </comment>
    <comment ref="H31" authorId="0" shapeId="0">
      <text>
        <t>IMPACT: Multiplies every move in this column: 2.0 doubles the path (e.g. -300bp faster cuts), 0.5 halves it. Cheap way to simulate many scenarios from one shape.</t>
      </text>
    </comment>
    <comment ref="I31" authorId="0" shapeId="0">
      <text>
        <t>IMPACT: Multiplies every move in this column: 2.0 doubles the path (e.g. -300bp faster cuts), 0.5 halves it. Cheap way to simulate many scenarios from one shape.</t>
      </text>
    </comment>
    <comment ref="J31" authorId="0" shapeId="0">
      <text>
        <t>IMPACT: Multiplies every move in this column: 2.0 doubles the path (e.g. -300bp faster cuts), 0.5 halves it. Cheap way to simulate many scenarios from one shape.</t>
      </text>
    </comment>
    <comment ref="K31" authorId="0" shapeId="0">
      <text>
        <t>IMPACT: Multiplies every move in this column: 2.0 doubles the path (e.g. -300bp faster cuts), 0.5 halves it. Cheap way to simulate many scenarios from one shape.</t>
      </text>
    </comment>
    <comment ref="L31" authorId="0" shapeId="0">
      <text>
        <t>IMPACT: Multiplies every move in this column: 2.0 doubles the path (e.g. -300bp faster cuts), 0.5 halves it. Cheap way to simulate many scenarios from one shape.</t>
      </text>
    </comment>
    <comment ref="M31" authorId="0" shapeId="0">
      <text>
        <t>IMPACT: Multiplies every move in this column: 2.0 doubles the path (e.g. -300bp faster cuts), 0.5 halves it. Cheap way to simulate many scenarios from one shape.</t>
      </text>
    </comment>
    <comment ref="B32" authorId="0" shapeId="0">
      <text>
        <t>IMPACT: Constant cost across scenarios: sets the NII level, not its dispersion. Drops out of the grid the month after maturity.</t>
      </text>
    </comment>
    <comment ref="H32" authorId="0" shapeId="0">
      <text>
        <t>IMPACT: Probability of this scenario. Drives Expected NII and volatility; worst/best ignore weights. Should sum to 100%.</t>
      </text>
    </comment>
    <comment ref="I32" authorId="0" shapeId="0">
      <text>
        <t>IMPACT: Probability of this scenario. Drives Expected NII and volatility; worst/best ignore weights. Should sum to 100%.</t>
      </text>
    </comment>
    <comment ref="J32" authorId="0" shapeId="0">
      <text>
        <t>IMPACT: Probability of this scenario. Drives Expected NII and volatility; worst/best ignore weights. Should sum to 100%.</t>
      </text>
    </comment>
    <comment ref="K32" authorId="0" shapeId="0">
      <text>
        <t>IMPACT: Probability of this scenario. Drives Expected NII and volatility; worst/best ignore weights. Should sum to 100%.</t>
      </text>
    </comment>
    <comment ref="L32" authorId="0" shapeId="0">
      <text>
        <t>IMPACT: Probability of this scenario. Drives Expected NII and volatility; worst/best ignore weights. Should sum to 100%.</t>
      </text>
    </comment>
    <comment ref="M32" authorId="0" shapeId="0">
      <text>
        <t>IMPACT: Probability of this scenario. Drives Expected NII and volatility; worst/best ignore weights. Should sum to 100%.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15</col>
      <colOff>0</colOff>
      <row>32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48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24</col>
      <colOff>0</colOff>
      <row>32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24</col>
      <colOff>0</colOff>
      <row>48</row>
      <rowOff>0</rowOff>
    </from>
    <ext cx="576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9" customWidth="1" min="3" max="3"/>
    <col width="12" customWidth="1" min="4" max="4"/>
    <col width="12" customWidth="1" min="6" max="6"/>
    <col width="12" customWidth="1" min="7" max="7"/>
    <col width="22" customWidth="1" min="16" max="16"/>
  </cols>
  <sheetData>
    <row r="1">
      <c r="A1" s="1" t="inlineStr">
        <is>
          <t>NII FRONTIER LITE v3.0</t>
        </is>
      </c>
    </row>
    <row r="2">
      <c r="A2" s="2" t="inlineStr">
        <is>
          <t>Single tab, live formulas, no macros. Blue = inputs (hover a cell for what it drives). Leave FOMC or bond rows blank to exclude them. Monthly approximation, ACT/360, bonds 30/360. Illustrative only.</t>
        </is>
      </c>
    </row>
    <row r="4">
      <c r="A4" s="3" t="inlineStr">
        <is>
          <t>INPUTS</t>
        </is>
      </c>
      <c r="F4" s="3" t="inlineStr">
        <is>
          <t>FED SCENARIOS — bps per decision (blank dates ignored; edit names, dates, moves)</t>
        </is>
      </c>
      <c r="P4" s="3" t="inlineStr">
        <is>
          <t>RESULTS — 2Y TOTALS ($MM)</t>
        </is>
      </c>
      <c r="Y4" s="3" t="inlineStr">
        <is>
          <t>COMPOSITION — scenario:</t>
        </is>
      </c>
      <c r="AB4" s="4" t="inlineStr">
        <is>
          <t>Faster cuts</t>
        </is>
      </c>
    </row>
    <row r="5">
      <c r="A5" s="5" t="inlineStr">
        <is>
          <t>Start month (1st)</t>
        </is>
      </c>
      <c r="B5" s="6" t="n">
        <v>46204</v>
      </c>
      <c r="F5" s="3" t="inlineStr">
        <is>
          <t>Decision</t>
        </is>
      </c>
      <c r="G5" s="3" t="inlineStr">
        <is>
          <t>Effective</t>
        </is>
      </c>
      <c r="H5" s="7" t="inlineStr">
        <is>
          <t>Flat</t>
        </is>
      </c>
      <c r="I5" s="7" t="inlineStr">
        <is>
          <t>Gradual cuts</t>
        </is>
      </c>
      <c r="J5" s="7" t="inlineStr">
        <is>
          <t>Faster cuts</t>
        </is>
      </c>
      <c r="K5" s="7" t="inlineStr">
        <is>
          <t>Delayed cuts</t>
        </is>
      </c>
      <c r="L5" s="7" t="inlineStr">
        <is>
          <t>Higher for longer</t>
        </is>
      </c>
      <c r="M5" s="7" t="inlineStr">
        <is>
          <t>Hike</t>
        </is>
      </c>
      <c r="Q5" s="8">
        <f>H5</f>
        <v/>
      </c>
      <c r="R5" s="8">
        <f>I5</f>
        <v/>
      </c>
      <c r="S5" s="8">
        <f>J5</f>
        <v/>
      </c>
      <c r="T5" s="8">
        <f>K5</f>
        <v/>
      </c>
      <c r="U5" s="8">
        <f>L5</f>
        <v/>
      </c>
      <c r="V5" s="8">
        <f>M5</f>
        <v/>
      </c>
      <c r="Y5" s="3" t="inlineStr">
        <is>
          <t>Month</t>
        </is>
      </c>
      <c r="Z5" s="3" t="inlineStr">
        <is>
          <t>ON</t>
        </is>
      </c>
      <c r="AA5" s="3" t="inlineStr">
        <is>
          <t>1M</t>
        </is>
      </c>
      <c r="AB5" s="3" t="inlineStr">
        <is>
          <t>2M</t>
        </is>
      </c>
      <c r="AC5" s="3" t="inlineStr">
        <is>
          <t>3M</t>
        </is>
      </c>
      <c r="AD5" s="3" t="inlineStr">
        <is>
          <t>SWAP</t>
        </is>
      </c>
      <c r="AE5" s="3" t="inlineStr">
        <is>
          <t>BOND</t>
        </is>
      </c>
      <c r="AF5" s="3" t="inlineStr">
        <is>
          <t>NET</t>
        </is>
      </c>
    </row>
    <row r="6">
      <c r="A6" s="5" t="inlineStr">
        <is>
          <t>Initial SOFR (%)</t>
        </is>
      </c>
      <c r="B6" s="9" t="n">
        <v>3.8</v>
      </c>
      <c r="F6" s="6" t="n">
        <v>46190</v>
      </c>
      <c r="G6" s="10">
        <f>IF(F6="","",F6+1)</f>
        <v/>
      </c>
      <c r="H6" s="11" t="n">
        <v>0</v>
      </c>
      <c r="I6" s="11" t="n">
        <v>-25</v>
      </c>
      <c r="J6" s="11" t="n">
        <v>-25</v>
      </c>
      <c r="K6" s="11" t="n">
        <v>0</v>
      </c>
      <c r="L6" s="11" t="n">
        <v>0</v>
      </c>
      <c r="M6" s="11" t="n">
        <v>25</v>
      </c>
      <c r="P6" s="5" t="inlineStr">
        <is>
          <t>Deposit income</t>
        </is>
      </c>
      <c r="Q6" s="12">
        <f>$B$17*E$71+$B$18*F$71+$B$19*G$71+$B$20*H$71</f>
        <v/>
      </c>
      <c r="R6" s="12">
        <f>$B$17*L$71+$B$18*M$71+$B$19*N$71+$B$20*O$71</f>
        <v/>
      </c>
      <c r="S6" s="12">
        <f>$B$17*S$71+$B$18*T$71+$B$19*U$71+$B$20*V$71</f>
        <v/>
      </c>
      <c r="T6" s="12">
        <f>$B$17*Z$71+$B$18*AA$71+$B$19*AB$71+$B$20*AC$71</f>
        <v/>
      </c>
      <c r="U6" s="12">
        <f>$B$17*AG$71+$B$18*AH$71+$B$19*AI$71+$B$20*AJ$71</f>
        <v/>
      </c>
      <c r="V6" s="12">
        <f>$B$17*AN$71+$B$18*AO$71+$B$19*AP$71+$B$20*AQ$71</f>
        <v/>
      </c>
      <c r="Y6" s="13">
        <f>A46</f>
        <v/>
      </c>
      <c r="Z6" s="14">
        <f>$B$17*INDEX($A46:$AU46,4+(MATCH($AB$4,$Q$5:$V$5,0)-1)*7+1)/100*$B46/360</f>
        <v/>
      </c>
      <c r="AA6" s="14">
        <f>$B$18*INDEX($A46:$AU46,4+(MATCH($AB$4,$Q$5:$V$5,0)-1)*7+2)/100*$B46/360</f>
        <v/>
      </c>
      <c r="AB6" s="14">
        <f>$B$19*INDEX($A46:$AU46,4+(MATCH($AB$4,$Q$5:$V$5,0)-1)*7+3)/100*$B46/360</f>
        <v/>
      </c>
      <c r="AC6" s="14">
        <f>$B$20*INDEX($A46:$AU46,4+(MATCH($AB$4,$Q$5:$V$5,0)-1)*7+4)/100*$B46/360</f>
        <v/>
      </c>
      <c r="AD6" s="14">
        <f>$B$13/100*$B$7*INDEX($A46:$AU46,4+(MATCH($AB$4,$Q$5:$V$5,0)-1)*7+6)</f>
        <v/>
      </c>
      <c r="AE6" s="14">
        <f>-$C46</f>
        <v/>
      </c>
      <c r="AF6" s="15">
        <f>SUM(Z6:AE6)</f>
        <v/>
      </c>
    </row>
    <row r="7">
      <c r="A7" s="5" t="inlineStr">
        <is>
          <t>Total cash ($mm)</t>
        </is>
      </c>
      <c r="B7" s="16" t="n">
        <v>500</v>
      </c>
      <c r="F7" s="6" t="n">
        <v>46232</v>
      </c>
      <c r="G7" s="10">
        <f>IF(F7="","",F7+1)</f>
        <v/>
      </c>
      <c r="H7" s="11" t="n">
        <v>0</v>
      </c>
      <c r="I7" s="11" t="n">
        <v>0</v>
      </c>
      <c r="J7" s="11" t="n">
        <v>-25</v>
      </c>
      <c r="K7" s="11" t="n">
        <v>0</v>
      </c>
      <c r="L7" s="11" t="n">
        <v>0</v>
      </c>
      <c r="M7" s="11" t="n">
        <v>25</v>
      </c>
      <c r="P7" s="5" t="inlineStr">
        <is>
          <t>Swap net</t>
        </is>
      </c>
      <c r="Q7" s="12">
        <f>$B$13/100*$B$7*J$71</f>
        <v/>
      </c>
      <c r="R7" s="12">
        <f>$B$13/100*$B$7*Q$71</f>
        <v/>
      </c>
      <c r="S7" s="12">
        <f>$B$13/100*$B$7*X$71</f>
        <v/>
      </c>
      <c r="T7" s="12">
        <f>$B$13/100*$B$7*AE$71</f>
        <v/>
      </c>
      <c r="U7" s="12">
        <f>$B$13/100*$B$7*AL$71</f>
        <v/>
      </c>
      <c r="V7" s="12">
        <f>$B$13/100*$B$7*AS$71</f>
        <v/>
      </c>
      <c r="Y7" s="13">
        <f>A47</f>
        <v/>
      </c>
      <c r="Z7" s="14">
        <f>$B$17*INDEX($A47:$AU47,4+(MATCH($AB$4,$Q$5:$V$5,0)-1)*7+1)/100*$B47/360</f>
        <v/>
      </c>
      <c r="AA7" s="14">
        <f>$B$18*INDEX($A47:$AU47,4+(MATCH($AB$4,$Q$5:$V$5,0)-1)*7+2)/100*$B47/360</f>
        <v/>
      </c>
      <c r="AB7" s="14">
        <f>$B$19*INDEX($A47:$AU47,4+(MATCH($AB$4,$Q$5:$V$5,0)-1)*7+3)/100*$B47/360</f>
        <v/>
      </c>
      <c r="AC7" s="14">
        <f>$B$20*INDEX($A47:$AU47,4+(MATCH($AB$4,$Q$5:$V$5,0)-1)*7+4)/100*$B47/360</f>
        <v/>
      </c>
      <c r="AD7" s="14">
        <f>$B$13/100*$B$7*INDEX($A47:$AU47,4+(MATCH($AB$4,$Q$5:$V$5,0)-1)*7+6)</f>
        <v/>
      </c>
      <c r="AE7" s="14">
        <f>-$C47</f>
        <v/>
      </c>
      <c r="AF7" s="15">
        <f>SUM(Z7:AE7)</f>
        <v/>
      </c>
    </row>
    <row r="8">
      <c r="A8" s="5" t="inlineStr">
        <is>
          <t>Deposit beta</t>
        </is>
      </c>
      <c r="B8" s="9" t="n">
        <v>1</v>
      </c>
      <c r="F8" s="6" t="n">
        <v>46281</v>
      </c>
      <c r="G8" s="10">
        <f>IF(F8="","",F8+1)</f>
        <v/>
      </c>
      <c r="H8" s="11" t="n">
        <v>0</v>
      </c>
      <c r="I8" s="11" t="n">
        <v>-25</v>
      </c>
      <c r="J8" s="11" t="n">
        <v>-25</v>
      </c>
      <c r="K8" s="11" t="n">
        <v>0</v>
      </c>
      <c r="L8" s="11" t="n">
        <v>0</v>
      </c>
      <c r="M8" s="11" t="n">
        <v>0</v>
      </c>
      <c r="P8" s="5" t="inlineStr">
        <is>
          <t>Bond cost</t>
        </is>
      </c>
      <c r="Q8" s="12">
        <f>$C$71</f>
        <v/>
      </c>
      <c r="R8" s="12">
        <f>$C$71</f>
        <v/>
      </c>
      <c r="S8" s="12">
        <f>$C$71</f>
        <v/>
      </c>
      <c r="T8" s="12">
        <f>$C$71</f>
        <v/>
      </c>
      <c r="U8" s="12">
        <f>$C$71</f>
        <v/>
      </c>
      <c r="V8" s="12">
        <f>$C$71</f>
        <v/>
      </c>
      <c r="Y8" s="13">
        <f>A48</f>
        <v/>
      </c>
      <c r="Z8" s="14">
        <f>$B$17*INDEX($A48:$AU48,4+(MATCH($AB$4,$Q$5:$V$5,0)-1)*7+1)/100*$B48/360</f>
        <v/>
      </c>
      <c r="AA8" s="14">
        <f>$B$18*INDEX($A48:$AU48,4+(MATCH($AB$4,$Q$5:$V$5,0)-1)*7+2)/100*$B48/360</f>
        <v/>
      </c>
      <c r="AB8" s="14">
        <f>$B$19*INDEX($A48:$AU48,4+(MATCH($AB$4,$Q$5:$V$5,0)-1)*7+3)/100*$B48/360</f>
        <v/>
      </c>
      <c r="AC8" s="14">
        <f>$B$20*INDEX($A48:$AU48,4+(MATCH($AB$4,$Q$5:$V$5,0)-1)*7+4)/100*$B48/360</f>
        <v/>
      </c>
      <c r="AD8" s="14">
        <f>$B$13/100*$B$7*INDEX($A48:$AU48,4+(MATCH($AB$4,$Q$5:$V$5,0)-1)*7+6)</f>
        <v/>
      </c>
      <c r="AE8" s="14">
        <f>-$C48</f>
        <v/>
      </c>
      <c r="AF8" s="15">
        <f>SUM(Z8:AE8)</f>
        <v/>
      </c>
    </row>
    <row r="9">
      <c r="A9" s="5" t="inlineStr">
        <is>
          <t>Min ON balance ($mm)</t>
        </is>
      </c>
      <c r="B9" s="16" t="n">
        <v>100</v>
      </c>
      <c r="F9" s="6" t="n">
        <v>46323</v>
      </c>
      <c r="G9" s="10">
        <f>IF(F9="","",F9+1)</f>
        <v/>
      </c>
      <c r="H9" s="11" t="n">
        <v>0</v>
      </c>
      <c r="I9" s="11" t="n">
        <v>0</v>
      </c>
      <c r="J9" s="11" t="n">
        <v>-25</v>
      </c>
      <c r="K9" s="11" t="n">
        <v>0</v>
      </c>
      <c r="L9" s="11" t="n">
        <v>0</v>
      </c>
      <c r="M9" s="11" t="n">
        <v>0</v>
      </c>
      <c r="P9" s="5" t="inlineStr">
        <is>
          <t>NII total</t>
        </is>
      </c>
      <c r="Q9" s="17">
        <f>Q6+Q7-Q8</f>
        <v/>
      </c>
      <c r="R9" s="17">
        <f>R6+R7-R8</f>
        <v/>
      </c>
      <c r="S9" s="17">
        <f>S6+S7-S8</f>
        <v/>
      </c>
      <c r="T9" s="17">
        <f>T6+T7-T8</f>
        <v/>
      </c>
      <c r="U9" s="17">
        <f>U6+U7-U8</f>
        <v/>
      </c>
      <c r="V9" s="17">
        <f>V6+V7-V8</f>
        <v/>
      </c>
      <c r="Y9" s="13">
        <f>A49</f>
        <v/>
      </c>
      <c r="Z9" s="14">
        <f>$B$17*INDEX($A49:$AU49,4+(MATCH($AB$4,$Q$5:$V$5,0)-1)*7+1)/100*$B49/360</f>
        <v/>
      </c>
      <c r="AA9" s="14">
        <f>$B$18*INDEX($A49:$AU49,4+(MATCH($AB$4,$Q$5:$V$5,0)-1)*7+2)/100*$B49/360</f>
        <v/>
      </c>
      <c r="AB9" s="14">
        <f>$B$19*INDEX($A49:$AU49,4+(MATCH($AB$4,$Q$5:$V$5,0)-1)*7+3)/100*$B49/360</f>
        <v/>
      </c>
      <c r="AC9" s="14">
        <f>$B$20*INDEX($A49:$AU49,4+(MATCH($AB$4,$Q$5:$V$5,0)-1)*7+4)/100*$B49/360</f>
        <v/>
      </c>
      <c r="AD9" s="14">
        <f>$B$13/100*$B$7*INDEX($A49:$AU49,4+(MATCH($AB$4,$Q$5:$V$5,0)-1)*7+6)</f>
        <v/>
      </c>
      <c r="AE9" s="14">
        <f>-$C49</f>
        <v/>
      </c>
      <c r="AF9" s="15">
        <f>SUM(Z9:AE9)</f>
        <v/>
      </c>
    </row>
    <row r="10">
      <c r="A10" s="5" t="inlineStr">
        <is>
          <t>Swap direction (RCV/PAY)</t>
        </is>
      </c>
      <c r="B10" s="4" t="inlineStr">
        <is>
          <t>RCV</t>
        </is>
      </c>
      <c r="F10" s="6" t="n">
        <v>46365</v>
      </c>
      <c r="G10" s="10">
        <f>IF(F10="","",F10+1)</f>
        <v/>
      </c>
      <c r="H10" s="11" t="n">
        <v>0</v>
      </c>
      <c r="I10" s="11" t="n">
        <v>-25</v>
      </c>
      <c r="J10" s="11" t="n">
        <v>-25</v>
      </c>
      <c r="K10" s="11" t="n">
        <v>-25</v>
      </c>
      <c r="L10" s="11" t="n">
        <v>0</v>
      </c>
      <c r="M10" s="11" t="n">
        <v>0</v>
      </c>
      <c r="Y10" s="13">
        <f>A50</f>
        <v/>
      </c>
      <c r="Z10" s="14">
        <f>$B$17*INDEX($A50:$AU50,4+(MATCH($AB$4,$Q$5:$V$5,0)-1)*7+1)/100*$B50/360</f>
        <v/>
      </c>
      <c r="AA10" s="14">
        <f>$B$18*INDEX($A50:$AU50,4+(MATCH($AB$4,$Q$5:$V$5,0)-1)*7+2)/100*$B50/360</f>
        <v/>
      </c>
      <c r="AB10" s="14">
        <f>$B$19*INDEX($A50:$AU50,4+(MATCH($AB$4,$Q$5:$V$5,0)-1)*7+3)/100*$B50/360</f>
        <v/>
      </c>
      <c r="AC10" s="14">
        <f>$B$20*INDEX($A50:$AU50,4+(MATCH($AB$4,$Q$5:$V$5,0)-1)*7+4)/100*$B50/360</f>
        <v/>
      </c>
      <c r="AD10" s="14">
        <f>$B$13/100*$B$7*INDEX($A50:$AU50,4+(MATCH($AB$4,$Q$5:$V$5,0)-1)*7+6)</f>
        <v/>
      </c>
      <c r="AE10" s="14">
        <f>-$C50</f>
        <v/>
      </c>
      <c r="AF10" s="15">
        <f>SUM(Z10:AE10)</f>
        <v/>
      </c>
    </row>
    <row r="11">
      <c r="A11" s="5" t="inlineStr">
        <is>
          <t>Swap fixed rate (%)</t>
        </is>
      </c>
      <c r="B11" s="9" t="n">
        <v>3.15</v>
      </c>
      <c r="F11" s="6" t="n">
        <v>46414</v>
      </c>
      <c r="G11" s="10">
        <f>IF(F11="","",F11+1)</f>
        <v/>
      </c>
      <c r="H11" s="11" t="n">
        <v>0</v>
      </c>
      <c r="I11" s="11" t="n">
        <v>0</v>
      </c>
      <c r="J11" s="11" t="n">
        <v>-25</v>
      </c>
      <c r="K11" s="11" t="n">
        <v>-25</v>
      </c>
      <c r="L11" s="11" t="n">
        <v>0</v>
      </c>
      <c r="M11" s="11" t="n">
        <v>0</v>
      </c>
      <c r="P11" s="3" t="inlineStr">
        <is>
          <t>Expected NII</t>
        </is>
      </c>
      <c r="Q11" s="12">
        <f>SUMPRODUCT($H$32:$M$32,$Q$9:$V$9)</f>
        <v/>
      </c>
      <c r="Y11" s="13">
        <f>A51</f>
        <v/>
      </c>
      <c r="Z11" s="14">
        <f>$B$17*INDEX($A51:$AU51,4+(MATCH($AB$4,$Q$5:$V$5,0)-1)*7+1)/100*$B51/360</f>
        <v/>
      </c>
      <c r="AA11" s="14">
        <f>$B$18*INDEX($A51:$AU51,4+(MATCH($AB$4,$Q$5:$V$5,0)-1)*7+2)/100*$B51/360</f>
        <v/>
      </c>
      <c r="AB11" s="14">
        <f>$B$19*INDEX($A51:$AU51,4+(MATCH($AB$4,$Q$5:$V$5,0)-1)*7+3)/100*$B51/360</f>
        <v/>
      </c>
      <c r="AC11" s="14">
        <f>$B$20*INDEX($A51:$AU51,4+(MATCH($AB$4,$Q$5:$V$5,0)-1)*7+4)/100*$B51/360</f>
        <v/>
      </c>
      <c r="AD11" s="14">
        <f>$B$13/100*$B$7*INDEX($A51:$AU51,4+(MATCH($AB$4,$Q$5:$V$5,0)-1)*7+6)</f>
        <v/>
      </c>
      <c r="AE11" s="14">
        <f>-$C51</f>
        <v/>
      </c>
      <c r="AF11" s="15">
        <f>SUM(Z11:AE11)</f>
        <v/>
      </c>
    </row>
    <row r="12">
      <c r="A12" s="5" t="inlineStr">
        <is>
          <t>Swap float spread (bps)</t>
        </is>
      </c>
      <c r="B12" s="16" t="n">
        <v>0</v>
      </c>
      <c r="F12" s="6" t="n">
        <v>46463</v>
      </c>
      <c r="G12" s="10">
        <f>IF(F12="","",F12+1)</f>
        <v/>
      </c>
      <c r="H12" s="11" t="n">
        <v>0</v>
      </c>
      <c r="I12" s="11" t="n">
        <v>-25</v>
      </c>
      <c r="J12" s="11" t="n">
        <v>0</v>
      </c>
      <c r="K12" s="11" t="n">
        <v>-25</v>
      </c>
      <c r="L12" s="11" t="n">
        <v>0</v>
      </c>
      <c r="M12" s="11" t="n">
        <v>0</v>
      </c>
      <c r="P12" s="3" t="inlineStr">
        <is>
          <t>NII volatility</t>
        </is>
      </c>
      <c r="Q12" s="18">
        <f>SQRT(MAX(0,SUMPRODUCT($H$32:$M$32,($Q$9:$V$9-$Q$11)^2)))</f>
        <v/>
      </c>
      <c r="Y12" s="13">
        <f>A52</f>
        <v/>
      </c>
      <c r="Z12" s="14">
        <f>$B$17*INDEX($A52:$AU52,4+(MATCH($AB$4,$Q$5:$V$5,0)-1)*7+1)/100*$B52/360</f>
        <v/>
      </c>
      <c r="AA12" s="14">
        <f>$B$18*INDEX($A52:$AU52,4+(MATCH($AB$4,$Q$5:$V$5,0)-1)*7+2)/100*$B52/360</f>
        <v/>
      </c>
      <c r="AB12" s="14">
        <f>$B$19*INDEX($A52:$AU52,4+(MATCH($AB$4,$Q$5:$V$5,0)-1)*7+3)/100*$B52/360</f>
        <v/>
      </c>
      <c r="AC12" s="14">
        <f>$B$20*INDEX($A52:$AU52,4+(MATCH($AB$4,$Q$5:$V$5,0)-1)*7+4)/100*$B52/360</f>
        <v/>
      </c>
      <c r="AD12" s="14">
        <f>$B$13/100*$B$7*INDEX($A52:$AU52,4+(MATCH($AB$4,$Q$5:$V$5,0)-1)*7+6)</f>
        <v/>
      </c>
      <c r="AE12" s="14">
        <f>-$C52</f>
        <v/>
      </c>
      <c r="AF12" s="15">
        <f>SUM(Z12:AE12)</f>
        <v/>
      </c>
    </row>
    <row r="13">
      <c r="A13" s="5" t="inlineStr">
        <is>
          <t>IRS notional (% of cash)</t>
        </is>
      </c>
      <c r="B13" s="16" t="n">
        <v>75</v>
      </c>
      <c r="F13" s="6" t="n">
        <v>46505</v>
      </c>
      <c r="G13" s="10">
        <f>IF(F13="","",F13+1)</f>
        <v/>
      </c>
      <c r="H13" s="11" t="n">
        <v>0</v>
      </c>
      <c r="I13" s="11" t="n">
        <v>0</v>
      </c>
      <c r="J13" s="11" t="n">
        <v>0</v>
      </c>
      <c r="K13" s="11" t="n">
        <v>-25</v>
      </c>
      <c r="L13" s="11" t="n">
        <v>0</v>
      </c>
      <c r="M13" s="11" t="n">
        <v>0</v>
      </c>
      <c r="P13" s="3" t="inlineStr">
        <is>
          <t>Worst / Best</t>
        </is>
      </c>
      <c r="Q13" s="12">
        <f>MIN($Q$9:$V$9)</f>
        <v/>
      </c>
      <c r="R13" s="12">
        <f>MAX($Q$9:$V$9)</f>
        <v/>
      </c>
      <c r="Y13" s="13">
        <f>A53</f>
        <v/>
      </c>
      <c r="Z13" s="14">
        <f>$B$17*INDEX($A53:$AU53,4+(MATCH($AB$4,$Q$5:$V$5,0)-1)*7+1)/100*$B53/360</f>
        <v/>
      </c>
      <c r="AA13" s="14">
        <f>$B$18*INDEX($A53:$AU53,4+(MATCH($AB$4,$Q$5:$V$5,0)-1)*7+2)/100*$B53/360</f>
        <v/>
      </c>
      <c r="AB13" s="14">
        <f>$B$19*INDEX($A53:$AU53,4+(MATCH($AB$4,$Q$5:$V$5,0)-1)*7+3)/100*$B53/360</f>
        <v/>
      </c>
      <c r="AC13" s="14">
        <f>$B$20*INDEX($A53:$AU53,4+(MATCH($AB$4,$Q$5:$V$5,0)-1)*7+4)/100*$B53/360</f>
        <v/>
      </c>
      <c r="AD13" s="14">
        <f>$B$13/100*$B$7*INDEX($A53:$AU53,4+(MATCH($AB$4,$Q$5:$V$5,0)-1)*7+6)</f>
        <v/>
      </c>
      <c r="AE13" s="14">
        <f>-$C53</f>
        <v/>
      </c>
      <c r="AF13" s="15">
        <f>SUM(Z13:AE13)</f>
        <v/>
      </c>
    </row>
    <row r="14">
      <c r="F14" s="6" t="n">
        <v>46554</v>
      </c>
      <c r="G14" s="10">
        <f>IF(F14="","",F14+1)</f>
        <v/>
      </c>
      <c r="H14" s="11" t="n">
        <v>0</v>
      </c>
      <c r="I14" s="11" t="n">
        <v>-25</v>
      </c>
      <c r="J14" s="11" t="n">
        <v>0</v>
      </c>
      <c r="K14" s="11" t="n">
        <v>-25</v>
      </c>
      <c r="L14" s="11" t="n">
        <v>-25</v>
      </c>
      <c r="M14" s="11" t="n">
        <v>0</v>
      </c>
      <c r="P14" s="3" t="inlineStr">
        <is>
          <t>Scenario-fair fixed (%)</t>
        </is>
      </c>
      <c r="Q14" s="18">
        <f>100*SUMPRODUCT($H$32:$M$32,CHOOSE({1,2,3,4,5,6},D72,K72,R72,Y72,AF72,AM72))/(SUM($B$46:$B$69)/360)</f>
        <v/>
      </c>
      <c r="Y14" s="13">
        <f>A54</f>
        <v/>
      </c>
      <c r="Z14" s="14">
        <f>$B$17*INDEX($A54:$AU54,4+(MATCH($AB$4,$Q$5:$V$5,0)-1)*7+1)/100*$B54/360</f>
        <v/>
      </c>
      <c r="AA14" s="14">
        <f>$B$18*INDEX($A54:$AU54,4+(MATCH($AB$4,$Q$5:$V$5,0)-1)*7+2)/100*$B54/360</f>
        <v/>
      </c>
      <c r="AB14" s="14">
        <f>$B$19*INDEX($A54:$AU54,4+(MATCH($AB$4,$Q$5:$V$5,0)-1)*7+3)/100*$B54/360</f>
        <v/>
      </c>
      <c r="AC14" s="14">
        <f>$B$20*INDEX($A54:$AU54,4+(MATCH($AB$4,$Q$5:$V$5,0)-1)*7+4)/100*$B54/360</f>
        <v/>
      </c>
      <c r="AD14" s="14">
        <f>$B$13/100*$B$7*INDEX($A54:$AU54,4+(MATCH($AB$4,$Q$5:$V$5,0)-1)*7+6)</f>
        <v/>
      </c>
      <c r="AE14" s="14">
        <f>-$C54</f>
        <v/>
      </c>
      <c r="AF14" s="15">
        <f>SUM(Z14:AE14)</f>
        <v/>
      </c>
    </row>
    <row r="15">
      <c r="A15" s="3" t="inlineStr">
        <is>
          <t>ALLOCATION ($mm) / SPREAD (bps)</t>
        </is>
      </c>
      <c r="F15" s="6" t="n">
        <v>46596</v>
      </c>
      <c r="G15" s="10">
        <f>IF(F15="","",F15+1)</f>
        <v/>
      </c>
      <c r="H15" s="11" t="n">
        <v>0</v>
      </c>
      <c r="I15" s="11" t="n">
        <v>0</v>
      </c>
      <c r="J15" s="11" t="n">
        <v>0</v>
      </c>
      <c r="K15" s="11" t="n">
        <v>-25</v>
      </c>
      <c r="L15" s="11" t="n">
        <v>-25</v>
      </c>
      <c r="M15" s="11" t="n">
        <v>0</v>
      </c>
      <c r="P15" s="3" t="inlineStr">
        <is>
          <t>Carry gap (bps)</t>
        </is>
      </c>
      <c r="Q15" s="12">
        <f>($B$11-$Q$14)*100</f>
        <v/>
      </c>
      <c r="Y15" s="13">
        <f>A55</f>
        <v/>
      </c>
      <c r="Z15" s="14">
        <f>$B$17*INDEX($A55:$AU55,4+(MATCH($AB$4,$Q$5:$V$5,0)-1)*7+1)/100*$B55/360</f>
        <v/>
      </c>
      <c r="AA15" s="14">
        <f>$B$18*INDEX($A55:$AU55,4+(MATCH($AB$4,$Q$5:$V$5,0)-1)*7+2)/100*$B55/360</f>
        <v/>
      </c>
      <c r="AB15" s="14">
        <f>$B$19*INDEX($A55:$AU55,4+(MATCH($AB$4,$Q$5:$V$5,0)-1)*7+3)/100*$B55/360</f>
        <v/>
      </c>
      <c r="AC15" s="14">
        <f>$B$20*INDEX($A55:$AU55,4+(MATCH($AB$4,$Q$5:$V$5,0)-1)*7+4)/100*$B55/360</f>
        <v/>
      </c>
      <c r="AD15" s="14">
        <f>$B$13/100*$B$7*INDEX($A55:$AU55,4+(MATCH($AB$4,$Q$5:$V$5,0)-1)*7+6)</f>
        <v/>
      </c>
      <c r="AE15" s="14">
        <f>-$C55</f>
        <v/>
      </c>
      <c r="AF15" s="15">
        <f>SUM(Z15:AE15)</f>
        <v/>
      </c>
    </row>
    <row r="16">
      <c r="A16" s="3" t="inlineStr">
        <is>
          <t>Bucket</t>
        </is>
      </c>
      <c r="B16" s="3" t="inlineStr">
        <is>
          <t>$mm</t>
        </is>
      </c>
      <c r="C16" s="3" t="inlineStr">
        <is>
          <t>Spread</t>
        </is>
      </c>
      <c r="F16" s="6" t="n">
        <v>46645</v>
      </c>
      <c r="G16" s="10">
        <f>IF(F16="","",F16+1)</f>
        <v/>
      </c>
      <c r="H16" s="11" t="n">
        <v>0</v>
      </c>
      <c r="I16" s="11" t="n">
        <v>-25</v>
      </c>
      <c r="J16" s="11" t="n">
        <v>0</v>
      </c>
      <c r="K16" s="11" t="n">
        <v>0</v>
      </c>
      <c r="L16" s="11" t="n">
        <v>0</v>
      </c>
      <c r="M16" s="11" t="n">
        <v>0</v>
      </c>
      <c r="Y16" s="13">
        <f>A56</f>
        <v/>
      </c>
      <c r="Z16" s="14">
        <f>$B$17*INDEX($A56:$AU56,4+(MATCH($AB$4,$Q$5:$V$5,0)-1)*7+1)/100*$B56/360</f>
        <v/>
      </c>
      <c r="AA16" s="14">
        <f>$B$18*INDEX($A56:$AU56,4+(MATCH($AB$4,$Q$5:$V$5,0)-1)*7+2)/100*$B56/360</f>
        <v/>
      </c>
      <c r="AB16" s="14">
        <f>$B$19*INDEX($A56:$AU56,4+(MATCH($AB$4,$Q$5:$V$5,0)-1)*7+3)/100*$B56/360</f>
        <v/>
      </c>
      <c r="AC16" s="14">
        <f>$B$20*INDEX($A56:$AU56,4+(MATCH($AB$4,$Q$5:$V$5,0)-1)*7+4)/100*$B56/360</f>
        <v/>
      </c>
      <c r="AD16" s="14">
        <f>$B$13/100*$B$7*INDEX($A56:$AU56,4+(MATCH($AB$4,$Q$5:$V$5,0)-1)*7+6)</f>
        <v/>
      </c>
      <c r="AE16" s="14">
        <f>-$C56</f>
        <v/>
      </c>
      <c r="AF16" s="15">
        <f>SUM(Z16:AE16)</f>
        <v/>
      </c>
    </row>
    <row r="17">
      <c r="A17" s="5" t="inlineStr">
        <is>
          <t>ON</t>
        </is>
      </c>
      <c r="B17" s="16" t="n">
        <v>100</v>
      </c>
      <c r="C17" s="16" t="n">
        <v>0</v>
      </c>
      <c r="F17" s="6" t="n">
        <v>46687</v>
      </c>
      <c r="G17" s="10">
        <f>IF(F17="","",F17+1)</f>
        <v/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P17" s="3" t="inlineStr">
        <is>
          <t>NII × IRS NOTIONAL</t>
        </is>
      </c>
      <c r="Y17" s="13">
        <f>A57</f>
        <v/>
      </c>
      <c r="Z17" s="14">
        <f>$B$17*INDEX($A57:$AU57,4+(MATCH($AB$4,$Q$5:$V$5,0)-1)*7+1)/100*$B57/360</f>
        <v/>
      </c>
      <c r="AA17" s="14">
        <f>$B$18*INDEX($A57:$AU57,4+(MATCH($AB$4,$Q$5:$V$5,0)-1)*7+2)/100*$B57/360</f>
        <v/>
      </c>
      <c r="AB17" s="14">
        <f>$B$19*INDEX($A57:$AU57,4+(MATCH($AB$4,$Q$5:$V$5,0)-1)*7+3)/100*$B57/360</f>
        <v/>
      </c>
      <c r="AC17" s="14">
        <f>$B$20*INDEX($A57:$AU57,4+(MATCH($AB$4,$Q$5:$V$5,0)-1)*7+4)/100*$B57/360</f>
        <v/>
      </c>
      <c r="AD17" s="14">
        <f>$B$13/100*$B$7*INDEX($A57:$AU57,4+(MATCH($AB$4,$Q$5:$V$5,0)-1)*7+6)</f>
        <v/>
      </c>
      <c r="AE17" s="14">
        <f>-$C57</f>
        <v/>
      </c>
      <c r="AF17" s="15">
        <f>SUM(Z17:AE17)</f>
        <v/>
      </c>
    </row>
    <row r="18">
      <c r="A18" s="5" t="inlineStr">
        <is>
          <t>1M</t>
        </is>
      </c>
      <c r="B18" s="16" t="n">
        <v>0</v>
      </c>
      <c r="C18" s="16" t="n">
        <v>10</v>
      </c>
      <c r="F18" s="6" t="n">
        <v>46729</v>
      </c>
      <c r="G18" s="10">
        <f>IF(F18="","",F18+1)</f>
        <v/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P18" s="3" t="inlineStr">
        <is>
          <t>p%</t>
        </is>
      </c>
      <c r="Q18" s="8">
        <f>H5</f>
        <v/>
      </c>
      <c r="R18" s="8">
        <f>I5</f>
        <v/>
      </c>
      <c r="S18" s="8">
        <f>J5</f>
        <v/>
      </c>
      <c r="T18" s="8">
        <f>K5</f>
        <v/>
      </c>
      <c r="U18" s="8">
        <f>L5</f>
        <v/>
      </c>
      <c r="V18" s="8">
        <f>M5</f>
        <v/>
      </c>
      <c r="W18" s="3" t="inlineStr">
        <is>
          <t>Disp.</t>
        </is>
      </c>
      <c r="Y18" s="13">
        <f>A58</f>
        <v/>
      </c>
      <c r="Z18" s="14">
        <f>$B$17*INDEX($A58:$AU58,4+(MATCH($AB$4,$Q$5:$V$5,0)-1)*7+1)/100*$B58/360</f>
        <v/>
      </c>
      <c r="AA18" s="14">
        <f>$B$18*INDEX($A58:$AU58,4+(MATCH($AB$4,$Q$5:$V$5,0)-1)*7+2)/100*$B58/360</f>
        <v/>
      </c>
      <c r="AB18" s="14">
        <f>$B$19*INDEX($A58:$AU58,4+(MATCH($AB$4,$Q$5:$V$5,0)-1)*7+3)/100*$B58/360</f>
        <v/>
      </c>
      <c r="AC18" s="14">
        <f>$B$20*INDEX($A58:$AU58,4+(MATCH($AB$4,$Q$5:$V$5,0)-1)*7+4)/100*$B58/360</f>
        <v/>
      </c>
      <c r="AD18" s="14">
        <f>$B$13/100*$B$7*INDEX($A58:$AU58,4+(MATCH($AB$4,$Q$5:$V$5,0)-1)*7+6)</f>
        <v/>
      </c>
      <c r="AE18" s="14">
        <f>-$C58</f>
        <v/>
      </c>
      <c r="AF18" s="15">
        <f>SUM(Z18:AE18)</f>
        <v/>
      </c>
    </row>
    <row r="19">
      <c r="A19" s="5" t="inlineStr">
        <is>
          <t>2M</t>
        </is>
      </c>
      <c r="B19" s="16" t="n">
        <v>0</v>
      </c>
      <c r="C19" s="16" t="n">
        <v>15</v>
      </c>
      <c r="F19" s="6" t="n">
        <v>46778</v>
      </c>
      <c r="G19" s="10">
        <f>IF(F19="","",F19+1)</f>
        <v/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P19" s="19" t="n">
        <v>0</v>
      </c>
      <c r="Q19" s="20">
        <f>Q$6+$P19/100*$B$7*J$71-$C$71</f>
        <v/>
      </c>
      <c r="R19" s="20">
        <f>R$6+$P19/100*$B$7*Q$71-$C$71</f>
        <v/>
      </c>
      <c r="S19" s="20">
        <f>S$6+$P19/100*$B$7*X$71-$C$71</f>
        <v/>
      </c>
      <c r="T19" s="20">
        <f>T$6+$P19/100*$B$7*AE$71-$C$71</f>
        <v/>
      </c>
      <c r="U19" s="20">
        <f>U$6+$P19/100*$B$7*AL$71-$C$71</f>
        <v/>
      </c>
      <c r="V19" s="20">
        <f>V$6+$P19/100*$B$7*AS$71-$C$71</f>
        <v/>
      </c>
      <c r="W19" s="21">
        <f>MAX(Q19:V19)-MIN(Q19:V19)</f>
        <v/>
      </c>
      <c r="Y19" s="13">
        <f>A59</f>
        <v/>
      </c>
      <c r="Z19" s="14">
        <f>$B$17*INDEX($A59:$AU59,4+(MATCH($AB$4,$Q$5:$V$5,0)-1)*7+1)/100*$B59/360</f>
        <v/>
      </c>
      <c r="AA19" s="14">
        <f>$B$18*INDEX($A59:$AU59,4+(MATCH($AB$4,$Q$5:$V$5,0)-1)*7+2)/100*$B59/360</f>
        <v/>
      </c>
      <c r="AB19" s="14">
        <f>$B$19*INDEX($A59:$AU59,4+(MATCH($AB$4,$Q$5:$V$5,0)-1)*7+3)/100*$B59/360</f>
        <v/>
      </c>
      <c r="AC19" s="14">
        <f>$B$20*INDEX($A59:$AU59,4+(MATCH($AB$4,$Q$5:$V$5,0)-1)*7+4)/100*$B59/360</f>
        <v/>
      </c>
      <c r="AD19" s="14">
        <f>$B$13/100*$B$7*INDEX($A59:$AU59,4+(MATCH($AB$4,$Q$5:$V$5,0)-1)*7+6)</f>
        <v/>
      </c>
      <c r="AE19" s="14">
        <f>-$C59</f>
        <v/>
      </c>
      <c r="AF19" s="15">
        <f>SUM(Z19:AE19)</f>
        <v/>
      </c>
    </row>
    <row r="20">
      <c r="A20" s="5" t="inlineStr">
        <is>
          <t>3M</t>
        </is>
      </c>
      <c r="B20" s="16" t="n">
        <v>400</v>
      </c>
      <c r="C20" s="16" t="n">
        <v>20</v>
      </c>
      <c r="F20" s="6" t="n">
        <v>46827</v>
      </c>
      <c r="G20" s="10">
        <f>IF(F20="","",F20+1)</f>
        <v/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P20" s="19" t="n">
        <v>10</v>
      </c>
      <c r="Q20" s="20">
        <f>Q$6+$P20/100*$B$7*J$71-$C$71</f>
        <v/>
      </c>
      <c r="R20" s="20">
        <f>R$6+$P20/100*$B$7*Q$71-$C$71</f>
        <v/>
      </c>
      <c r="S20" s="20">
        <f>S$6+$P20/100*$B$7*X$71-$C$71</f>
        <v/>
      </c>
      <c r="T20" s="20">
        <f>T$6+$P20/100*$B$7*AE$71-$C$71</f>
        <v/>
      </c>
      <c r="U20" s="20">
        <f>U$6+$P20/100*$B$7*AL$71-$C$71</f>
        <v/>
      </c>
      <c r="V20" s="20">
        <f>V$6+$P20/100*$B$7*AS$71-$C$71</f>
        <v/>
      </c>
      <c r="W20" s="21">
        <f>MAX(Q20:V20)-MIN(Q20:V20)</f>
        <v/>
      </c>
      <c r="Y20" s="13">
        <f>A60</f>
        <v/>
      </c>
      <c r="Z20" s="14">
        <f>$B$17*INDEX($A60:$AU60,4+(MATCH($AB$4,$Q$5:$V$5,0)-1)*7+1)/100*$B60/360</f>
        <v/>
      </c>
      <c r="AA20" s="14">
        <f>$B$18*INDEX($A60:$AU60,4+(MATCH($AB$4,$Q$5:$V$5,0)-1)*7+2)/100*$B60/360</f>
        <v/>
      </c>
      <c r="AB20" s="14">
        <f>$B$19*INDEX($A60:$AU60,4+(MATCH($AB$4,$Q$5:$V$5,0)-1)*7+3)/100*$B60/360</f>
        <v/>
      </c>
      <c r="AC20" s="14">
        <f>$B$20*INDEX($A60:$AU60,4+(MATCH($AB$4,$Q$5:$V$5,0)-1)*7+4)/100*$B60/360</f>
        <v/>
      </c>
      <c r="AD20" s="14">
        <f>$B$13/100*$B$7*INDEX($A60:$AU60,4+(MATCH($AB$4,$Q$5:$V$5,0)-1)*7+6)</f>
        <v/>
      </c>
      <c r="AE20" s="14">
        <f>-$C60</f>
        <v/>
      </c>
      <c r="AF20" s="15">
        <f>SUM(Z20:AE20)</f>
        <v/>
      </c>
    </row>
    <row r="21">
      <c r="A21" s="5" t="inlineStr">
        <is>
          <t>Check</t>
        </is>
      </c>
      <c r="B21" s="22">
        <f>IF(SUM(B17:B20)&lt;&gt;B7,"SUM&lt;&gt;CASH",IF(B17&lt;B9,"ON&lt;MIN","OK"))</f>
        <v/>
      </c>
      <c r="F21" s="6" t="n">
        <v>46869</v>
      </c>
      <c r="G21" s="10">
        <f>IF(F21="","",F21+1)</f>
        <v/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P21" s="19" t="n">
        <v>20</v>
      </c>
      <c r="Q21" s="20">
        <f>Q$6+$P21/100*$B$7*J$71-$C$71</f>
        <v/>
      </c>
      <c r="R21" s="20">
        <f>R$6+$P21/100*$B$7*Q$71-$C$71</f>
        <v/>
      </c>
      <c r="S21" s="20">
        <f>S$6+$P21/100*$B$7*X$71-$C$71</f>
        <v/>
      </c>
      <c r="T21" s="20">
        <f>T$6+$P21/100*$B$7*AE$71-$C$71</f>
        <v/>
      </c>
      <c r="U21" s="20">
        <f>U$6+$P21/100*$B$7*AL$71-$C$71</f>
        <v/>
      </c>
      <c r="V21" s="20">
        <f>V$6+$P21/100*$B$7*AS$71-$C$71</f>
        <v/>
      </c>
      <c r="W21" s="21">
        <f>MAX(Q21:V21)-MIN(Q21:V21)</f>
        <v/>
      </c>
      <c r="Y21" s="13">
        <f>A61</f>
        <v/>
      </c>
      <c r="Z21" s="14">
        <f>$B$17*INDEX($A61:$AU61,4+(MATCH($AB$4,$Q$5:$V$5,0)-1)*7+1)/100*$B61/360</f>
        <v/>
      </c>
      <c r="AA21" s="14">
        <f>$B$18*INDEX($A61:$AU61,4+(MATCH($AB$4,$Q$5:$V$5,0)-1)*7+2)/100*$B61/360</f>
        <v/>
      </c>
      <c r="AB21" s="14">
        <f>$B$19*INDEX($A61:$AU61,4+(MATCH($AB$4,$Q$5:$V$5,0)-1)*7+3)/100*$B61/360</f>
        <v/>
      </c>
      <c r="AC21" s="14">
        <f>$B$20*INDEX($A61:$AU61,4+(MATCH($AB$4,$Q$5:$V$5,0)-1)*7+4)/100*$B61/360</f>
        <v/>
      </c>
      <c r="AD21" s="14">
        <f>$B$13/100*$B$7*INDEX($A61:$AU61,4+(MATCH($AB$4,$Q$5:$V$5,0)-1)*7+6)</f>
        <v/>
      </c>
      <c r="AE21" s="14">
        <f>-$C61</f>
        <v/>
      </c>
      <c r="AF21" s="15">
        <f>SUM(Z21:AE21)</f>
        <v/>
      </c>
    </row>
    <row r="22">
      <c r="F22" s="6" t="n">
        <v>46918</v>
      </c>
      <c r="G22" s="10">
        <f>IF(F22="","",F22+1)</f>
        <v/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P22" s="19" t="n">
        <v>30</v>
      </c>
      <c r="Q22" s="20">
        <f>Q$6+$P22/100*$B$7*J$71-$C$71</f>
        <v/>
      </c>
      <c r="R22" s="20">
        <f>R$6+$P22/100*$B$7*Q$71-$C$71</f>
        <v/>
      </c>
      <c r="S22" s="20">
        <f>S$6+$P22/100*$B$7*X$71-$C$71</f>
        <v/>
      </c>
      <c r="T22" s="20">
        <f>T$6+$P22/100*$B$7*AE$71-$C$71</f>
        <v/>
      </c>
      <c r="U22" s="20">
        <f>U$6+$P22/100*$B$7*AL$71-$C$71</f>
        <v/>
      </c>
      <c r="V22" s="20">
        <f>V$6+$P22/100*$B$7*AS$71-$C$71</f>
        <v/>
      </c>
      <c r="W22" s="21">
        <f>MAX(Q22:V22)-MIN(Q22:V22)</f>
        <v/>
      </c>
      <c r="Y22" s="13">
        <f>A62</f>
        <v/>
      </c>
      <c r="Z22" s="14">
        <f>$B$17*INDEX($A62:$AU62,4+(MATCH($AB$4,$Q$5:$V$5,0)-1)*7+1)/100*$B62/360</f>
        <v/>
      </c>
      <c r="AA22" s="14">
        <f>$B$18*INDEX($A62:$AU62,4+(MATCH($AB$4,$Q$5:$V$5,0)-1)*7+2)/100*$B62/360</f>
        <v/>
      </c>
      <c r="AB22" s="14">
        <f>$B$19*INDEX($A62:$AU62,4+(MATCH($AB$4,$Q$5:$V$5,0)-1)*7+3)/100*$B62/360</f>
        <v/>
      </c>
      <c r="AC22" s="14">
        <f>$B$20*INDEX($A62:$AU62,4+(MATCH($AB$4,$Q$5:$V$5,0)-1)*7+4)/100*$B62/360</f>
        <v/>
      </c>
      <c r="AD22" s="14">
        <f>$B$13/100*$B$7*INDEX($A62:$AU62,4+(MATCH($AB$4,$Q$5:$V$5,0)-1)*7+6)</f>
        <v/>
      </c>
      <c r="AE22" s="14">
        <f>-$C62</f>
        <v/>
      </c>
      <c r="AF22" s="15">
        <f>SUM(Z22:AE22)</f>
        <v/>
      </c>
    </row>
    <row r="23">
      <c r="A23" s="3" t="inlineStr">
        <is>
          <t>FIXED-RATE DEBT (blank rows ignored)</t>
        </is>
      </c>
      <c r="F23" s="6" t="n"/>
      <c r="G23" s="10">
        <f>IF(F23="","",F23+1)</f>
        <v/>
      </c>
      <c r="H23" s="11" t="n"/>
      <c r="I23" s="11" t="n"/>
      <c r="J23" s="11" t="n"/>
      <c r="K23" s="11" t="n"/>
      <c r="L23" s="11" t="n"/>
      <c r="M23" s="11" t="n"/>
      <c r="P23" s="19" t="n">
        <v>40</v>
      </c>
      <c r="Q23" s="20">
        <f>Q$6+$P23/100*$B$7*J$71-$C$71</f>
        <v/>
      </c>
      <c r="R23" s="20">
        <f>R$6+$P23/100*$B$7*Q$71-$C$71</f>
        <v/>
      </c>
      <c r="S23" s="20">
        <f>S$6+$P23/100*$B$7*X$71-$C$71</f>
        <v/>
      </c>
      <c r="T23" s="20">
        <f>T$6+$P23/100*$B$7*AE$71-$C$71</f>
        <v/>
      </c>
      <c r="U23" s="20">
        <f>U$6+$P23/100*$B$7*AL$71-$C$71</f>
        <v/>
      </c>
      <c r="V23" s="20">
        <f>V$6+$P23/100*$B$7*AS$71-$C$71</f>
        <v/>
      </c>
      <c r="W23" s="21">
        <f>MAX(Q23:V23)-MIN(Q23:V23)</f>
        <v/>
      </c>
      <c r="Y23" s="13">
        <f>A63</f>
        <v/>
      </c>
      <c r="Z23" s="14">
        <f>$B$17*INDEX($A63:$AU63,4+(MATCH($AB$4,$Q$5:$V$5,0)-1)*7+1)/100*$B63/360</f>
        <v/>
      </c>
      <c r="AA23" s="14">
        <f>$B$18*INDEX($A63:$AU63,4+(MATCH($AB$4,$Q$5:$V$5,0)-1)*7+2)/100*$B63/360</f>
        <v/>
      </c>
      <c r="AB23" s="14">
        <f>$B$19*INDEX($A63:$AU63,4+(MATCH($AB$4,$Q$5:$V$5,0)-1)*7+3)/100*$B63/360</f>
        <v/>
      </c>
      <c r="AC23" s="14">
        <f>$B$20*INDEX($A63:$AU63,4+(MATCH($AB$4,$Q$5:$V$5,0)-1)*7+4)/100*$B63/360</f>
        <v/>
      </c>
      <c r="AD23" s="14">
        <f>$B$13/100*$B$7*INDEX($A63:$AU63,4+(MATCH($AB$4,$Q$5:$V$5,0)-1)*7+6)</f>
        <v/>
      </c>
      <c r="AE23" s="14">
        <f>-$C63</f>
        <v/>
      </c>
      <c r="AF23" s="15">
        <f>SUM(Z23:AE23)</f>
        <v/>
      </c>
    </row>
    <row r="24">
      <c r="A24" s="3" t="inlineStr">
        <is>
          <t>Issue</t>
        </is>
      </c>
      <c r="B24" s="3" t="inlineStr">
        <is>
          <t>$mm</t>
        </is>
      </c>
      <c r="C24" s="3" t="inlineStr">
        <is>
          <t>Cpn %</t>
        </is>
      </c>
      <c r="D24" s="3" t="inlineStr">
        <is>
          <t>Maturity</t>
        </is>
      </c>
      <c r="F24" s="6" t="n"/>
      <c r="G24" s="10">
        <f>IF(F24="","",F24+1)</f>
        <v/>
      </c>
      <c r="H24" s="11" t="n"/>
      <c r="I24" s="11" t="n"/>
      <c r="J24" s="11" t="n"/>
      <c r="K24" s="11" t="n"/>
      <c r="L24" s="11" t="n"/>
      <c r="M24" s="11" t="n"/>
      <c r="P24" s="19" t="n">
        <v>50</v>
      </c>
      <c r="Q24" s="20">
        <f>Q$6+$P24/100*$B$7*J$71-$C$71</f>
        <v/>
      </c>
      <c r="R24" s="20">
        <f>R$6+$P24/100*$B$7*Q$71-$C$71</f>
        <v/>
      </c>
      <c r="S24" s="20">
        <f>S$6+$P24/100*$B$7*X$71-$C$71</f>
        <v/>
      </c>
      <c r="T24" s="20">
        <f>T$6+$P24/100*$B$7*AE$71-$C$71</f>
        <v/>
      </c>
      <c r="U24" s="20">
        <f>U$6+$P24/100*$B$7*AL$71-$C$71</f>
        <v/>
      </c>
      <c r="V24" s="20">
        <f>V$6+$P24/100*$B$7*AS$71-$C$71</f>
        <v/>
      </c>
      <c r="W24" s="21">
        <f>MAX(Q24:V24)-MIN(Q24:V24)</f>
        <v/>
      </c>
      <c r="Y24" s="13">
        <f>A64</f>
        <v/>
      </c>
      <c r="Z24" s="14">
        <f>$B$17*INDEX($A64:$AU64,4+(MATCH($AB$4,$Q$5:$V$5,0)-1)*7+1)/100*$B64/360</f>
        <v/>
      </c>
      <c r="AA24" s="14">
        <f>$B$18*INDEX($A64:$AU64,4+(MATCH($AB$4,$Q$5:$V$5,0)-1)*7+2)/100*$B64/360</f>
        <v/>
      </c>
      <c r="AB24" s="14">
        <f>$B$19*INDEX($A64:$AU64,4+(MATCH($AB$4,$Q$5:$V$5,0)-1)*7+3)/100*$B64/360</f>
        <v/>
      </c>
      <c r="AC24" s="14">
        <f>$B$20*INDEX($A64:$AU64,4+(MATCH($AB$4,$Q$5:$V$5,0)-1)*7+4)/100*$B64/360</f>
        <v/>
      </c>
      <c r="AD24" s="14">
        <f>$B$13/100*$B$7*INDEX($A64:$AU64,4+(MATCH($AB$4,$Q$5:$V$5,0)-1)*7+6)</f>
        <v/>
      </c>
      <c r="AE24" s="14">
        <f>-$C64</f>
        <v/>
      </c>
      <c r="AF24" s="15">
        <f>SUM(Z24:AE24)</f>
        <v/>
      </c>
    </row>
    <row r="25">
      <c r="A25" s="5" t="inlineStr">
        <is>
          <t>3.50% '27</t>
        </is>
      </c>
      <c r="B25" s="16" t="n">
        <v>476.4</v>
      </c>
      <c r="C25" s="9" t="n">
        <v>3.5</v>
      </c>
      <c r="D25" s="6" t="n">
        <v>46645</v>
      </c>
      <c r="F25" s="6" t="n"/>
      <c r="G25" s="10">
        <f>IF(F25="","",F25+1)</f>
        <v/>
      </c>
      <c r="H25" s="11" t="n"/>
      <c r="I25" s="11" t="n"/>
      <c r="J25" s="11" t="n"/>
      <c r="K25" s="11" t="n"/>
      <c r="L25" s="11" t="n"/>
      <c r="M25" s="11" t="n"/>
      <c r="P25" s="19" t="n">
        <v>60</v>
      </c>
      <c r="Q25" s="20">
        <f>Q$6+$P25/100*$B$7*J$71-$C$71</f>
        <v/>
      </c>
      <c r="R25" s="20">
        <f>R$6+$P25/100*$B$7*Q$71-$C$71</f>
        <v/>
      </c>
      <c r="S25" s="20">
        <f>S$6+$P25/100*$B$7*X$71-$C$71</f>
        <v/>
      </c>
      <c r="T25" s="20">
        <f>T$6+$P25/100*$B$7*AE$71-$C$71</f>
        <v/>
      </c>
      <c r="U25" s="20">
        <f>U$6+$P25/100*$B$7*AL$71-$C$71</f>
        <v/>
      </c>
      <c r="V25" s="20">
        <f>V$6+$P25/100*$B$7*AS$71-$C$71</f>
        <v/>
      </c>
      <c r="W25" s="21">
        <f>MAX(Q25:V25)-MIN(Q25:V25)</f>
        <v/>
      </c>
      <c r="Y25" s="13">
        <f>A65</f>
        <v/>
      </c>
      <c r="Z25" s="14">
        <f>$B$17*INDEX($A65:$AU65,4+(MATCH($AB$4,$Q$5:$V$5,0)-1)*7+1)/100*$B65/360</f>
        <v/>
      </c>
      <c r="AA25" s="14">
        <f>$B$18*INDEX($A65:$AU65,4+(MATCH($AB$4,$Q$5:$V$5,0)-1)*7+2)/100*$B65/360</f>
        <v/>
      </c>
      <c r="AB25" s="14">
        <f>$B$19*INDEX($A65:$AU65,4+(MATCH($AB$4,$Q$5:$V$5,0)-1)*7+3)/100*$B65/360</f>
        <v/>
      </c>
      <c r="AC25" s="14">
        <f>$B$20*INDEX($A65:$AU65,4+(MATCH($AB$4,$Q$5:$V$5,0)-1)*7+4)/100*$B65/360</f>
        <v/>
      </c>
      <c r="AD25" s="14">
        <f>$B$13/100*$B$7*INDEX($A65:$AU65,4+(MATCH($AB$4,$Q$5:$V$5,0)-1)*7+6)</f>
        <v/>
      </c>
      <c r="AE25" s="14">
        <f>-$C65</f>
        <v/>
      </c>
      <c r="AF25" s="15">
        <f>SUM(Z25:AE25)</f>
        <v/>
      </c>
    </row>
    <row r="26">
      <c r="A26" s="5" t="inlineStr">
        <is>
          <t>6.60% '28</t>
        </is>
      </c>
      <c r="B26" s="16" t="n">
        <v>109.9</v>
      </c>
      <c r="C26" s="9" t="n">
        <v>6.6</v>
      </c>
      <c r="D26" s="6" t="n">
        <v>46949</v>
      </c>
      <c r="F26" s="6" t="n"/>
      <c r="G26" s="10">
        <f>IF(F26="","",F26+1)</f>
        <v/>
      </c>
      <c r="H26" s="11" t="n"/>
      <c r="I26" s="11" t="n"/>
      <c r="J26" s="11" t="n"/>
      <c r="K26" s="11" t="n"/>
      <c r="L26" s="11" t="n"/>
      <c r="M26" s="11" t="n"/>
      <c r="P26" s="19" t="n">
        <v>70</v>
      </c>
      <c r="Q26" s="20">
        <f>Q$6+$P26/100*$B$7*J$71-$C$71</f>
        <v/>
      </c>
      <c r="R26" s="20">
        <f>R$6+$P26/100*$B$7*Q$71-$C$71</f>
        <v/>
      </c>
      <c r="S26" s="20">
        <f>S$6+$P26/100*$B$7*X$71-$C$71</f>
        <v/>
      </c>
      <c r="T26" s="20">
        <f>T$6+$P26/100*$B$7*AE$71-$C$71</f>
        <v/>
      </c>
      <c r="U26" s="20">
        <f>U$6+$P26/100*$B$7*AL$71-$C$71</f>
        <v/>
      </c>
      <c r="V26" s="20">
        <f>V$6+$P26/100*$B$7*AS$71-$C$71</f>
        <v/>
      </c>
      <c r="W26" s="21">
        <f>MAX(Q26:V26)-MIN(Q26:V26)</f>
        <v/>
      </c>
      <c r="Y26" s="13">
        <f>A66</f>
        <v/>
      </c>
      <c r="Z26" s="14">
        <f>$B$17*INDEX($A66:$AU66,4+(MATCH($AB$4,$Q$5:$V$5,0)-1)*7+1)/100*$B66/360</f>
        <v/>
      </c>
      <c r="AA26" s="14">
        <f>$B$18*INDEX($A66:$AU66,4+(MATCH($AB$4,$Q$5:$V$5,0)-1)*7+2)/100*$B66/360</f>
        <v/>
      </c>
      <c r="AB26" s="14">
        <f>$B$19*INDEX($A66:$AU66,4+(MATCH($AB$4,$Q$5:$V$5,0)-1)*7+3)/100*$B66/360</f>
        <v/>
      </c>
      <c r="AC26" s="14">
        <f>$B$20*INDEX($A66:$AU66,4+(MATCH($AB$4,$Q$5:$V$5,0)-1)*7+4)/100*$B66/360</f>
        <v/>
      </c>
      <c r="AD26" s="14">
        <f>$B$13/100*$B$7*INDEX($A66:$AU66,4+(MATCH($AB$4,$Q$5:$V$5,0)-1)*7+6)</f>
        <v/>
      </c>
      <c r="AE26" s="14">
        <f>-$C66</f>
        <v/>
      </c>
      <c r="AF26" s="15">
        <f>SUM(Z26:AE26)</f>
        <v/>
      </c>
    </row>
    <row r="27">
      <c r="A27" s="5" t="inlineStr">
        <is>
          <t>3.90% '29</t>
        </is>
      </c>
      <c r="B27" s="16" t="n">
        <v>900</v>
      </c>
      <c r="C27" s="9" t="n">
        <v>3.9</v>
      </c>
      <c r="D27" s="6" t="n">
        <v>47441</v>
      </c>
      <c r="F27" s="6" t="n"/>
      <c r="G27" s="10">
        <f>IF(F27="","",F27+1)</f>
        <v/>
      </c>
      <c r="H27" s="11" t="n"/>
      <c r="I27" s="11" t="n"/>
      <c r="J27" s="11" t="n"/>
      <c r="K27" s="11" t="n"/>
      <c r="L27" s="11" t="n"/>
      <c r="M27" s="11" t="n"/>
      <c r="P27" s="19" t="n">
        <v>80</v>
      </c>
      <c r="Q27" s="20">
        <f>Q$6+$P27/100*$B$7*J$71-$C$71</f>
        <v/>
      </c>
      <c r="R27" s="20">
        <f>R$6+$P27/100*$B$7*Q$71-$C$71</f>
        <v/>
      </c>
      <c r="S27" s="20">
        <f>S$6+$P27/100*$B$7*X$71-$C$71</f>
        <v/>
      </c>
      <c r="T27" s="20">
        <f>T$6+$P27/100*$B$7*AE$71-$C$71</f>
        <v/>
      </c>
      <c r="U27" s="20">
        <f>U$6+$P27/100*$B$7*AL$71-$C$71</f>
        <v/>
      </c>
      <c r="V27" s="20">
        <f>V$6+$P27/100*$B$7*AS$71-$C$71</f>
        <v/>
      </c>
      <c r="W27" s="21">
        <f>MAX(Q27:V27)-MIN(Q27:V27)</f>
        <v/>
      </c>
      <c r="Y27" s="13">
        <f>A67</f>
        <v/>
      </c>
      <c r="Z27" s="14">
        <f>$B$17*INDEX($A67:$AU67,4+(MATCH($AB$4,$Q$5:$V$5,0)-1)*7+1)/100*$B67/360</f>
        <v/>
      </c>
      <c r="AA27" s="14">
        <f>$B$18*INDEX($A67:$AU67,4+(MATCH($AB$4,$Q$5:$V$5,0)-1)*7+2)/100*$B67/360</f>
        <v/>
      </c>
      <c r="AB27" s="14">
        <f>$B$19*INDEX($A67:$AU67,4+(MATCH($AB$4,$Q$5:$V$5,0)-1)*7+3)/100*$B67/360</f>
        <v/>
      </c>
      <c r="AC27" s="14">
        <f>$B$20*INDEX($A67:$AU67,4+(MATCH($AB$4,$Q$5:$V$5,0)-1)*7+4)/100*$B67/360</f>
        <v/>
      </c>
      <c r="AD27" s="14">
        <f>$B$13/100*$B$7*INDEX($A67:$AU67,4+(MATCH($AB$4,$Q$5:$V$5,0)-1)*7+6)</f>
        <v/>
      </c>
      <c r="AE27" s="14">
        <f>-$C67</f>
        <v/>
      </c>
      <c r="AF27" s="15">
        <f>SUM(Z27:AE27)</f>
        <v/>
      </c>
    </row>
    <row r="28">
      <c r="A28" s="5" t="inlineStr">
        <is>
          <t>4.65% '31</t>
        </is>
      </c>
      <c r="B28" s="16" t="n">
        <v>400</v>
      </c>
      <c r="C28" s="9" t="n">
        <v>4.65</v>
      </c>
      <c r="D28" s="6" t="n">
        <v>47919</v>
      </c>
      <c r="F28" s="6" t="n"/>
      <c r="G28" s="10">
        <f>IF(F28="","",F28+1)</f>
        <v/>
      </c>
      <c r="H28" s="11" t="n"/>
      <c r="I28" s="11" t="n"/>
      <c r="J28" s="11" t="n"/>
      <c r="K28" s="11" t="n"/>
      <c r="L28" s="11" t="n"/>
      <c r="M28" s="11" t="n"/>
      <c r="P28" s="19" t="n">
        <v>90</v>
      </c>
      <c r="Q28" s="20">
        <f>Q$6+$P28/100*$B$7*J$71-$C$71</f>
        <v/>
      </c>
      <c r="R28" s="20">
        <f>R$6+$P28/100*$B$7*Q$71-$C$71</f>
        <v/>
      </c>
      <c r="S28" s="20">
        <f>S$6+$P28/100*$B$7*X$71-$C$71</f>
        <v/>
      </c>
      <c r="T28" s="20">
        <f>T$6+$P28/100*$B$7*AE$71-$C$71</f>
        <v/>
      </c>
      <c r="U28" s="20">
        <f>U$6+$P28/100*$B$7*AL$71-$C$71</f>
        <v/>
      </c>
      <c r="V28" s="20">
        <f>V$6+$P28/100*$B$7*AS$71-$C$71</f>
        <v/>
      </c>
      <c r="W28" s="21">
        <f>MAX(Q28:V28)-MIN(Q28:V28)</f>
        <v/>
      </c>
      <c r="Y28" s="13">
        <f>A68</f>
        <v/>
      </c>
      <c r="Z28" s="14">
        <f>$B$17*INDEX($A68:$AU68,4+(MATCH($AB$4,$Q$5:$V$5,0)-1)*7+1)/100*$B68/360</f>
        <v/>
      </c>
      <c r="AA28" s="14">
        <f>$B$18*INDEX($A68:$AU68,4+(MATCH($AB$4,$Q$5:$V$5,0)-1)*7+2)/100*$B68/360</f>
        <v/>
      </c>
      <c r="AB28" s="14">
        <f>$B$19*INDEX($A68:$AU68,4+(MATCH($AB$4,$Q$5:$V$5,0)-1)*7+3)/100*$B68/360</f>
        <v/>
      </c>
      <c r="AC28" s="14">
        <f>$B$20*INDEX($A68:$AU68,4+(MATCH($AB$4,$Q$5:$V$5,0)-1)*7+4)/100*$B68/360</f>
        <v/>
      </c>
      <c r="AD28" s="14">
        <f>$B$13/100*$B$7*INDEX($A68:$AU68,4+(MATCH($AB$4,$Q$5:$V$5,0)-1)*7+6)</f>
        <v/>
      </c>
      <c r="AE28" s="14">
        <f>-$C68</f>
        <v/>
      </c>
      <c r="AF28" s="15">
        <f>SUM(Z28:AE28)</f>
        <v/>
      </c>
    </row>
    <row r="29">
      <c r="A29" s="5" t="inlineStr">
        <is>
          <t>6.05% '34</t>
        </is>
      </c>
      <c r="B29" s="16" t="n">
        <v>500</v>
      </c>
      <c r="C29" s="9" t="n">
        <v>6.05</v>
      </c>
      <c r="D29" s="6" t="n">
        <v>49078</v>
      </c>
      <c r="F29" s="6" t="n"/>
      <c r="G29" s="10">
        <f>IF(F29="","",F29+1)</f>
        <v/>
      </c>
      <c r="H29" s="11" t="n"/>
      <c r="I29" s="11" t="n"/>
      <c r="J29" s="11" t="n"/>
      <c r="K29" s="11" t="n"/>
      <c r="L29" s="11" t="n"/>
      <c r="M29" s="11" t="n"/>
      <c r="P29" s="19" t="n">
        <v>100</v>
      </c>
      <c r="Q29" s="20">
        <f>Q$6+$P29/100*$B$7*J$71-$C$71</f>
        <v/>
      </c>
      <c r="R29" s="20">
        <f>R$6+$P29/100*$B$7*Q$71-$C$71</f>
        <v/>
      </c>
      <c r="S29" s="20">
        <f>S$6+$P29/100*$B$7*X$71-$C$71</f>
        <v/>
      </c>
      <c r="T29" s="20">
        <f>T$6+$P29/100*$B$7*AE$71-$C$71</f>
        <v/>
      </c>
      <c r="U29" s="20">
        <f>U$6+$P29/100*$B$7*AL$71-$C$71</f>
        <v/>
      </c>
      <c r="V29" s="20">
        <f>V$6+$P29/100*$B$7*AS$71-$C$71</f>
        <v/>
      </c>
      <c r="W29" s="21">
        <f>MAX(Q29:V29)-MIN(Q29:V29)</f>
        <v/>
      </c>
      <c r="Y29" s="13">
        <f>A69</f>
        <v/>
      </c>
      <c r="Z29" s="14">
        <f>$B$17*INDEX($A69:$AU69,4+(MATCH($AB$4,$Q$5:$V$5,0)-1)*7+1)/100*$B69/360</f>
        <v/>
      </c>
      <c r="AA29" s="14">
        <f>$B$18*INDEX($A69:$AU69,4+(MATCH($AB$4,$Q$5:$V$5,0)-1)*7+2)/100*$B69/360</f>
        <v/>
      </c>
      <c r="AB29" s="14">
        <f>$B$19*INDEX($A69:$AU69,4+(MATCH($AB$4,$Q$5:$V$5,0)-1)*7+3)/100*$B69/360</f>
        <v/>
      </c>
      <c r="AC29" s="14">
        <f>$B$20*INDEX($A69:$AU69,4+(MATCH($AB$4,$Q$5:$V$5,0)-1)*7+4)/100*$B69/360</f>
        <v/>
      </c>
      <c r="AD29" s="14">
        <f>$B$13/100*$B$7*INDEX($A69:$AU69,4+(MATCH($AB$4,$Q$5:$V$5,0)-1)*7+6)</f>
        <v/>
      </c>
      <c r="AE29" s="14">
        <f>-$C69</f>
        <v/>
      </c>
      <c r="AF29" s="15">
        <f>SUM(Z29:AE29)</f>
        <v/>
      </c>
    </row>
    <row r="30">
      <c r="A30" s="5" t="inlineStr">
        <is>
          <t>6.35% '40</t>
        </is>
      </c>
      <c r="B30" s="16" t="n">
        <v>500</v>
      </c>
      <c r="C30" s="9" t="n">
        <v>6.35</v>
      </c>
      <c r="D30" s="6" t="n">
        <v>51210</v>
      </c>
      <c r="P30" s="3" t="inlineStr">
        <is>
          <t>Min dispersion @ %</t>
        </is>
      </c>
      <c r="R30" s="23">
        <f>INDEX($P$19:$P$29,MATCH(MIN($W$19:$W$29),$W$19:$W$29,0))</f>
        <v/>
      </c>
      <c r="S30" s="18">
        <f>MIN($W$19:$W$29)</f>
        <v/>
      </c>
    </row>
    <row r="31">
      <c r="A31" s="5" t="inlineStr">
        <is>
          <t>5.10% '44</t>
        </is>
      </c>
      <c r="B31" s="16" t="n">
        <v>300</v>
      </c>
      <c r="C31" s="9" t="n">
        <v>5.1</v>
      </c>
      <c r="D31" s="6" t="n">
        <v>52732</v>
      </c>
      <c r="F31" s="3" t="inlineStr">
        <is>
          <t>Scale ×</t>
        </is>
      </c>
      <c r="H31" s="24" t="n">
        <v>1</v>
      </c>
      <c r="I31" s="24" t="n">
        <v>1</v>
      </c>
      <c r="J31" s="24" t="n">
        <v>1</v>
      </c>
      <c r="K31" s="24" t="n">
        <v>1</v>
      </c>
      <c r="L31" s="24" t="n">
        <v>1</v>
      </c>
      <c r="M31" s="24" t="n">
        <v>1</v>
      </c>
    </row>
    <row r="32">
      <c r="A32" s="4" t="n"/>
      <c r="B32" s="16" t="n"/>
      <c r="C32" s="9" t="n"/>
      <c r="D32" s="6" t="n"/>
      <c r="F32" s="3" t="inlineStr">
        <is>
          <t>Weight</t>
        </is>
      </c>
      <c r="H32" s="25" t="n">
        <v>0.1666666666666667</v>
      </c>
      <c r="I32" s="25" t="n">
        <v>0.1666666666666667</v>
      </c>
      <c r="J32" s="25" t="n">
        <v>0.1666666666666667</v>
      </c>
      <c r="K32" s="25" t="n">
        <v>0.1666666666666667</v>
      </c>
      <c r="L32" s="25" t="n">
        <v>0.1666666666666667</v>
      </c>
      <c r="M32" s="25" t="n">
        <v>0.1666666666666667</v>
      </c>
    </row>
    <row r="33">
      <c r="A33" s="3" t="inlineStr">
        <is>
          <t>SELF-TESTS</t>
        </is>
      </c>
    </row>
    <row r="34">
      <c r="A34" s="5" t="inlineStr">
        <is>
          <t>Weights sum 100%</t>
        </is>
      </c>
      <c r="B34" s="22">
        <f>IF(ABS(SUM(H32:M32)-1)&lt;0.0001,"OK","FAIL")</f>
        <v/>
      </c>
    </row>
    <row r="35">
      <c r="A35" s="5" t="inlineStr">
        <is>
          <t>Allocation</t>
        </is>
      </c>
      <c r="B35" s="22">
        <f>IF(B21="OK","OK","FAIL")</f>
        <v/>
      </c>
    </row>
    <row r="36">
      <c r="A36" s="5" t="inlineStr">
        <is>
          <t>NII identity</t>
        </is>
      </c>
      <c r="B36" s="22">
        <f>IF(SUMPRODUCT(ABS($Q$9:$V$9-($Q$6:$V$6+$Q$7:$V$7-$Q$8:$V$8)))&lt;0.001,"OK","FAIL")</f>
        <v/>
      </c>
    </row>
    <row r="37">
      <c r="A37" s="5" t="inlineStr">
        <is>
          <t>Timeline=NII</t>
        </is>
      </c>
      <c r="B37" s="22">
        <f>IF(ABS(SUM(AF6:AF29)-INDEX($Q$9:$V$9,MATCH($AB$4,$Q$5:$V$5,0)))&lt;0.01,"OK","FAIL")</f>
        <v/>
      </c>
    </row>
    <row r="38">
      <c r="A38" s="5" t="inlineStr">
        <is>
          <t>Pinch in range</t>
        </is>
      </c>
      <c r="B38" s="22">
        <f>IF(AND($R$30&gt;=0,$R$30&lt;=100),"OK","FAIL")</f>
        <v/>
      </c>
    </row>
    <row r="39">
      <c r="A39" s="3" t="inlineStr">
        <is>
          <t>MODEL STATUS</t>
        </is>
      </c>
      <c r="B39" s="26">
        <f>IF(COUNTIF(B34:B38,"FAIL")=0,"OK — ALL TESTS PASS","CHECK FAILED TESTS")</f>
        <v/>
      </c>
    </row>
    <row r="40">
      <c r="A40" s="3" t="inlineStr">
        <is>
          <t>Version</t>
        </is>
      </c>
      <c r="B40" s="3" t="inlineStr">
        <is>
          <t>v3.0</t>
        </is>
      </c>
    </row>
    <row r="44">
      <c r="A44" s="3" t="inlineStr">
        <is>
          <t>CALCULATION GRID (do not edit)</t>
        </is>
      </c>
    </row>
    <row r="45">
      <c r="A45" s="27" t="inlineStr">
        <is>
          <t>Month</t>
        </is>
      </c>
      <c r="B45" s="27" t="inlineStr">
        <is>
          <t>Days</t>
        </is>
      </c>
      <c r="C45" s="27" t="inlineStr">
        <is>
          <t>Bond cost</t>
        </is>
      </c>
      <c r="D45" s="27">
        <f>H5</f>
        <v/>
      </c>
      <c r="E45" s="27" t="inlineStr">
        <is>
          <t>ON%</t>
        </is>
      </c>
      <c r="F45" s="27" t="inlineStr">
        <is>
          <t>1M%</t>
        </is>
      </c>
      <c r="G45" s="27" t="inlineStr">
        <is>
          <t>2M%</t>
        </is>
      </c>
      <c r="H45" s="27" t="inlineStr">
        <is>
          <t>3M%</t>
        </is>
      </c>
      <c r="I45" s="27" t="inlineStr">
        <is>
          <t>Dep</t>
        </is>
      </c>
      <c r="J45" s="27" t="inlineStr">
        <is>
          <t>Swap/$</t>
        </is>
      </c>
      <c r="K45" s="27">
        <f>I5</f>
        <v/>
      </c>
      <c r="L45" s="27" t="inlineStr">
        <is>
          <t>ON%</t>
        </is>
      </c>
      <c r="M45" s="27" t="inlineStr">
        <is>
          <t>1M%</t>
        </is>
      </c>
      <c r="N45" s="27" t="inlineStr">
        <is>
          <t>2M%</t>
        </is>
      </c>
      <c r="O45" s="27" t="inlineStr">
        <is>
          <t>3M%</t>
        </is>
      </c>
      <c r="P45" s="27" t="inlineStr">
        <is>
          <t>Dep</t>
        </is>
      </c>
      <c r="Q45" s="27" t="inlineStr">
        <is>
          <t>Swap/$</t>
        </is>
      </c>
      <c r="R45" s="27">
        <f>J5</f>
        <v/>
      </c>
      <c r="S45" s="27" t="inlineStr">
        <is>
          <t>ON%</t>
        </is>
      </c>
      <c r="T45" s="27" t="inlineStr">
        <is>
          <t>1M%</t>
        </is>
      </c>
      <c r="U45" s="27" t="inlineStr">
        <is>
          <t>2M%</t>
        </is>
      </c>
      <c r="V45" s="27" t="inlineStr">
        <is>
          <t>3M%</t>
        </is>
      </c>
      <c r="W45" s="27" t="inlineStr">
        <is>
          <t>Dep</t>
        </is>
      </c>
      <c r="X45" s="27" t="inlineStr">
        <is>
          <t>Swap/$</t>
        </is>
      </c>
      <c r="Y45" s="27">
        <f>K5</f>
        <v/>
      </c>
      <c r="Z45" s="27" t="inlineStr">
        <is>
          <t>ON%</t>
        </is>
      </c>
      <c r="AA45" s="27" t="inlineStr">
        <is>
          <t>1M%</t>
        </is>
      </c>
      <c r="AB45" s="27" t="inlineStr">
        <is>
          <t>2M%</t>
        </is>
      </c>
      <c r="AC45" s="27" t="inlineStr">
        <is>
          <t>3M%</t>
        </is>
      </c>
      <c r="AD45" s="27" t="inlineStr">
        <is>
          <t>Dep</t>
        </is>
      </c>
      <c r="AE45" s="27" t="inlineStr">
        <is>
          <t>Swap/$</t>
        </is>
      </c>
      <c r="AF45" s="27">
        <f>L5</f>
        <v/>
      </c>
      <c r="AG45" s="27" t="inlineStr">
        <is>
          <t>ON%</t>
        </is>
      </c>
      <c r="AH45" s="27" t="inlineStr">
        <is>
          <t>1M%</t>
        </is>
      </c>
      <c r="AI45" s="27" t="inlineStr">
        <is>
          <t>2M%</t>
        </is>
      </c>
      <c r="AJ45" s="27" t="inlineStr">
        <is>
          <t>3M%</t>
        </is>
      </c>
      <c r="AK45" s="27" t="inlineStr">
        <is>
          <t>Dep</t>
        </is>
      </c>
      <c r="AL45" s="27" t="inlineStr">
        <is>
          <t>Swap/$</t>
        </is>
      </c>
      <c r="AM45" s="27">
        <f>M5</f>
        <v/>
      </c>
      <c r="AN45" s="27" t="inlineStr">
        <is>
          <t>ON%</t>
        </is>
      </c>
      <c r="AO45" s="27" t="inlineStr">
        <is>
          <t>1M%</t>
        </is>
      </c>
      <c r="AP45" s="27" t="inlineStr">
        <is>
          <t>2M%</t>
        </is>
      </c>
      <c r="AQ45" s="27" t="inlineStr">
        <is>
          <t>3M%</t>
        </is>
      </c>
      <c r="AR45" s="27" t="inlineStr">
        <is>
          <t>Dep</t>
        </is>
      </c>
      <c r="AS45" s="27" t="inlineStr">
        <is>
          <t>Swap/$</t>
        </is>
      </c>
    </row>
    <row r="46">
      <c r="A46" s="13">
        <f>EDATE($B$5,0)</f>
        <v/>
      </c>
      <c r="B46" s="28">
        <f>EDATE(A46,1)-A46</f>
        <v/>
      </c>
      <c r="C46" s="21">
        <f>SUMPRODUCT(($B$25:$B$32&gt;0)*($D$25:$D$32&gt;A46)*$B$25:$B$32*$C$25:$C$32)/100/12</f>
        <v/>
      </c>
      <c r="D46" s="21">
        <f>$B$6+H$31*SUMIFS(H$6:H$29,$G$6:$G$29,"&lt;="&amp;A46,$F$6:$F$29,"&lt;&gt;")/100</f>
        <v/>
      </c>
      <c r="E46" s="21">
        <f>$B$6+$B$8*(D46-$B$6)+$C$17/100</f>
        <v/>
      </c>
      <c r="F46" s="21">
        <f>$B$6+$B$8*(D46-$B$6)+$C$18/100</f>
        <v/>
      </c>
      <c r="G46" s="21">
        <f>$B$6+$B$8*(AVERAGE(INDEX(D$46:D$69,MAX(1,0)):INDEX(D$46:D$69,1))-$B$6)+$C$19/100</f>
        <v/>
      </c>
      <c r="H46" s="21">
        <f>$B$6+$B$8*(AVERAGE(INDEX(D$46:D$69,MAX(1,-1)):INDEX(D$46:D$69,1))-$B$6)+$C$20/100</f>
        <v/>
      </c>
      <c r="I46" s="29">
        <f>($B$17*E46+$B$18*F46+$B$19*G46+$B$20*H46)/100*B46/360</f>
        <v/>
      </c>
      <c r="J46" s="30">
        <f>IF($B$10="RCV",1,-1)*(($B$11/100)-(D46/100+$B$12/10000))*B46/360</f>
        <v/>
      </c>
      <c r="K46" s="21">
        <f>$B$6+I$31*SUMIFS(I$6:I$29,$G$6:$G$29,"&lt;="&amp;A46,$F$6:$F$29,"&lt;&gt;")/100</f>
        <v/>
      </c>
      <c r="L46" s="21">
        <f>$B$6+$B$8*(K46-$B$6)+$C$17/100</f>
        <v/>
      </c>
      <c r="M46" s="21">
        <f>$B$6+$B$8*(K46-$B$6)+$C$18/100</f>
        <v/>
      </c>
      <c r="N46" s="21">
        <f>$B$6+$B$8*(AVERAGE(INDEX(K$46:K$69,MAX(1,0)):INDEX(K$46:K$69,1))-$B$6)+$C$19/100</f>
        <v/>
      </c>
      <c r="O46" s="21">
        <f>$B$6+$B$8*(AVERAGE(INDEX(K$46:K$69,MAX(1,-1)):INDEX(K$46:K$69,1))-$B$6)+$C$20/100</f>
        <v/>
      </c>
      <c r="P46" s="29">
        <f>($B$17*L46+$B$18*M46+$B$19*N46+$B$20*O46)/100*B46/360</f>
        <v/>
      </c>
      <c r="Q46" s="30">
        <f>IF($B$10="RCV",1,-1)*(($B$11/100)-(K46/100+$B$12/10000))*B46/360</f>
        <v/>
      </c>
      <c r="R46" s="21">
        <f>$B$6+J$31*SUMIFS(J$6:J$29,$G$6:$G$29,"&lt;="&amp;A46,$F$6:$F$29,"&lt;&gt;")/100</f>
        <v/>
      </c>
      <c r="S46" s="21">
        <f>$B$6+$B$8*(R46-$B$6)+$C$17/100</f>
        <v/>
      </c>
      <c r="T46" s="21">
        <f>$B$6+$B$8*(R46-$B$6)+$C$18/100</f>
        <v/>
      </c>
      <c r="U46" s="21">
        <f>$B$6+$B$8*(AVERAGE(INDEX(R$46:R$69,MAX(1,0)):INDEX(R$46:R$69,1))-$B$6)+$C$19/100</f>
        <v/>
      </c>
      <c r="V46" s="21">
        <f>$B$6+$B$8*(AVERAGE(INDEX(R$46:R$69,MAX(1,-1)):INDEX(R$46:R$69,1))-$B$6)+$C$20/100</f>
        <v/>
      </c>
      <c r="W46" s="29">
        <f>($B$17*S46+$B$18*T46+$B$19*U46+$B$20*V46)/100*B46/360</f>
        <v/>
      </c>
      <c r="X46" s="30">
        <f>IF($B$10="RCV",1,-1)*(($B$11/100)-(R46/100+$B$12/10000))*B46/360</f>
        <v/>
      </c>
      <c r="Y46" s="21">
        <f>$B$6+K$31*SUMIFS(K$6:K$29,$G$6:$G$29,"&lt;="&amp;A46,$F$6:$F$29,"&lt;&gt;")/100</f>
        <v/>
      </c>
      <c r="Z46" s="21">
        <f>$B$6+$B$8*(Y46-$B$6)+$C$17/100</f>
        <v/>
      </c>
      <c r="AA46" s="21">
        <f>$B$6+$B$8*(Y46-$B$6)+$C$18/100</f>
        <v/>
      </c>
      <c r="AB46" s="21">
        <f>$B$6+$B$8*(AVERAGE(INDEX(Y$46:Y$69,MAX(1,0)):INDEX(Y$46:Y$69,1))-$B$6)+$C$19/100</f>
        <v/>
      </c>
      <c r="AC46" s="21">
        <f>$B$6+$B$8*(AVERAGE(INDEX(Y$46:Y$69,MAX(1,-1)):INDEX(Y$46:Y$69,1))-$B$6)+$C$20/100</f>
        <v/>
      </c>
      <c r="AD46" s="29">
        <f>($B$17*Z46+$B$18*AA46+$B$19*AB46+$B$20*AC46)/100*B46/360</f>
        <v/>
      </c>
      <c r="AE46" s="30">
        <f>IF($B$10="RCV",1,-1)*(($B$11/100)-(Y46/100+$B$12/10000))*B46/360</f>
        <v/>
      </c>
      <c r="AF46" s="21">
        <f>$B$6+L$31*SUMIFS(L$6:L$29,$G$6:$G$29,"&lt;="&amp;A46,$F$6:$F$29,"&lt;&gt;")/100</f>
        <v/>
      </c>
      <c r="AG46" s="21">
        <f>$B$6+$B$8*(AF46-$B$6)+$C$17/100</f>
        <v/>
      </c>
      <c r="AH46" s="21">
        <f>$B$6+$B$8*(AF46-$B$6)+$C$18/100</f>
        <v/>
      </c>
      <c r="AI46" s="21">
        <f>$B$6+$B$8*(AVERAGE(INDEX(AF$46:AF$69,MAX(1,0)):INDEX(AF$46:AF$69,1))-$B$6)+$C$19/100</f>
        <v/>
      </c>
      <c r="AJ46" s="21">
        <f>$B$6+$B$8*(AVERAGE(INDEX(AF$46:AF$69,MAX(1,-1)):INDEX(AF$46:AF$69,1))-$B$6)+$C$20/100</f>
        <v/>
      </c>
      <c r="AK46" s="29">
        <f>($B$17*AG46+$B$18*AH46+$B$19*AI46+$B$20*AJ46)/100*B46/360</f>
        <v/>
      </c>
      <c r="AL46" s="30">
        <f>IF($B$10="RCV",1,-1)*(($B$11/100)-(AF46/100+$B$12/10000))*B46/360</f>
        <v/>
      </c>
      <c r="AM46" s="21">
        <f>$B$6+M$31*SUMIFS(M$6:M$29,$G$6:$G$29,"&lt;="&amp;A46,$F$6:$F$29,"&lt;&gt;")/100</f>
        <v/>
      </c>
      <c r="AN46" s="21">
        <f>$B$6+$B$8*(AM46-$B$6)+$C$17/100</f>
        <v/>
      </c>
      <c r="AO46" s="21">
        <f>$B$6+$B$8*(AM46-$B$6)+$C$18/100</f>
        <v/>
      </c>
      <c r="AP46" s="21">
        <f>$B$6+$B$8*(AVERAGE(INDEX(AM$46:AM$69,MAX(1,0)):INDEX(AM$46:AM$69,1))-$B$6)+$C$19/100</f>
        <v/>
      </c>
      <c r="AQ46" s="21">
        <f>$B$6+$B$8*(AVERAGE(INDEX(AM$46:AM$69,MAX(1,-1)):INDEX(AM$46:AM$69,1))-$B$6)+$C$20/100</f>
        <v/>
      </c>
      <c r="AR46" s="29">
        <f>($B$17*AN46+$B$18*AO46+$B$19*AP46+$B$20*AQ46)/100*B46/360</f>
        <v/>
      </c>
      <c r="AS46" s="30">
        <f>IF($B$10="RCV",1,-1)*(($B$11/100)-(AM46/100+$B$12/10000))*B46/360</f>
        <v/>
      </c>
    </row>
    <row r="47">
      <c r="A47" s="13">
        <f>EDATE($B$5,1)</f>
        <v/>
      </c>
      <c r="B47" s="28">
        <f>EDATE(A47,1)-A47</f>
        <v/>
      </c>
      <c r="C47" s="21">
        <f>SUMPRODUCT(($B$25:$B$32&gt;0)*($D$25:$D$32&gt;A47)*$B$25:$B$32*$C$25:$C$32)/100/12</f>
        <v/>
      </c>
      <c r="D47" s="21">
        <f>$B$6+H$31*SUMIFS(H$6:H$29,$G$6:$G$29,"&lt;="&amp;A47,$F$6:$F$29,"&lt;&gt;")/100</f>
        <v/>
      </c>
      <c r="E47" s="21">
        <f>$B$6+$B$8*(D47-$B$6)+$C$17/100</f>
        <v/>
      </c>
      <c r="F47" s="21">
        <f>$B$6+$B$8*(D47-$B$6)+$C$18/100</f>
        <v/>
      </c>
      <c r="G47" s="21">
        <f>$B$6+$B$8*(AVERAGE(INDEX(D$46:D$69,MAX(1,1)):INDEX(D$46:D$69,2))-$B$6)+$C$19/100</f>
        <v/>
      </c>
      <c r="H47" s="21">
        <f>$B$6+$B$8*(AVERAGE(INDEX(D$46:D$69,MAX(1,0)):INDEX(D$46:D$69,2))-$B$6)+$C$20/100</f>
        <v/>
      </c>
      <c r="I47" s="29">
        <f>($B$17*E47+$B$18*F47+$B$19*G47+$B$20*H47)/100*B47/360</f>
        <v/>
      </c>
      <c r="J47" s="30">
        <f>IF($B$10="RCV",1,-1)*(($B$11/100)-(D47/100+$B$12/10000))*B47/360</f>
        <v/>
      </c>
      <c r="K47" s="21">
        <f>$B$6+I$31*SUMIFS(I$6:I$29,$G$6:$G$29,"&lt;="&amp;A47,$F$6:$F$29,"&lt;&gt;")/100</f>
        <v/>
      </c>
      <c r="L47" s="21">
        <f>$B$6+$B$8*(K47-$B$6)+$C$17/100</f>
        <v/>
      </c>
      <c r="M47" s="21">
        <f>$B$6+$B$8*(K47-$B$6)+$C$18/100</f>
        <v/>
      </c>
      <c r="N47" s="21">
        <f>$B$6+$B$8*(AVERAGE(INDEX(K$46:K$69,MAX(1,1)):INDEX(K$46:K$69,2))-$B$6)+$C$19/100</f>
        <v/>
      </c>
      <c r="O47" s="21">
        <f>$B$6+$B$8*(AVERAGE(INDEX(K$46:K$69,MAX(1,0)):INDEX(K$46:K$69,2))-$B$6)+$C$20/100</f>
        <v/>
      </c>
      <c r="P47" s="29">
        <f>($B$17*L47+$B$18*M47+$B$19*N47+$B$20*O47)/100*B47/360</f>
        <v/>
      </c>
      <c r="Q47" s="30">
        <f>IF($B$10="RCV",1,-1)*(($B$11/100)-(K47/100+$B$12/10000))*B47/360</f>
        <v/>
      </c>
      <c r="R47" s="21">
        <f>$B$6+J$31*SUMIFS(J$6:J$29,$G$6:$G$29,"&lt;="&amp;A47,$F$6:$F$29,"&lt;&gt;")/100</f>
        <v/>
      </c>
      <c r="S47" s="21">
        <f>$B$6+$B$8*(R47-$B$6)+$C$17/100</f>
        <v/>
      </c>
      <c r="T47" s="21">
        <f>$B$6+$B$8*(R47-$B$6)+$C$18/100</f>
        <v/>
      </c>
      <c r="U47" s="21">
        <f>$B$6+$B$8*(AVERAGE(INDEX(R$46:R$69,MAX(1,1)):INDEX(R$46:R$69,2))-$B$6)+$C$19/100</f>
        <v/>
      </c>
      <c r="V47" s="21">
        <f>$B$6+$B$8*(AVERAGE(INDEX(R$46:R$69,MAX(1,0)):INDEX(R$46:R$69,2))-$B$6)+$C$20/100</f>
        <v/>
      </c>
      <c r="W47" s="29">
        <f>($B$17*S47+$B$18*T47+$B$19*U47+$B$20*V47)/100*B47/360</f>
        <v/>
      </c>
      <c r="X47" s="30">
        <f>IF($B$10="RCV",1,-1)*(($B$11/100)-(R47/100+$B$12/10000))*B47/360</f>
        <v/>
      </c>
      <c r="Y47" s="21">
        <f>$B$6+K$31*SUMIFS(K$6:K$29,$G$6:$G$29,"&lt;="&amp;A47,$F$6:$F$29,"&lt;&gt;")/100</f>
        <v/>
      </c>
      <c r="Z47" s="21">
        <f>$B$6+$B$8*(Y47-$B$6)+$C$17/100</f>
        <v/>
      </c>
      <c r="AA47" s="21">
        <f>$B$6+$B$8*(Y47-$B$6)+$C$18/100</f>
        <v/>
      </c>
      <c r="AB47" s="21">
        <f>$B$6+$B$8*(AVERAGE(INDEX(Y$46:Y$69,MAX(1,1)):INDEX(Y$46:Y$69,2))-$B$6)+$C$19/100</f>
        <v/>
      </c>
      <c r="AC47" s="21">
        <f>$B$6+$B$8*(AVERAGE(INDEX(Y$46:Y$69,MAX(1,0)):INDEX(Y$46:Y$69,2))-$B$6)+$C$20/100</f>
        <v/>
      </c>
      <c r="AD47" s="29">
        <f>($B$17*Z47+$B$18*AA47+$B$19*AB47+$B$20*AC47)/100*B47/360</f>
        <v/>
      </c>
      <c r="AE47" s="30">
        <f>IF($B$10="RCV",1,-1)*(($B$11/100)-(Y47/100+$B$12/10000))*B47/360</f>
        <v/>
      </c>
      <c r="AF47" s="21">
        <f>$B$6+L$31*SUMIFS(L$6:L$29,$G$6:$G$29,"&lt;="&amp;A47,$F$6:$F$29,"&lt;&gt;")/100</f>
        <v/>
      </c>
      <c r="AG47" s="21">
        <f>$B$6+$B$8*(AF47-$B$6)+$C$17/100</f>
        <v/>
      </c>
      <c r="AH47" s="21">
        <f>$B$6+$B$8*(AF47-$B$6)+$C$18/100</f>
        <v/>
      </c>
      <c r="AI47" s="21">
        <f>$B$6+$B$8*(AVERAGE(INDEX(AF$46:AF$69,MAX(1,1)):INDEX(AF$46:AF$69,2))-$B$6)+$C$19/100</f>
        <v/>
      </c>
      <c r="AJ47" s="21">
        <f>$B$6+$B$8*(AVERAGE(INDEX(AF$46:AF$69,MAX(1,0)):INDEX(AF$46:AF$69,2))-$B$6)+$C$20/100</f>
        <v/>
      </c>
      <c r="AK47" s="29">
        <f>($B$17*AG47+$B$18*AH47+$B$19*AI47+$B$20*AJ47)/100*B47/360</f>
        <v/>
      </c>
      <c r="AL47" s="30">
        <f>IF($B$10="RCV",1,-1)*(($B$11/100)-(AF47/100+$B$12/10000))*B47/360</f>
        <v/>
      </c>
      <c r="AM47" s="21">
        <f>$B$6+M$31*SUMIFS(M$6:M$29,$G$6:$G$29,"&lt;="&amp;A47,$F$6:$F$29,"&lt;&gt;")/100</f>
        <v/>
      </c>
      <c r="AN47" s="21">
        <f>$B$6+$B$8*(AM47-$B$6)+$C$17/100</f>
        <v/>
      </c>
      <c r="AO47" s="21">
        <f>$B$6+$B$8*(AM47-$B$6)+$C$18/100</f>
        <v/>
      </c>
      <c r="AP47" s="21">
        <f>$B$6+$B$8*(AVERAGE(INDEX(AM$46:AM$69,MAX(1,1)):INDEX(AM$46:AM$69,2))-$B$6)+$C$19/100</f>
        <v/>
      </c>
      <c r="AQ47" s="21">
        <f>$B$6+$B$8*(AVERAGE(INDEX(AM$46:AM$69,MAX(1,0)):INDEX(AM$46:AM$69,2))-$B$6)+$C$20/100</f>
        <v/>
      </c>
      <c r="AR47" s="29">
        <f>($B$17*AN47+$B$18*AO47+$B$19*AP47+$B$20*AQ47)/100*B47/360</f>
        <v/>
      </c>
      <c r="AS47" s="30">
        <f>IF($B$10="RCV",1,-1)*(($B$11/100)-(AM47/100+$B$12/10000))*B47/360</f>
        <v/>
      </c>
    </row>
    <row r="48">
      <c r="A48" s="13">
        <f>EDATE($B$5,2)</f>
        <v/>
      </c>
      <c r="B48" s="28">
        <f>EDATE(A48,1)-A48</f>
        <v/>
      </c>
      <c r="C48" s="21">
        <f>SUMPRODUCT(($B$25:$B$32&gt;0)*($D$25:$D$32&gt;A48)*$B$25:$B$32*$C$25:$C$32)/100/12</f>
        <v/>
      </c>
      <c r="D48" s="21">
        <f>$B$6+H$31*SUMIFS(H$6:H$29,$G$6:$G$29,"&lt;="&amp;A48,$F$6:$F$29,"&lt;&gt;")/100</f>
        <v/>
      </c>
      <c r="E48" s="21">
        <f>$B$6+$B$8*(D48-$B$6)+$C$17/100</f>
        <v/>
      </c>
      <c r="F48" s="21">
        <f>$B$6+$B$8*(D48-$B$6)+$C$18/100</f>
        <v/>
      </c>
      <c r="G48" s="21">
        <f>$B$6+$B$8*(AVERAGE(INDEX(D$46:D$69,MAX(1,2)):INDEX(D$46:D$69,3))-$B$6)+$C$19/100</f>
        <v/>
      </c>
      <c r="H48" s="21">
        <f>$B$6+$B$8*(AVERAGE(INDEX(D$46:D$69,MAX(1,1)):INDEX(D$46:D$69,3))-$B$6)+$C$20/100</f>
        <v/>
      </c>
      <c r="I48" s="29">
        <f>($B$17*E48+$B$18*F48+$B$19*G48+$B$20*H48)/100*B48/360</f>
        <v/>
      </c>
      <c r="J48" s="30">
        <f>IF($B$10="RCV",1,-1)*(($B$11/100)-(D48/100+$B$12/10000))*B48/360</f>
        <v/>
      </c>
      <c r="K48" s="21">
        <f>$B$6+I$31*SUMIFS(I$6:I$29,$G$6:$G$29,"&lt;="&amp;A48,$F$6:$F$29,"&lt;&gt;")/100</f>
        <v/>
      </c>
      <c r="L48" s="21">
        <f>$B$6+$B$8*(K48-$B$6)+$C$17/100</f>
        <v/>
      </c>
      <c r="M48" s="21">
        <f>$B$6+$B$8*(K48-$B$6)+$C$18/100</f>
        <v/>
      </c>
      <c r="N48" s="21">
        <f>$B$6+$B$8*(AVERAGE(INDEX(K$46:K$69,MAX(1,2)):INDEX(K$46:K$69,3))-$B$6)+$C$19/100</f>
        <v/>
      </c>
      <c r="O48" s="21">
        <f>$B$6+$B$8*(AVERAGE(INDEX(K$46:K$69,MAX(1,1)):INDEX(K$46:K$69,3))-$B$6)+$C$20/100</f>
        <v/>
      </c>
      <c r="P48" s="29">
        <f>($B$17*L48+$B$18*M48+$B$19*N48+$B$20*O48)/100*B48/360</f>
        <v/>
      </c>
      <c r="Q48" s="30">
        <f>IF($B$10="RCV",1,-1)*(($B$11/100)-(K48/100+$B$12/10000))*B48/360</f>
        <v/>
      </c>
      <c r="R48" s="21">
        <f>$B$6+J$31*SUMIFS(J$6:J$29,$G$6:$G$29,"&lt;="&amp;A48,$F$6:$F$29,"&lt;&gt;")/100</f>
        <v/>
      </c>
      <c r="S48" s="21">
        <f>$B$6+$B$8*(R48-$B$6)+$C$17/100</f>
        <v/>
      </c>
      <c r="T48" s="21">
        <f>$B$6+$B$8*(R48-$B$6)+$C$18/100</f>
        <v/>
      </c>
      <c r="U48" s="21">
        <f>$B$6+$B$8*(AVERAGE(INDEX(R$46:R$69,MAX(1,2)):INDEX(R$46:R$69,3))-$B$6)+$C$19/100</f>
        <v/>
      </c>
      <c r="V48" s="21">
        <f>$B$6+$B$8*(AVERAGE(INDEX(R$46:R$69,MAX(1,1)):INDEX(R$46:R$69,3))-$B$6)+$C$20/100</f>
        <v/>
      </c>
      <c r="W48" s="29">
        <f>($B$17*S48+$B$18*T48+$B$19*U48+$B$20*V48)/100*B48/360</f>
        <v/>
      </c>
      <c r="X48" s="30">
        <f>IF($B$10="RCV",1,-1)*(($B$11/100)-(R48/100+$B$12/10000))*B48/360</f>
        <v/>
      </c>
      <c r="Y48" s="21">
        <f>$B$6+K$31*SUMIFS(K$6:K$29,$G$6:$G$29,"&lt;="&amp;A48,$F$6:$F$29,"&lt;&gt;")/100</f>
        <v/>
      </c>
      <c r="Z48" s="21">
        <f>$B$6+$B$8*(Y48-$B$6)+$C$17/100</f>
        <v/>
      </c>
      <c r="AA48" s="21">
        <f>$B$6+$B$8*(Y48-$B$6)+$C$18/100</f>
        <v/>
      </c>
      <c r="AB48" s="21">
        <f>$B$6+$B$8*(AVERAGE(INDEX(Y$46:Y$69,MAX(1,2)):INDEX(Y$46:Y$69,3))-$B$6)+$C$19/100</f>
        <v/>
      </c>
      <c r="AC48" s="21">
        <f>$B$6+$B$8*(AVERAGE(INDEX(Y$46:Y$69,MAX(1,1)):INDEX(Y$46:Y$69,3))-$B$6)+$C$20/100</f>
        <v/>
      </c>
      <c r="AD48" s="29">
        <f>($B$17*Z48+$B$18*AA48+$B$19*AB48+$B$20*AC48)/100*B48/360</f>
        <v/>
      </c>
      <c r="AE48" s="30">
        <f>IF($B$10="RCV",1,-1)*(($B$11/100)-(Y48/100+$B$12/10000))*B48/360</f>
        <v/>
      </c>
      <c r="AF48" s="21">
        <f>$B$6+L$31*SUMIFS(L$6:L$29,$G$6:$G$29,"&lt;="&amp;A48,$F$6:$F$29,"&lt;&gt;")/100</f>
        <v/>
      </c>
      <c r="AG48" s="21">
        <f>$B$6+$B$8*(AF48-$B$6)+$C$17/100</f>
        <v/>
      </c>
      <c r="AH48" s="21">
        <f>$B$6+$B$8*(AF48-$B$6)+$C$18/100</f>
        <v/>
      </c>
      <c r="AI48" s="21">
        <f>$B$6+$B$8*(AVERAGE(INDEX(AF$46:AF$69,MAX(1,2)):INDEX(AF$46:AF$69,3))-$B$6)+$C$19/100</f>
        <v/>
      </c>
      <c r="AJ48" s="21">
        <f>$B$6+$B$8*(AVERAGE(INDEX(AF$46:AF$69,MAX(1,1)):INDEX(AF$46:AF$69,3))-$B$6)+$C$20/100</f>
        <v/>
      </c>
      <c r="AK48" s="29">
        <f>($B$17*AG48+$B$18*AH48+$B$19*AI48+$B$20*AJ48)/100*B48/360</f>
        <v/>
      </c>
      <c r="AL48" s="30">
        <f>IF($B$10="RCV",1,-1)*(($B$11/100)-(AF48/100+$B$12/10000))*B48/360</f>
        <v/>
      </c>
      <c r="AM48" s="21">
        <f>$B$6+M$31*SUMIFS(M$6:M$29,$G$6:$G$29,"&lt;="&amp;A48,$F$6:$F$29,"&lt;&gt;")/100</f>
        <v/>
      </c>
      <c r="AN48" s="21">
        <f>$B$6+$B$8*(AM48-$B$6)+$C$17/100</f>
        <v/>
      </c>
      <c r="AO48" s="21">
        <f>$B$6+$B$8*(AM48-$B$6)+$C$18/100</f>
        <v/>
      </c>
      <c r="AP48" s="21">
        <f>$B$6+$B$8*(AVERAGE(INDEX(AM$46:AM$69,MAX(1,2)):INDEX(AM$46:AM$69,3))-$B$6)+$C$19/100</f>
        <v/>
      </c>
      <c r="AQ48" s="21">
        <f>$B$6+$B$8*(AVERAGE(INDEX(AM$46:AM$69,MAX(1,1)):INDEX(AM$46:AM$69,3))-$B$6)+$C$20/100</f>
        <v/>
      </c>
      <c r="AR48" s="29">
        <f>($B$17*AN48+$B$18*AO48+$B$19*AP48+$B$20*AQ48)/100*B48/360</f>
        <v/>
      </c>
      <c r="AS48" s="30">
        <f>IF($B$10="RCV",1,-1)*(($B$11/100)-(AM48/100+$B$12/10000))*B48/360</f>
        <v/>
      </c>
    </row>
    <row r="49">
      <c r="A49" s="13">
        <f>EDATE($B$5,3)</f>
        <v/>
      </c>
      <c r="B49" s="28">
        <f>EDATE(A49,1)-A49</f>
        <v/>
      </c>
      <c r="C49" s="21">
        <f>SUMPRODUCT(($B$25:$B$32&gt;0)*($D$25:$D$32&gt;A49)*$B$25:$B$32*$C$25:$C$32)/100/12</f>
        <v/>
      </c>
      <c r="D49" s="21">
        <f>$B$6+H$31*SUMIFS(H$6:H$29,$G$6:$G$29,"&lt;="&amp;A49,$F$6:$F$29,"&lt;&gt;")/100</f>
        <v/>
      </c>
      <c r="E49" s="21">
        <f>$B$6+$B$8*(D49-$B$6)+$C$17/100</f>
        <v/>
      </c>
      <c r="F49" s="21">
        <f>$B$6+$B$8*(D49-$B$6)+$C$18/100</f>
        <v/>
      </c>
      <c r="G49" s="21">
        <f>$B$6+$B$8*(AVERAGE(INDEX(D$46:D$69,MAX(1,3)):INDEX(D$46:D$69,4))-$B$6)+$C$19/100</f>
        <v/>
      </c>
      <c r="H49" s="21">
        <f>$B$6+$B$8*(AVERAGE(INDEX(D$46:D$69,MAX(1,2)):INDEX(D$46:D$69,4))-$B$6)+$C$20/100</f>
        <v/>
      </c>
      <c r="I49" s="29">
        <f>($B$17*E49+$B$18*F49+$B$19*G49+$B$20*H49)/100*B49/360</f>
        <v/>
      </c>
      <c r="J49" s="30">
        <f>IF($B$10="RCV",1,-1)*(($B$11/100)-(D49/100+$B$12/10000))*B49/360</f>
        <v/>
      </c>
      <c r="K49" s="21">
        <f>$B$6+I$31*SUMIFS(I$6:I$29,$G$6:$G$29,"&lt;="&amp;A49,$F$6:$F$29,"&lt;&gt;")/100</f>
        <v/>
      </c>
      <c r="L49" s="21">
        <f>$B$6+$B$8*(K49-$B$6)+$C$17/100</f>
        <v/>
      </c>
      <c r="M49" s="21">
        <f>$B$6+$B$8*(K49-$B$6)+$C$18/100</f>
        <v/>
      </c>
      <c r="N49" s="21">
        <f>$B$6+$B$8*(AVERAGE(INDEX(K$46:K$69,MAX(1,3)):INDEX(K$46:K$69,4))-$B$6)+$C$19/100</f>
        <v/>
      </c>
      <c r="O49" s="21">
        <f>$B$6+$B$8*(AVERAGE(INDEX(K$46:K$69,MAX(1,2)):INDEX(K$46:K$69,4))-$B$6)+$C$20/100</f>
        <v/>
      </c>
      <c r="P49" s="29">
        <f>($B$17*L49+$B$18*M49+$B$19*N49+$B$20*O49)/100*B49/360</f>
        <v/>
      </c>
      <c r="Q49" s="30">
        <f>IF($B$10="RCV",1,-1)*(($B$11/100)-(K49/100+$B$12/10000))*B49/360</f>
        <v/>
      </c>
      <c r="R49" s="21">
        <f>$B$6+J$31*SUMIFS(J$6:J$29,$G$6:$G$29,"&lt;="&amp;A49,$F$6:$F$29,"&lt;&gt;")/100</f>
        <v/>
      </c>
      <c r="S49" s="21">
        <f>$B$6+$B$8*(R49-$B$6)+$C$17/100</f>
        <v/>
      </c>
      <c r="T49" s="21">
        <f>$B$6+$B$8*(R49-$B$6)+$C$18/100</f>
        <v/>
      </c>
      <c r="U49" s="21">
        <f>$B$6+$B$8*(AVERAGE(INDEX(R$46:R$69,MAX(1,3)):INDEX(R$46:R$69,4))-$B$6)+$C$19/100</f>
        <v/>
      </c>
      <c r="V49" s="21">
        <f>$B$6+$B$8*(AVERAGE(INDEX(R$46:R$69,MAX(1,2)):INDEX(R$46:R$69,4))-$B$6)+$C$20/100</f>
        <v/>
      </c>
      <c r="W49" s="29">
        <f>($B$17*S49+$B$18*T49+$B$19*U49+$B$20*V49)/100*B49/360</f>
        <v/>
      </c>
      <c r="X49" s="30">
        <f>IF($B$10="RCV",1,-1)*(($B$11/100)-(R49/100+$B$12/10000))*B49/360</f>
        <v/>
      </c>
      <c r="Y49" s="21">
        <f>$B$6+K$31*SUMIFS(K$6:K$29,$G$6:$G$29,"&lt;="&amp;A49,$F$6:$F$29,"&lt;&gt;")/100</f>
        <v/>
      </c>
      <c r="Z49" s="21">
        <f>$B$6+$B$8*(Y49-$B$6)+$C$17/100</f>
        <v/>
      </c>
      <c r="AA49" s="21">
        <f>$B$6+$B$8*(Y49-$B$6)+$C$18/100</f>
        <v/>
      </c>
      <c r="AB49" s="21">
        <f>$B$6+$B$8*(AVERAGE(INDEX(Y$46:Y$69,MAX(1,3)):INDEX(Y$46:Y$69,4))-$B$6)+$C$19/100</f>
        <v/>
      </c>
      <c r="AC49" s="21">
        <f>$B$6+$B$8*(AVERAGE(INDEX(Y$46:Y$69,MAX(1,2)):INDEX(Y$46:Y$69,4))-$B$6)+$C$20/100</f>
        <v/>
      </c>
      <c r="AD49" s="29">
        <f>($B$17*Z49+$B$18*AA49+$B$19*AB49+$B$20*AC49)/100*B49/360</f>
        <v/>
      </c>
      <c r="AE49" s="30">
        <f>IF($B$10="RCV",1,-1)*(($B$11/100)-(Y49/100+$B$12/10000))*B49/360</f>
        <v/>
      </c>
      <c r="AF49" s="21">
        <f>$B$6+L$31*SUMIFS(L$6:L$29,$G$6:$G$29,"&lt;="&amp;A49,$F$6:$F$29,"&lt;&gt;")/100</f>
        <v/>
      </c>
      <c r="AG49" s="21">
        <f>$B$6+$B$8*(AF49-$B$6)+$C$17/100</f>
        <v/>
      </c>
      <c r="AH49" s="21">
        <f>$B$6+$B$8*(AF49-$B$6)+$C$18/100</f>
        <v/>
      </c>
      <c r="AI49" s="21">
        <f>$B$6+$B$8*(AVERAGE(INDEX(AF$46:AF$69,MAX(1,3)):INDEX(AF$46:AF$69,4))-$B$6)+$C$19/100</f>
        <v/>
      </c>
      <c r="AJ49" s="21">
        <f>$B$6+$B$8*(AVERAGE(INDEX(AF$46:AF$69,MAX(1,2)):INDEX(AF$46:AF$69,4))-$B$6)+$C$20/100</f>
        <v/>
      </c>
      <c r="AK49" s="29">
        <f>($B$17*AG49+$B$18*AH49+$B$19*AI49+$B$20*AJ49)/100*B49/360</f>
        <v/>
      </c>
      <c r="AL49" s="30">
        <f>IF($B$10="RCV",1,-1)*(($B$11/100)-(AF49/100+$B$12/10000))*B49/360</f>
        <v/>
      </c>
      <c r="AM49" s="21">
        <f>$B$6+M$31*SUMIFS(M$6:M$29,$G$6:$G$29,"&lt;="&amp;A49,$F$6:$F$29,"&lt;&gt;")/100</f>
        <v/>
      </c>
      <c r="AN49" s="21">
        <f>$B$6+$B$8*(AM49-$B$6)+$C$17/100</f>
        <v/>
      </c>
      <c r="AO49" s="21">
        <f>$B$6+$B$8*(AM49-$B$6)+$C$18/100</f>
        <v/>
      </c>
      <c r="AP49" s="21">
        <f>$B$6+$B$8*(AVERAGE(INDEX(AM$46:AM$69,MAX(1,3)):INDEX(AM$46:AM$69,4))-$B$6)+$C$19/100</f>
        <v/>
      </c>
      <c r="AQ49" s="21">
        <f>$B$6+$B$8*(AVERAGE(INDEX(AM$46:AM$69,MAX(1,2)):INDEX(AM$46:AM$69,4))-$B$6)+$C$20/100</f>
        <v/>
      </c>
      <c r="AR49" s="29">
        <f>($B$17*AN49+$B$18*AO49+$B$19*AP49+$B$20*AQ49)/100*B49/360</f>
        <v/>
      </c>
      <c r="AS49" s="30">
        <f>IF($B$10="RCV",1,-1)*(($B$11/100)-(AM49/100+$B$12/10000))*B49/360</f>
        <v/>
      </c>
    </row>
    <row r="50">
      <c r="A50" s="13">
        <f>EDATE($B$5,4)</f>
        <v/>
      </c>
      <c r="B50" s="28">
        <f>EDATE(A50,1)-A50</f>
        <v/>
      </c>
      <c r="C50" s="21">
        <f>SUMPRODUCT(($B$25:$B$32&gt;0)*($D$25:$D$32&gt;A50)*$B$25:$B$32*$C$25:$C$32)/100/12</f>
        <v/>
      </c>
      <c r="D50" s="21">
        <f>$B$6+H$31*SUMIFS(H$6:H$29,$G$6:$G$29,"&lt;="&amp;A50,$F$6:$F$29,"&lt;&gt;")/100</f>
        <v/>
      </c>
      <c r="E50" s="21">
        <f>$B$6+$B$8*(D50-$B$6)+$C$17/100</f>
        <v/>
      </c>
      <c r="F50" s="21">
        <f>$B$6+$B$8*(D50-$B$6)+$C$18/100</f>
        <v/>
      </c>
      <c r="G50" s="21">
        <f>$B$6+$B$8*(AVERAGE(INDEX(D$46:D$69,MAX(1,4)):INDEX(D$46:D$69,5))-$B$6)+$C$19/100</f>
        <v/>
      </c>
      <c r="H50" s="21">
        <f>$B$6+$B$8*(AVERAGE(INDEX(D$46:D$69,MAX(1,3)):INDEX(D$46:D$69,5))-$B$6)+$C$20/100</f>
        <v/>
      </c>
      <c r="I50" s="29">
        <f>($B$17*E50+$B$18*F50+$B$19*G50+$B$20*H50)/100*B50/360</f>
        <v/>
      </c>
      <c r="J50" s="30">
        <f>IF($B$10="RCV",1,-1)*(($B$11/100)-(D50/100+$B$12/10000))*B50/360</f>
        <v/>
      </c>
      <c r="K50" s="21">
        <f>$B$6+I$31*SUMIFS(I$6:I$29,$G$6:$G$29,"&lt;="&amp;A50,$F$6:$F$29,"&lt;&gt;")/100</f>
        <v/>
      </c>
      <c r="L50" s="21">
        <f>$B$6+$B$8*(K50-$B$6)+$C$17/100</f>
        <v/>
      </c>
      <c r="M50" s="21">
        <f>$B$6+$B$8*(K50-$B$6)+$C$18/100</f>
        <v/>
      </c>
      <c r="N50" s="21">
        <f>$B$6+$B$8*(AVERAGE(INDEX(K$46:K$69,MAX(1,4)):INDEX(K$46:K$69,5))-$B$6)+$C$19/100</f>
        <v/>
      </c>
      <c r="O50" s="21">
        <f>$B$6+$B$8*(AVERAGE(INDEX(K$46:K$69,MAX(1,3)):INDEX(K$46:K$69,5))-$B$6)+$C$20/100</f>
        <v/>
      </c>
      <c r="P50" s="29">
        <f>($B$17*L50+$B$18*M50+$B$19*N50+$B$20*O50)/100*B50/360</f>
        <v/>
      </c>
      <c r="Q50" s="30">
        <f>IF($B$10="RCV",1,-1)*(($B$11/100)-(K50/100+$B$12/10000))*B50/360</f>
        <v/>
      </c>
      <c r="R50" s="21">
        <f>$B$6+J$31*SUMIFS(J$6:J$29,$G$6:$G$29,"&lt;="&amp;A50,$F$6:$F$29,"&lt;&gt;")/100</f>
        <v/>
      </c>
      <c r="S50" s="21">
        <f>$B$6+$B$8*(R50-$B$6)+$C$17/100</f>
        <v/>
      </c>
      <c r="T50" s="21">
        <f>$B$6+$B$8*(R50-$B$6)+$C$18/100</f>
        <v/>
      </c>
      <c r="U50" s="21">
        <f>$B$6+$B$8*(AVERAGE(INDEX(R$46:R$69,MAX(1,4)):INDEX(R$46:R$69,5))-$B$6)+$C$19/100</f>
        <v/>
      </c>
      <c r="V50" s="21">
        <f>$B$6+$B$8*(AVERAGE(INDEX(R$46:R$69,MAX(1,3)):INDEX(R$46:R$69,5))-$B$6)+$C$20/100</f>
        <v/>
      </c>
      <c r="W50" s="29">
        <f>($B$17*S50+$B$18*T50+$B$19*U50+$B$20*V50)/100*B50/360</f>
        <v/>
      </c>
      <c r="X50" s="30">
        <f>IF($B$10="RCV",1,-1)*(($B$11/100)-(R50/100+$B$12/10000))*B50/360</f>
        <v/>
      </c>
      <c r="Y50" s="21">
        <f>$B$6+K$31*SUMIFS(K$6:K$29,$G$6:$G$29,"&lt;="&amp;A50,$F$6:$F$29,"&lt;&gt;")/100</f>
        <v/>
      </c>
      <c r="Z50" s="21">
        <f>$B$6+$B$8*(Y50-$B$6)+$C$17/100</f>
        <v/>
      </c>
      <c r="AA50" s="21">
        <f>$B$6+$B$8*(Y50-$B$6)+$C$18/100</f>
        <v/>
      </c>
      <c r="AB50" s="21">
        <f>$B$6+$B$8*(AVERAGE(INDEX(Y$46:Y$69,MAX(1,4)):INDEX(Y$46:Y$69,5))-$B$6)+$C$19/100</f>
        <v/>
      </c>
      <c r="AC50" s="21">
        <f>$B$6+$B$8*(AVERAGE(INDEX(Y$46:Y$69,MAX(1,3)):INDEX(Y$46:Y$69,5))-$B$6)+$C$20/100</f>
        <v/>
      </c>
      <c r="AD50" s="29">
        <f>($B$17*Z50+$B$18*AA50+$B$19*AB50+$B$20*AC50)/100*B50/360</f>
        <v/>
      </c>
      <c r="AE50" s="30">
        <f>IF($B$10="RCV",1,-1)*(($B$11/100)-(Y50/100+$B$12/10000))*B50/360</f>
        <v/>
      </c>
      <c r="AF50" s="21">
        <f>$B$6+L$31*SUMIFS(L$6:L$29,$G$6:$G$29,"&lt;="&amp;A50,$F$6:$F$29,"&lt;&gt;")/100</f>
        <v/>
      </c>
      <c r="AG50" s="21">
        <f>$B$6+$B$8*(AF50-$B$6)+$C$17/100</f>
        <v/>
      </c>
      <c r="AH50" s="21">
        <f>$B$6+$B$8*(AF50-$B$6)+$C$18/100</f>
        <v/>
      </c>
      <c r="AI50" s="21">
        <f>$B$6+$B$8*(AVERAGE(INDEX(AF$46:AF$69,MAX(1,4)):INDEX(AF$46:AF$69,5))-$B$6)+$C$19/100</f>
        <v/>
      </c>
      <c r="AJ50" s="21">
        <f>$B$6+$B$8*(AVERAGE(INDEX(AF$46:AF$69,MAX(1,3)):INDEX(AF$46:AF$69,5))-$B$6)+$C$20/100</f>
        <v/>
      </c>
      <c r="AK50" s="29">
        <f>($B$17*AG50+$B$18*AH50+$B$19*AI50+$B$20*AJ50)/100*B50/360</f>
        <v/>
      </c>
      <c r="AL50" s="30">
        <f>IF($B$10="RCV",1,-1)*(($B$11/100)-(AF50/100+$B$12/10000))*B50/360</f>
        <v/>
      </c>
      <c r="AM50" s="21">
        <f>$B$6+M$31*SUMIFS(M$6:M$29,$G$6:$G$29,"&lt;="&amp;A50,$F$6:$F$29,"&lt;&gt;")/100</f>
        <v/>
      </c>
      <c r="AN50" s="21">
        <f>$B$6+$B$8*(AM50-$B$6)+$C$17/100</f>
        <v/>
      </c>
      <c r="AO50" s="21">
        <f>$B$6+$B$8*(AM50-$B$6)+$C$18/100</f>
        <v/>
      </c>
      <c r="AP50" s="21">
        <f>$B$6+$B$8*(AVERAGE(INDEX(AM$46:AM$69,MAX(1,4)):INDEX(AM$46:AM$69,5))-$B$6)+$C$19/100</f>
        <v/>
      </c>
      <c r="AQ50" s="21">
        <f>$B$6+$B$8*(AVERAGE(INDEX(AM$46:AM$69,MAX(1,3)):INDEX(AM$46:AM$69,5))-$B$6)+$C$20/100</f>
        <v/>
      </c>
      <c r="AR50" s="29">
        <f>($B$17*AN50+$B$18*AO50+$B$19*AP50+$B$20*AQ50)/100*B50/360</f>
        <v/>
      </c>
      <c r="AS50" s="30">
        <f>IF($B$10="RCV",1,-1)*(($B$11/100)-(AM50/100+$B$12/10000))*B50/360</f>
        <v/>
      </c>
    </row>
    <row r="51">
      <c r="A51" s="13">
        <f>EDATE($B$5,5)</f>
        <v/>
      </c>
      <c r="B51" s="28">
        <f>EDATE(A51,1)-A51</f>
        <v/>
      </c>
      <c r="C51" s="21">
        <f>SUMPRODUCT(($B$25:$B$32&gt;0)*($D$25:$D$32&gt;A51)*$B$25:$B$32*$C$25:$C$32)/100/12</f>
        <v/>
      </c>
      <c r="D51" s="21">
        <f>$B$6+H$31*SUMIFS(H$6:H$29,$G$6:$G$29,"&lt;="&amp;A51,$F$6:$F$29,"&lt;&gt;")/100</f>
        <v/>
      </c>
      <c r="E51" s="21">
        <f>$B$6+$B$8*(D51-$B$6)+$C$17/100</f>
        <v/>
      </c>
      <c r="F51" s="21">
        <f>$B$6+$B$8*(D51-$B$6)+$C$18/100</f>
        <v/>
      </c>
      <c r="G51" s="21">
        <f>$B$6+$B$8*(AVERAGE(INDEX(D$46:D$69,MAX(1,5)):INDEX(D$46:D$69,6))-$B$6)+$C$19/100</f>
        <v/>
      </c>
      <c r="H51" s="21">
        <f>$B$6+$B$8*(AVERAGE(INDEX(D$46:D$69,MAX(1,4)):INDEX(D$46:D$69,6))-$B$6)+$C$20/100</f>
        <v/>
      </c>
      <c r="I51" s="29">
        <f>($B$17*E51+$B$18*F51+$B$19*G51+$B$20*H51)/100*B51/360</f>
        <v/>
      </c>
      <c r="J51" s="30">
        <f>IF($B$10="RCV",1,-1)*(($B$11/100)-(D51/100+$B$12/10000))*B51/360</f>
        <v/>
      </c>
      <c r="K51" s="21">
        <f>$B$6+I$31*SUMIFS(I$6:I$29,$G$6:$G$29,"&lt;="&amp;A51,$F$6:$F$29,"&lt;&gt;")/100</f>
        <v/>
      </c>
      <c r="L51" s="21">
        <f>$B$6+$B$8*(K51-$B$6)+$C$17/100</f>
        <v/>
      </c>
      <c r="M51" s="21">
        <f>$B$6+$B$8*(K51-$B$6)+$C$18/100</f>
        <v/>
      </c>
      <c r="N51" s="21">
        <f>$B$6+$B$8*(AVERAGE(INDEX(K$46:K$69,MAX(1,5)):INDEX(K$46:K$69,6))-$B$6)+$C$19/100</f>
        <v/>
      </c>
      <c r="O51" s="21">
        <f>$B$6+$B$8*(AVERAGE(INDEX(K$46:K$69,MAX(1,4)):INDEX(K$46:K$69,6))-$B$6)+$C$20/100</f>
        <v/>
      </c>
      <c r="P51" s="29">
        <f>($B$17*L51+$B$18*M51+$B$19*N51+$B$20*O51)/100*B51/360</f>
        <v/>
      </c>
      <c r="Q51" s="30">
        <f>IF($B$10="RCV",1,-1)*(($B$11/100)-(K51/100+$B$12/10000))*B51/360</f>
        <v/>
      </c>
      <c r="R51" s="21">
        <f>$B$6+J$31*SUMIFS(J$6:J$29,$G$6:$G$29,"&lt;="&amp;A51,$F$6:$F$29,"&lt;&gt;")/100</f>
        <v/>
      </c>
      <c r="S51" s="21">
        <f>$B$6+$B$8*(R51-$B$6)+$C$17/100</f>
        <v/>
      </c>
      <c r="T51" s="21">
        <f>$B$6+$B$8*(R51-$B$6)+$C$18/100</f>
        <v/>
      </c>
      <c r="U51" s="21">
        <f>$B$6+$B$8*(AVERAGE(INDEX(R$46:R$69,MAX(1,5)):INDEX(R$46:R$69,6))-$B$6)+$C$19/100</f>
        <v/>
      </c>
      <c r="V51" s="21">
        <f>$B$6+$B$8*(AVERAGE(INDEX(R$46:R$69,MAX(1,4)):INDEX(R$46:R$69,6))-$B$6)+$C$20/100</f>
        <v/>
      </c>
      <c r="W51" s="29">
        <f>($B$17*S51+$B$18*T51+$B$19*U51+$B$20*V51)/100*B51/360</f>
        <v/>
      </c>
      <c r="X51" s="30">
        <f>IF($B$10="RCV",1,-1)*(($B$11/100)-(R51/100+$B$12/10000))*B51/360</f>
        <v/>
      </c>
      <c r="Y51" s="21">
        <f>$B$6+K$31*SUMIFS(K$6:K$29,$G$6:$G$29,"&lt;="&amp;A51,$F$6:$F$29,"&lt;&gt;")/100</f>
        <v/>
      </c>
      <c r="Z51" s="21">
        <f>$B$6+$B$8*(Y51-$B$6)+$C$17/100</f>
        <v/>
      </c>
      <c r="AA51" s="21">
        <f>$B$6+$B$8*(Y51-$B$6)+$C$18/100</f>
        <v/>
      </c>
      <c r="AB51" s="21">
        <f>$B$6+$B$8*(AVERAGE(INDEX(Y$46:Y$69,MAX(1,5)):INDEX(Y$46:Y$69,6))-$B$6)+$C$19/100</f>
        <v/>
      </c>
      <c r="AC51" s="21">
        <f>$B$6+$B$8*(AVERAGE(INDEX(Y$46:Y$69,MAX(1,4)):INDEX(Y$46:Y$69,6))-$B$6)+$C$20/100</f>
        <v/>
      </c>
      <c r="AD51" s="29">
        <f>($B$17*Z51+$B$18*AA51+$B$19*AB51+$B$20*AC51)/100*B51/360</f>
        <v/>
      </c>
      <c r="AE51" s="30">
        <f>IF($B$10="RCV",1,-1)*(($B$11/100)-(Y51/100+$B$12/10000))*B51/360</f>
        <v/>
      </c>
      <c r="AF51" s="21">
        <f>$B$6+L$31*SUMIFS(L$6:L$29,$G$6:$G$29,"&lt;="&amp;A51,$F$6:$F$29,"&lt;&gt;")/100</f>
        <v/>
      </c>
      <c r="AG51" s="21">
        <f>$B$6+$B$8*(AF51-$B$6)+$C$17/100</f>
        <v/>
      </c>
      <c r="AH51" s="21">
        <f>$B$6+$B$8*(AF51-$B$6)+$C$18/100</f>
        <v/>
      </c>
      <c r="AI51" s="21">
        <f>$B$6+$B$8*(AVERAGE(INDEX(AF$46:AF$69,MAX(1,5)):INDEX(AF$46:AF$69,6))-$B$6)+$C$19/100</f>
        <v/>
      </c>
      <c r="AJ51" s="21">
        <f>$B$6+$B$8*(AVERAGE(INDEX(AF$46:AF$69,MAX(1,4)):INDEX(AF$46:AF$69,6))-$B$6)+$C$20/100</f>
        <v/>
      </c>
      <c r="AK51" s="29">
        <f>($B$17*AG51+$B$18*AH51+$B$19*AI51+$B$20*AJ51)/100*B51/360</f>
        <v/>
      </c>
      <c r="AL51" s="30">
        <f>IF($B$10="RCV",1,-1)*(($B$11/100)-(AF51/100+$B$12/10000))*B51/360</f>
        <v/>
      </c>
      <c r="AM51" s="21">
        <f>$B$6+M$31*SUMIFS(M$6:M$29,$G$6:$G$29,"&lt;="&amp;A51,$F$6:$F$29,"&lt;&gt;")/100</f>
        <v/>
      </c>
      <c r="AN51" s="21">
        <f>$B$6+$B$8*(AM51-$B$6)+$C$17/100</f>
        <v/>
      </c>
      <c r="AO51" s="21">
        <f>$B$6+$B$8*(AM51-$B$6)+$C$18/100</f>
        <v/>
      </c>
      <c r="AP51" s="21">
        <f>$B$6+$B$8*(AVERAGE(INDEX(AM$46:AM$69,MAX(1,5)):INDEX(AM$46:AM$69,6))-$B$6)+$C$19/100</f>
        <v/>
      </c>
      <c r="AQ51" s="21">
        <f>$B$6+$B$8*(AVERAGE(INDEX(AM$46:AM$69,MAX(1,4)):INDEX(AM$46:AM$69,6))-$B$6)+$C$20/100</f>
        <v/>
      </c>
      <c r="AR51" s="29">
        <f>($B$17*AN51+$B$18*AO51+$B$19*AP51+$B$20*AQ51)/100*B51/360</f>
        <v/>
      </c>
      <c r="AS51" s="30">
        <f>IF($B$10="RCV",1,-1)*(($B$11/100)-(AM51/100+$B$12/10000))*B51/360</f>
        <v/>
      </c>
    </row>
    <row r="52">
      <c r="A52" s="13">
        <f>EDATE($B$5,6)</f>
        <v/>
      </c>
      <c r="B52" s="28">
        <f>EDATE(A52,1)-A52</f>
        <v/>
      </c>
      <c r="C52" s="21">
        <f>SUMPRODUCT(($B$25:$B$32&gt;0)*($D$25:$D$32&gt;A52)*$B$25:$B$32*$C$25:$C$32)/100/12</f>
        <v/>
      </c>
      <c r="D52" s="21">
        <f>$B$6+H$31*SUMIFS(H$6:H$29,$G$6:$G$29,"&lt;="&amp;A52,$F$6:$F$29,"&lt;&gt;")/100</f>
        <v/>
      </c>
      <c r="E52" s="21">
        <f>$B$6+$B$8*(D52-$B$6)+$C$17/100</f>
        <v/>
      </c>
      <c r="F52" s="21">
        <f>$B$6+$B$8*(D52-$B$6)+$C$18/100</f>
        <v/>
      </c>
      <c r="G52" s="21">
        <f>$B$6+$B$8*(AVERAGE(INDEX(D$46:D$69,MAX(1,6)):INDEX(D$46:D$69,7))-$B$6)+$C$19/100</f>
        <v/>
      </c>
      <c r="H52" s="21">
        <f>$B$6+$B$8*(AVERAGE(INDEX(D$46:D$69,MAX(1,5)):INDEX(D$46:D$69,7))-$B$6)+$C$20/100</f>
        <v/>
      </c>
      <c r="I52" s="29">
        <f>($B$17*E52+$B$18*F52+$B$19*G52+$B$20*H52)/100*B52/360</f>
        <v/>
      </c>
      <c r="J52" s="30">
        <f>IF($B$10="RCV",1,-1)*(($B$11/100)-(D52/100+$B$12/10000))*B52/360</f>
        <v/>
      </c>
      <c r="K52" s="21">
        <f>$B$6+I$31*SUMIFS(I$6:I$29,$G$6:$G$29,"&lt;="&amp;A52,$F$6:$F$29,"&lt;&gt;")/100</f>
        <v/>
      </c>
      <c r="L52" s="21">
        <f>$B$6+$B$8*(K52-$B$6)+$C$17/100</f>
        <v/>
      </c>
      <c r="M52" s="21">
        <f>$B$6+$B$8*(K52-$B$6)+$C$18/100</f>
        <v/>
      </c>
      <c r="N52" s="21">
        <f>$B$6+$B$8*(AVERAGE(INDEX(K$46:K$69,MAX(1,6)):INDEX(K$46:K$69,7))-$B$6)+$C$19/100</f>
        <v/>
      </c>
      <c r="O52" s="21">
        <f>$B$6+$B$8*(AVERAGE(INDEX(K$46:K$69,MAX(1,5)):INDEX(K$46:K$69,7))-$B$6)+$C$20/100</f>
        <v/>
      </c>
      <c r="P52" s="29">
        <f>($B$17*L52+$B$18*M52+$B$19*N52+$B$20*O52)/100*B52/360</f>
        <v/>
      </c>
      <c r="Q52" s="30">
        <f>IF($B$10="RCV",1,-1)*(($B$11/100)-(K52/100+$B$12/10000))*B52/360</f>
        <v/>
      </c>
      <c r="R52" s="21">
        <f>$B$6+J$31*SUMIFS(J$6:J$29,$G$6:$G$29,"&lt;="&amp;A52,$F$6:$F$29,"&lt;&gt;")/100</f>
        <v/>
      </c>
      <c r="S52" s="21">
        <f>$B$6+$B$8*(R52-$B$6)+$C$17/100</f>
        <v/>
      </c>
      <c r="T52" s="21">
        <f>$B$6+$B$8*(R52-$B$6)+$C$18/100</f>
        <v/>
      </c>
      <c r="U52" s="21">
        <f>$B$6+$B$8*(AVERAGE(INDEX(R$46:R$69,MAX(1,6)):INDEX(R$46:R$69,7))-$B$6)+$C$19/100</f>
        <v/>
      </c>
      <c r="V52" s="21">
        <f>$B$6+$B$8*(AVERAGE(INDEX(R$46:R$69,MAX(1,5)):INDEX(R$46:R$69,7))-$B$6)+$C$20/100</f>
        <v/>
      </c>
      <c r="W52" s="29">
        <f>($B$17*S52+$B$18*T52+$B$19*U52+$B$20*V52)/100*B52/360</f>
        <v/>
      </c>
      <c r="X52" s="30">
        <f>IF($B$10="RCV",1,-1)*(($B$11/100)-(R52/100+$B$12/10000))*B52/360</f>
        <v/>
      </c>
      <c r="Y52" s="21">
        <f>$B$6+K$31*SUMIFS(K$6:K$29,$G$6:$G$29,"&lt;="&amp;A52,$F$6:$F$29,"&lt;&gt;")/100</f>
        <v/>
      </c>
      <c r="Z52" s="21">
        <f>$B$6+$B$8*(Y52-$B$6)+$C$17/100</f>
        <v/>
      </c>
      <c r="AA52" s="21">
        <f>$B$6+$B$8*(Y52-$B$6)+$C$18/100</f>
        <v/>
      </c>
      <c r="AB52" s="21">
        <f>$B$6+$B$8*(AVERAGE(INDEX(Y$46:Y$69,MAX(1,6)):INDEX(Y$46:Y$69,7))-$B$6)+$C$19/100</f>
        <v/>
      </c>
      <c r="AC52" s="21">
        <f>$B$6+$B$8*(AVERAGE(INDEX(Y$46:Y$69,MAX(1,5)):INDEX(Y$46:Y$69,7))-$B$6)+$C$20/100</f>
        <v/>
      </c>
      <c r="AD52" s="29">
        <f>($B$17*Z52+$B$18*AA52+$B$19*AB52+$B$20*AC52)/100*B52/360</f>
        <v/>
      </c>
      <c r="AE52" s="30">
        <f>IF($B$10="RCV",1,-1)*(($B$11/100)-(Y52/100+$B$12/10000))*B52/360</f>
        <v/>
      </c>
      <c r="AF52" s="21">
        <f>$B$6+L$31*SUMIFS(L$6:L$29,$G$6:$G$29,"&lt;="&amp;A52,$F$6:$F$29,"&lt;&gt;")/100</f>
        <v/>
      </c>
      <c r="AG52" s="21">
        <f>$B$6+$B$8*(AF52-$B$6)+$C$17/100</f>
        <v/>
      </c>
      <c r="AH52" s="21">
        <f>$B$6+$B$8*(AF52-$B$6)+$C$18/100</f>
        <v/>
      </c>
      <c r="AI52" s="21">
        <f>$B$6+$B$8*(AVERAGE(INDEX(AF$46:AF$69,MAX(1,6)):INDEX(AF$46:AF$69,7))-$B$6)+$C$19/100</f>
        <v/>
      </c>
      <c r="AJ52" s="21">
        <f>$B$6+$B$8*(AVERAGE(INDEX(AF$46:AF$69,MAX(1,5)):INDEX(AF$46:AF$69,7))-$B$6)+$C$20/100</f>
        <v/>
      </c>
      <c r="AK52" s="29">
        <f>($B$17*AG52+$B$18*AH52+$B$19*AI52+$B$20*AJ52)/100*B52/360</f>
        <v/>
      </c>
      <c r="AL52" s="30">
        <f>IF($B$10="RCV",1,-1)*(($B$11/100)-(AF52/100+$B$12/10000))*B52/360</f>
        <v/>
      </c>
      <c r="AM52" s="21">
        <f>$B$6+M$31*SUMIFS(M$6:M$29,$G$6:$G$29,"&lt;="&amp;A52,$F$6:$F$29,"&lt;&gt;")/100</f>
        <v/>
      </c>
      <c r="AN52" s="21">
        <f>$B$6+$B$8*(AM52-$B$6)+$C$17/100</f>
        <v/>
      </c>
      <c r="AO52" s="21">
        <f>$B$6+$B$8*(AM52-$B$6)+$C$18/100</f>
        <v/>
      </c>
      <c r="AP52" s="21">
        <f>$B$6+$B$8*(AVERAGE(INDEX(AM$46:AM$69,MAX(1,6)):INDEX(AM$46:AM$69,7))-$B$6)+$C$19/100</f>
        <v/>
      </c>
      <c r="AQ52" s="21">
        <f>$B$6+$B$8*(AVERAGE(INDEX(AM$46:AM$69,MAX(1,5)):INDEX(AM$46:AM$69,7))-$B$6)+$C$20/100</f>
        <v/>
      </c>
      <c r="AR52" s="29">
        <f>($B$17*AN52+$B$18*AO52+$B$19*AP52+$B$20*AQ52)/100*B52/360</f>
        <v/>
      </c>
      <c r="AS52" s="30">
        <f>IF($B$10="RCV",1,-1)*(($B$11/100)-(AM52/100+$B$12/10000))*B52/360</f>
        <v/>
      </c>
    </row>
    <row r="53">
      <c r="A53" s="13">
        <f>EDATE($B$5,7)</f>
        <v/>
      </c>
      <c r="B53" s="28">
        <f>EDATE(A53,1)-A53</f>
        <v/>
      </c>
      <c r="C53" s="21">
        <f>SUMPRODUCT(($B$25:$B$32&gt;0)*($D$25:$D$32&gt;A53)*$B$25:$B$32*$C$25:$C$32)/100/12</f>
        <v/>
      </c>
      <c r="D53" s="21">
        <f>$B$6+H$31*SUMIFS(H$6:H$29,$G$6:$G$29,"&lt;="&amp;A53,$F$6:$F$29,"&lt;&gt;")/100</f>
        <v/>
      </c>
      <c r="E53" s="21">
        <f>$B$6+$B$8*(D53-$B$6)+$C$17/100</f>
        <v/>
      </c>
      <c r="F53" s="21">
        <f>$B$6+$B$8*(D53-$B$6)+$C$18/100</f>
        <v/>
      </c>
      <c r="G53" s="21">
        <f>$B$6+$B$8*(AVERAGE(INDEX(D$46:D$69,MAX(1,7)):INDEX(D$46:D$69,8))-$B$6)+$C$19/100</f>
        <v/>
      </c>
      <c r="H53" s="21">
        <f>$B$6+$B$8*(AVERAGE(INDEX(D$46:D$69,MAX(1,6)):INDEX(D$46:D$69,8))-$B$6)+$C$20/100</f>
        <v/>
      </c>
      <c r="I53" s="29">
        <f>($B$17*E53+$B$18*F53+$B$19*G53+$B$20*H53)/100*B53/360</f>
        <v/>
      </c>
      <c r="J53" s="30">
        <f>IF($B$10="RCV",1,-1)*(($B$11/100)-(D53/100+$B$12/10000))*B53/360</f>
        <v/>
      </c>
      <c r="K53" s="21">
        <f>$B$6+I$31*SUMIFS(I$6:I$29,$G$6:$G$29,"&lt;="&amp;A53,$F$6:$F$29,"&lt;&gt;")/100</f>
        <v/>
      </c>
      <c r="L53" s="21">
        <f>$B$6+$B$8*(K53-$B$6)+$C$17/100</f>
        <v/>
      </c>
      <c r="M53" s="21">
        <f>$B$6+$B$8*(K53-$B$6)+$C$18/100</f>
        <v/>
      </c>
      <c r="N53" s="21">
        <f>$B$6+$B$8*(AVERAGE(INDEX(K$46:K$69,MAX(1,7)):INDEX(K$46:K$69,8))-$B$6)+$C$19/100</f>
        <v/>
      </c>
      <c r="O53" s="21">
        <f>$B$6+$B$8*(AVERAGE(INDEX(K$46:K$69,MAX(1,6)):INDEX(K$46:K$69,8))-$B$6)+$C$20/100</f>
        <v/>
      </c>
      <c r="P53" s="29">
        <f>($B$17*L53+$B$18*M53+$B$19*N53+$B$20*O53)/100*B53/360</f>
        <v/>
      </c>
      <c r="Q53" s="30">
        <f>IF($B$10="RCV",1,-1)*(($B$11/100)-(K53/100+$B$12/10000))*B53/360</f>
        <v/>
      </c>
      <c r="R53" s="21">
        <f>$B$6+J$31*SUMIFS(J$6:J$29,$G$6:$G$29,"&lt;="&amp;A53,$F$6:$F$29,"&lt;&gt;")/100</f>
        <v/>
      </c>
      <c r="S53" s="21">
        <f>$B$6+$B$8*(R53-$B$6)+$C$17/100</f>
        <v/>
      </c>
      <c r="T53" s="21">
        <f>$B$6+$B$8*(R53-$B$6)+$C$18/100</f>
        <v/>
      </c>
      <c r="U53" s="21">
        <f>$B$6+$B$8*(AVERAGE(INDEX(R$46:R$69,MAX(1,7)):INDEX(R$46:R$69,8))-$B$6)+$C$19/100</f>
        <v/>
      </c>
      <c r="V53" s="21">
        <f>$B$6+$B$8*(AVERAGE(INDEX(R$46:R$69,MAX(1,6)):INDEX(R$46:R$69,8))-$B$6)+$C$20/100</f>
        <v/>
      </c>
      <c r="W53" s="29">
        <f>($B$17*S53+$B$18*T53+$B$19*U53+$B$20*V53)/100*B53/360</f>
        <v/>
      </c>
      <c r="X53" s="30">
        <f>IF($B$10="RCV",1,-1)*(($B$11/100)-(R53/100+$B$12/10000))*B53/360</f>
        <v/>
      </c>
      <c r="Y53" s="21">
        <f>$B$6+K$31*SUMIFS(K$6:K$29,$G$6:$G$29,"&lt;="&amp;A53,$F$6:$F$29,"&lt;&gt;")/100</f>
        <v/>
      </c>
      <c r="Z53" s="21">
        <f>$B$6+$B$8*(Y53-$B$6)+$C$17/100</f>
        <v/>
      </c>
      <c r="AA53" s="21">
        <f>$B$6+$B$8*(Y53-$B$6)+$C$18/100</f>
        <v/>
      </c>
      <c r="AB53" s="21">
        <f>$B$6+$B$8*(AVERAGE(INDEX(Y$46:Y$69,MAX(1,7)):INDEX(Y$46:Y$69,8))-$B$6)+$C$19/100</f>
        <v/>
      </c>
      <c r="AC53" s="21">
        <f>$B$6+$B$8*(AVERAGE(INDEX(Y$46:Y$69,MAX(1,6)):INDEX(Y$46:Y$69,8))-$B$6)+$C$20/100</f>
        <v/>
      </c>
      <c r="AD53" s="29">
        <f>($B$17*Z53+$B$18*AA53+$B$19*AB53+$B$20*AC53)/100*B53/360</f>
        <v/>
      </c>
      <c r="AE53" s="30">
        <f>IF($B$10="RCV",1,-1)*(($B$11/100)-(Y53/100+$B$12/10000))*B53/360</f>
        <v/>
      </c>
      <c r="AF53" s="21">
        <f>$B$6+L$31*SUMIFS(L$6:L$29,$G$6:$G$29,"&lt;="&amp;A53,$F$6:$F$29,"&lt;&gt;")/100</f>
        <v/>
      </c>
      <c r="AG53" s="21">
        <f>$B$6+$B$8*(AF53-$B$6)+$C$17/100</f>
        <v/>
      </c>
      <c r="AH53" s="21">
        <f>$B$6+$B$8*(AF53-$B$6)+$C$18/100</f>
        <v/>
      </c>
      <c r="AI53" s="21">
        <f>$B$6+$B$8*(AVERAGE(INDEX(AF$46:AF$69,MAX(1,7)):INDEX(AF$46:AF$69,8))-$B$6)+$C$19/100</f>
        <v/>
      </c>
      <c r="AJ53" s="21">
        <f>$B$6+$B$8*(AVERAGE(INDEX(AF$46:AF$69,MAX(1,6)):INDEX(AF$46:AF$69,8))-$B$6)+$C$20/100</f>
        <v/>
      </c>
      <c r="AK53" s="29">
        <f>($B$17*AG53+$B$18*AH53+$B$19*AI53+$B$20*AJ53)/100*B53/360</f>
        <v/>
      </c>
      <c r="AL53" s="30">
        <f>IF($B$10="RCV",1,-1)*(($B$11/100)-(AF53/100+$B$12/10000))*B53/360</f>
        <v/>
      </c>
      <c r="AM53" s="21">
        <f>$B$6+M$31*SUMIFS(M$6:M$29,$G$6:$G$29,"&lt;="&amp;A53,$F$6:$F$29,"&lt;&gt;")/100</f>
        <v/>
      </c>
      <c r="AN53" s="21">
        <f>$B$6+$B$8*(AM53-$B$6)+$C$17/100</f>
        <v/>
      </c>
      <c r="AO53" s="21">
        <f>$B$6+$B$8*(AM53-$B$6)+$C$18/100</f>
        <v/>
      </c>
      <c r="AP53" s="21">
        <f>$B$6+$B$8*(AVERAGE(INDEX(AM$46:AM$69,MAX(1,7)):INDEX(AM$46:AM$69,8))-$B$6)+$C$19/100</f>
        <v/>
      </c>
      <c r="AQ53" s="21">
        <f>$B$6+$B$8*(AVERAGE(INDEX(AM$46:AM$69,MAX(1,6)):INDEX(AM$46:AM$69,8))-$B$6)+$C$20/100</f>
        <v/>
      </c>
      <c r="AR53" s="29">
        <f>($B$17*AN53+$B$18*AO53+$B$19*AP53+$B$20*AQ53)/100*B53/360</f>
        <v/>
      </c>
      <c r="AS53" s="30">
        <f>IF($B$10="RCV",1,-1)*(($B$11/100)-(AM53/100+$B$12/10000))*B53/360</f>
        <v/>
      </c>
    </row>
    <row r="54">
      <c r="A54" s="13">
        <f>EDATE($B$5,8)</f>
        <v/>
      </c>
      <c r="B54" s="28">
        <f>EDATE(A54,1)-A54</f>
        <v/>
      </c>
      <c r="C54" s="21">
        <f>SUMPRODUCT(($B$25:$B$32&gt;0)*($D$25:$D$32&gt;A54)*$B$25:$B$32*$C$25:$C$32)/100/12</f>
        <v/>
      </c>
      <c r="D54" s="21">
        <f>$B$6+H$31*SUMIFS(H$6:H$29,$G$6:$G$29,"&lt;="&amp;A54,$F$6:$F$29,"&lt;&gt;")/100</f>
        <v/>
      </c>
      <c r="E54" s="21">
        <f>$B$6+$B$8*(D54-$B$6)+$C$17/100</f>
        <v/>
      </c>
      <c r="F54" s="21">
        <f>$B$6+$B$8*(D54-$B$6)+$C$18/100</f>
        <v/>
      </c>
      <c r="G54" s="21">
        <f>$B$6+$B$8*(AVERAGE(INDEX(D$46:D$69,MAX(1,8)):INDEX(D$46:D$69,9))-$B$6)+$C$19/100</f>
        <v/>
      </c>
      <c r="H54" s="21">
        <f>$B$6+$B$8*(AVERAGE(INDEX(D$46:D$69,MAX(1,7)):INDEX(D$46:D$69,9))-$B$6)+$C$20/100</f>
        <v/>
      </c>
      <c r="I54" s="29">
        <f>($B$17*E54+$B$18*F54+$B$19*G54+$B$20*H54)/100*B54/360</f>
        <v/>
      </c>
      <c r="J54" s="30">
        <f>IF($B$10="RCV",1,-1)*(($B$11/100)-(D54/100+$B$12/10000))*B54/360</f>
        <v/>
      </c>
      <c r="K54" s="21">
        <f>$B$6+I$31*SUMIFS(I$6:I$29,$G$6:$G$29,"&lt;="&amp;A54,$F$6:$F$29,"&lt;&gt;")/100</f>
        <v/>
      </c>
      <c r="L54" s="21">
        <f>$B$6+$B$8*(K54-$B$6)+$C$17/100</f>
        <v/>
      </c>
      <c r="M54" s="21">
        <f>$B$6+$B$8*(K54-$B$6)+$C$18/100</f>
        <v/>
      </c>
      <c r="N54" s="21">
        <f>$B$6+$B$8*(AVERAGE(INDEX(K$46:K$69,MAX(1,8)):INDEX(K$46:K$69,9))-$B$6)+$C$19/100</f>
        <v/>
      </c>
      <c r="O54" s="21">
        <f>$B$6+$B$8*(AVERAGE(INDEX(K$46:K$69,MAX(1,7)):INDEX(K$46:K$69,9))-$B$6)+$C$20/100</f>
        <v/>
      </c>
      <c r="P54" s="29">
        <f>($B$17*L54+$B$18*M54+$B$19*N54+$B$20*O54)/100*B54/360</f>
        <v/>
      </c>
      <c r="Q54" s="30">
        <f>IF($B$10="RCV",1,-1)*(($B$11/100)-(K54/100+$B$12/10000))*B54/360</f>
        <v/>
      </c>
      <c r="R54" s="21">
        <f>$B$6+J$31*SUMIFS(J$6:J$29,$G$6:$G$29,"&lt;="&amp;A54,$F$6:$F$29,"&lt;&gt;")/100</f>
        <v/>
      </c>
      <c r="S54" s="21">
        <f>$B$6+$B$8*(R54-$B$6)+$C$17/100</f>
        <v/>
      </c>
      <c r="T54" s="21">
        <f>$B$6+$B$8*(R54-$B$6)+$C$18/100</f>
        <v/>
      </c>
      <c r="U54" s="21">
        <f>$B$6+$B$8*(AVERAGE(INDEX(R$46:R$69,MAX(1,8)):INDEX(R$46:R$69,9))-$B$6)+$C$19/100</f>
        <v/>
      </c>
      <c r="V54" s="21">
        <f>$B$6+$B$8*(AVERAGE(INDEX(R$46:R$69,MAX(1,7)):INDEX(R$46:R$69,9))-$B$6)+$C$20/100</f>
        <v/>
      </c>
      <c r="W54" s="29">
        <f>($B$17*S54+$B$18*T54+$B$19*U54+$B$20*V54)/100*B54/360</f>
        <v/>
      </c>
      <c r="X54" s="30">
        <f>IF($B$10="RCV",1,-1)*(($B$11/100)-(R54/100+$B$12/10000))*B54/360</f>
        <v/>
      </c>
      <c r="Y54" s="21">
        <f>$B$6+K$31*SUMIFS(K$6:K$29,$G$6:$G$29,"&lt;="&amp;A54,$F$6:$F$29,"&lt;&gt;")/100</f>
        <v/>
      </c>
      <c r="Z54" s="21">
        <f>$B$6+$B$8*(Y54-$B$6)+$C$17/100</f>
        <v/>
      </c>
      <c r="AA54" s="21">
        <f>$B$6+$B$8*(Y54-$B$6)+$C$18/100</f>
        <v/>
      </c>
      <c r="AB54" s="21">
        <f>$B$6+$B$8*(AVERAGE(INDEX(Y$46:Y$69,MAX(1,8)):INDEX(Y$46:Y$69,9))-$B$6)+$C$19/100</f>
        <v/>
      </c>
      <c r="AC54" s="21">
        <f>$B$6+$B$8*(AVERAGE(INDEX(Y$46:Y$69,MAX(1,7)):INDEX(Y$46:Y$69,9))-$B$6)+$C$20/100</f>
        <v/>
      </c>
      <c r="AD54" s="29">
        <f>($B$17*Z54+$B$18*AA54+$B$19*AB54+$B$20*AC54)/100*B54/360</f>
        <v/>
      </c>
      <c r="AE54" s="30">
        <f>IF($B$10="RCV",1,-1)*(($B$11/100)-(Y54/100+$B$12/10000))*B54/360</f>
        <v/>
      </c>
      <c r="AF54" s="21">
        <f>$B$6+L$31*SUMIFS(L$6:L$29,$G$6:$G$29,"&lt;="&amp;A54,$F$6:$F$29,"&lt;&gt;")/100</f>
        <v/>
      </c>
      <c r="AG54" s="21">
        <f>$B$6+$B$8*(AF54-$B$6)+$C$17/100</f>
        <v/>
      </c>
      <c r="AH54" s="21">
        <f>$B$6+$B$8*(AF54-$B$6)+$C$18/100</f>
        <v/>
      </c>
      <c r="AI54" s="21">
        <f>$B$6+$B$8*(AVERAGE(INDEX(AF$46:AF$69,MAX(1,8)):INDEX(AF$46:AF$69,9))-$B$6)+$C$19/100</f>
        <v/>
      </c>
      <c r="AJ54" s="21">
        <f>$B$6+$B$8*(AVERAGE(INDEX(AF$46:AF$69,MAX(1,7)):INDEX(AF$46:AF$69,9))-$B$6)+$C$20/100</f>
        <v/>
      </c>
      <c r="AK54" s="29">
        <f>($B$17*AG54+$B$18*AH54+$B$19*AI54+$B$20*AJ54)/100*B54/360</f>
        <v/>
      </c>
      <c r="AL54" s="30">
        <f>IF($B$10="RCV",1,-1)*(($B$11/100)-(AF54/100+$B$12/10000))*B54/360</f>
        <v/>
      </c>
      <c r="AM54" s="21">
        <f>$B$6+M$31*SUMIFS(M$6:M$29,$G$6:$G$29,"&lt;="&amp;A54,$F$6:$F$29,"&lt;&gt;")/100</f>
        <v/>
      </c>
      <c r="AN54" s="21">
        <f>$B$6+$B$8*(AM54-$B$6)+$C$17/100</f>
        <v/>
      </c>
      <c r="AO54" s="21">
        <f>$B$6+$B$8*(AM54-$B$6)+$C$18/100</f>
        <v/>
      </c>
      <c r="AP54" s="21">
        <f>$B$6+$B$8*(AVERAGE(INDEX(AM$46:AM$69,MAX(1,8)):INDEX(AM$46:AM$69,9))-$B$6)+$C$19/100</f>
        <v/>
      </c>
      <c r="AQ54" s="21">
        <f>$B$6+$B$8*(AVERAGE(INDEX(AM$46:AM$69,MAX(1,7)):INDEX(AM$46:AM$69,9))-$B$6)+$C$20/100</f>
        <v/>
      </c>
      <c r="AR54" s="29">
        <f>($B$17*AN54+$B$18*AO54+$B$19*AP54+$B$20*AQ54)/100*B54/360</f>
        <v/>
      </c>
      <c r="AS54" s="30">
        <f>IF($B$10="RCV",1,-1)*(($B$11/100)-(AM54/100+$B$12/10000))*B54/360</f>
        <v/>
      </c>
    </row>
    <row r="55">
      <c r="A55" s="13">
        <f>EDATE($B$5,9)</f>
        <v/>
      </c>
      <c r="B55" s="28">
        <f>EDATE(A55,1)-A55</f>
        <v/>
      </c>
      <c r="C55" s="21">
        <f>SUMPRODUCT(($B$25:$B$32&gt;0)*($D$25:$D$32&gt;A55)*$B$25:$B$32*$C$25:$C$32)/100/12</f>
        <v/>
      </c>
      <c r="D55" s="21">
        <f>$B$6+H$31*SUMIFS(H$6:H$29,$G$6:$G$29,"&lt;="&amp;A55,$F$6:$F$29,"&lt;&gt;")/100</f>
        <v/>
      </c>
      <c r="E55" s="21">
        <f>$B$6+$B$8*(D55-$B$6)+$C$17/100</f>
        <v/>
      </c>
      <c r="F55" s="21">
        <f>$B$6+$B$8*(D55-$B$6)+$C$18/100</f>
        <v/>
      </c>
      <c r="G55" s="21">
        <f>$B$6+$B$8*(AVERAGE(INDEX(D$46:D$69,MAX(1,9)):INDEX(D$46:D$69,10))-$B$6)+$C$19/100</f>
        <v/>
      </c>
      <c r="H55" s="21">
        <f>$B$6+$B$8*(AVERAGE(INDEX(D$46:D$69,MAX(1,8)):INDEX(D$46:D$69,10))-$B$6)+$C$20/100</f>
        <v/>
      </c>
      <c r="I55" s="29">
        <f>($B$17*E55+$B$18*F55+$B$19*G55+$B$20*H55)/100*B55/360</f>
        <v/>
      </c>
      <c r="J55" s="30">
        <f>IF($B$10="RCV",1,-1)*(($B$11/100)-(D55/100+$B$12/10000))*B55/360</f>
        <v/>
      </c>
      <c r="K55" s="21">
        <f>$B$6+I$31*SUMIFS(I$6:I$29,$G$6:$G$29,"&lt;="&amp;A55,$F$6:$F$29,"&lt;&gt;")/100</f>
        <v/>
      </c>
      <c r="L55" s="21">
        <f>$B$6+$B$8*(K55-$B$6)+$C$17/100</f>
        <v/>
      </c>
      <c r="M55" s="21">
        <f>$B$6+$B$8*(K55-$B$6)+$C$18/100</f>
        <v/>
      </c>
      <c r="N55" s="21">
        <f>$B$6+$B$8*(AVERAGE(INDEX(K$46:K$69,MAX(1,9)):INDEX(K$46:K$69,10))-$B$6)+$C$19/100</f>
        <v/>
      </c>
      <c r="O55" s="21">
        <f>$B$6+$B$8*(AVERAGE(INDEX(K$46:K$69,MAX(1,8)):INDEX(K$46:K$69,10))-$B$6)+$C$20/100</f>
        <v/>
      </c>
      <c r="P55" s="29">
        <f>($B$17*L55+$B$18*M55+$B$19*N55+$B$20*O55)/100*B55/360</f>
        <v/>
      </c>
      <c r="Q55" s="30">
        <f>IF($B$10="RCV",1,-1)*(($B$11/100)-(K55/100+$B$12/10000))*B55/360</f>
        <v/>
      </c>
      <c r="R55" s="21">
        <f>$B$6+J$31*SUMIFS(J$6:J$29,$G$6:$G$29,"&lt;="&amp;A55,$F$6:$F$29,"&lt;&gt;")/100</f>
        <v/>
      </c>
      <c r="S55" s="21">
        <f>$B$6+$B$8*(R55-$B$6)+$C$17/100</f>
        <v/>
      </c>
      <c r="T55" s="21">
        <f>$B$6+$B$8*(R55-$B$6)+$C$18/100</f>
        <v/>
      </c>
      <c r="U55" s="21">
        <f>$B$6+$B$8*(AVERAGE(INDEX(R$46:R$69,MAX(1,9)):INDEX(R$46:R$69,10))-$B$6)+$C$19/100</f>
        <v/>
      </c>
      <c r="V55" s="21">
        <f>$B$6+$B$8*(AVERAGE(INDEX(R$46:R$69,MAX(1,8)):INDEX(R$46:R$69,10))-$B$6)+$C$20/100</f>
        <v/>
      </c>
      <c r="W55" s="29">
        <f>($B$17*S55+$B$18*T55+$B$19*U55+$B$20*V55)/100*B55/360</f>
        <v/>
      </c>
      <c r="X55" s="30">
        <f>IF($B$10="RCV",1,-1)*(($B$11/100)-(R55/100+$B$12/10000))*B55/360</f>
        <v/>
      </c>
      <c r="Y55" s="21">
        <f>$B$6+K$31*SUMIFS(K$6:K$29,$G$6:$G$29,"&lt;="&amp;A55,$F$6:$F$29,"&lt;&gt;")/100</f>
        <v/>
      </c>
      <c r="Z55" s="21">
        <f>$B$6+$B$8*(Y55-$B$6)+$C$17/100</f>
        <v/>
      </c>
      <c r="AA55" s="21">
        <f>$B$6+$B$8*(Y55-$B$6)+$C$18/100</f>
        <v/>
      </c>
      <c r="AB55" s="21">
        <f>$B$6+$B$8*(AVERAGE(INDEX(Y$46:Y$69,MAX(1,9)):INDEX(Y$46:Y$69,10))-$B$6)+$C$19/100</f>
        <v/>
      </c>
      <c r="AC55" s="21">
        <f>$B$6+$B$8*(AVERAGE(INDEX(Y$46:Y$69,MAX(1,8)):INDEX(Y$46:Y$69,10))-$B$6)+$C$20/100</f>
        <v/>
      </c>
      <c r="AD55" s="29">
        <f>($B$17*Z55+$B$18*AA55+$B$19*AB55+$B$20*AC55)/100*B55/360</f>
        <v/>
      </c>
      <c r="AE55" s="30">
        <f>IF($B$10="RCV",1,-1)*(($B$11/100)-(Y55/100+$B$12/10000))*B55/360</f>
        <v/>
      </c>
      <c r="AF55" s="21">
        <f>$B$6+L$31*SUMIFS(L$6:L$29,$G$6:$G$29,"&lt;="&amp;A55,$F$6:$F$29,"&lt;&gt;")/100</f>
        <v/>
      </c>
      <c r="AG55" s="21">
        <f>$B$6+$B$8*(AF55-$B$6)+$C$17/100</f>
        <v/>
      </c>
      <c r="AH55" s="21">
        <f>$B$6+$B$8*(AF55-$B$6)+$C$18/100</f>
        <v/>
      </c>
      <c r="AI55" s="21">
        <f>$B$6+$B$8*(AVERAGE(INDEX(AF$46:AF$69,MAX(1,9)):INDEX(AF$46:AF$69,10))-$B$6)+$C$19/100</f>
        <v/>
      </c>
      <c r="AJ55" s="21">
        <f>$B$6+$B$8*(AVERAGE(INDEX(AF$46:AF$69,MAX(1,8)):INDEX(AF$46:AF$69,10))-$B$6)+$C$20/100</f>
        <v/>
      </c>
      <c r="AK55" s="29">
        <f>($B$17*AG55+$B$18*AH55+$B$19*AI55+$B$20*AJ55)/100*B55/360</f>
        <v/>
      </c>
      <c r="AL55" s="30">
        <f>IF($B$10="RCV",1,-1)*(($B$11/100)-(AF55/100+$B$12/10000))*B55/360</f>
        <v/>
      </c>
      <c r="AM55" s="21">
        <f>$B$6+M$31*SUMIFS(M$6:M$29,$G$6:$G$29,"&lt;="&amp;A55,$F$6:$F$29,"&lt;&gt;")/100</f>
        <v/>
      </c>
      <c r="AN55" s="21">
        <f>$B$6+$B$8*(AM55-$B$6)+$C$17/100</f>
        <v/>
      </c>
      <c r="AO55" s="21">
        <f>$B$6+$B$8*(AM55-$B$6)+$C$18/100</f>
        <v/>
      </c>
      <c r="AP55" s="21">
        <f>$B$6+$B$8*(AVERAGE(INDEX(AM$46:AM$69,MAX(1,9)):INDEX(AM$46:AM$69,10))-$B$6)+$C$19/100</f>
        <v/>
      </c>
      <c r="AQ55" s="21">
        <f>$B$6+$B$8*(AVERAGE(INDEX(AM$46:AM$69,MAX(1,8)):INDEX(AM$46:AM$69,10))-$B$6)+$C$20/100</f>
        <v/>
      </c>
      <c r="AR55" s="29">
        <f>($B$17*AN55+$B$18*AO55+$B$19*AP55+$B$20*AQ55)/100*B55/360</f>
        <v/>
      </c>
      <c r="AS55" s="30">
        <f>IF($B$10="RCV",1,-1)*(($B$11/100)-(AM55/100+$B$12/10000))*B55/360</f>
        <v/>
      </c>
    </row>
    <row r="56">
      <c r="A56" s="13">
        <f>EDATE($B$5,10)</f>
        <v/>
      </c>
      <c r="B56" s="28">
        <f>EDATE(A56,1)-A56</f>
        <v/>
      </c>
      <c r="C56" s="21">
        <f>SUMPRODUCT(($B$25:$B$32&gt;0)*($D$25:$D$32&gt;A56)*$B$25:$B$32*$C$25:$C$32)/100/12</f>
        <v/>
      </c>
      <c r="D56" s="21">
        <f>$B$6+H$31*SUMIFS(H$6:H$29,$G$6:$G$29,"&lt;="&amp;A56,$F$6:$F$29,"&lt;&gt;")/100</f>
        <v/>
      </c>
      <c r="E56" s="21">
        <f>$B$6+$B$8*(D56-$B$6)+$C$17/100</f>
        <v/>
      </c>
      <c r="F56" s="21">
        <f>$B$6+$B$8*(D56-$B$6)+$C$18/100</f>
        <v/>
      </c>
      <c r="G56" s="21">
        <f>$B$6+$B$8*(AVERAGE(INDEX(D$46:D$69,MAX(1,10)):INDEX(D$46:D$69,11))-$B$6)+$C$19/100</f>
        <v/>
      </c>
      <c r="H56" s="21">
        <f>$B$6+$B$8*(AVERAGE(INDEX(D$46:D$69,MAX(1,9)):INDEX(D$46:D$69,11))-$B$6)+$C$20/100</f>
        <v/>
      </c>
      <c r="I56" s="29">
        <f>($B$17*E56+$B$18*F56+$B$19*G56+$B$20*H56)/100*B56/360</f>
        <v/>
      </c>
      <c r="J56" s="30">
        <f>IF($B$10="RCV",1,-1)*(($B$11/100)-(D56/100+$B$12/10000))*B56/360</f>
        <v/>
      </c>
      <c r="K56" s="21">
        <f>$B$6+I$31*SUMIFS(I$6:I$29,$G$6:$G$29,"&lt;="&amp;A56,$F$6:$F$29,"&lt;&gt;")/100</f>
        <v/>
      </c>
      <c r="L56" s="21">
        <f>$B$6+$B$8*(K56-$B$6)+$C$17/100</f>
        <v/>
      </c>
      <c r="M56" s="21">
        <f>$B$6+$B$8*(K56-$B$6)+$C$18/100</f>
        <v/>
      </c>
      <c r="N56" s="21">
        <f>$B$6+$B$8*(AVERAGE(INDEX(K$46:K$69,MAX(1,10)):INDEX(K$46:K$69,11))-$B$6)+$C$19/100</f>
        <v/>
      </c>
      <c r="O56" s="21">
        <f>$B$6+$B$8*(AVERAGE(INDEX(K$46:K$69,MAX(1,9)):INDEX(K$46:K$69,11))-$B$6)+$C$20/100</f>
        <v/>
      </c>
      <c r="P56" s="29">
        <f>($B$17*L56+$B$18*M56+$B$19*N56+$B$20*O56)/100*B56/360</f>
        <v/>
      </c>
      <c r="Q56" s="30">
        <f>IF($B$10="RCV",1,-1)*(($B$11/100)-(K56/100+$B$12/10000))*B56/360</f>
        <v/>
      </c>
      <c r="R56" s="21">
        <f>$B$6+J$31*SUMIFS(J$6:J$29,$G$6:$G$29,"&lt;="&amp;A56,$F$6:$F$29,"&lt;&gt;")/100</f>
        <v/>
      </c>
      <c r="S56" s="21">
        <f>$B$6+$B$8*(R56-$B$6)+$C$17/100</f>
        <v/>
      </c>
      <c r="T56" s="21">
        <f>$B$6+$B$8*(R56-$B$6)+$C$18/100</f>
        <v/>
      </c>
      <c r="U56" s="21">
        <f>$B$6+$B$8*(AVERAGE(INDEX(R$46:R$69,MAX(1,10)):INDEX(R$46:R$69,11))-$B$6)+$C$19/100</f>
        <v/>
      </c>
      <c r="V56" s="21">
        <f>$B$6+$B$8*(AVERAGE(INDEX(R$46:R$69,MAX(1,9)):INDEX(R$46:R$69,11))-$B$6)+$C$20/100</f>
        <v/>
      </c>
      <c r="W56" s="29">
        <f>($B$17*S56+$B$18*T56+$B$19*U56+$B$20*V56)/100*B56/360</f>
        <v/>
      </c>
      <c r="X56" s="30">
        <f>IF($B$10="RCV",1,-1)*(($B$11/100)-(R56/100+$B$12/10000))*B56/360</f>
        <v/>
      </c>
      <c r="Y56" s="21">
        <f>$B$6+K$31*SUMIFS(K$6:K$29,$G$6:$G$29,"&lt;="&amp;A56,$F$6:$F$29,"&lt;&gt;")/100</f>
        <v/>
      </c>
      <c r="Z56" s="21">
        <f>$B$6+$B$8*(Y56-$B$6)+$C$17/100</f>
        <v/>
      </c>
      <c r="AA56" s="21">
        <f>$B$6+$B$8*(Y56-$B$6)+$C$18/100</f>
        <v/>
      </c>
      <c r="AB56" s="21">
        <f>$B$6+$B$8*(AVERAGE(INDEX(Y$46:Y$69,MAX(1,10)):INDEX(Y$46:Y$69,11))-$B$6)+$C$19/100</f>
        <v/>
      </c>
      <c r="AC56" s="21">
        <f>$B$6+$B$8*(AVERAGE(INDEX(Y$46:Y$69,MAX(1,9)):INDEX(Y$46:Y$69,11))-$B$6)+$C$20/100</f>
        <v/>
      </c>
      <c r="AD56" s="29">
        <f>($B$17*Z56+$B$18*AA56+$B$19*AB56+$B$20*AC56)/100*B56/360</f>
        <v/>
      </c>
      <c r="AE56" s="30">
        <f>IF($B$10="RCV",1,-1)*(($B$11/100)-(Y56/100+$B$12/10000))*B56/360</f>
        <v/>
      </c>
      <c r="AF56" s="21">
        <f>$B$6+L$31*SUMIFS(L$6:L$29,$G$6:$G$29,"&lt;="&amp;A56,$F$6:$F$29,"&lt;&gt;")/100</f>
        <v/>
      </c>
      <c r="AG56" s="21">
        <f>$B$6+$B$8*(AF56-$B$6)+$C$17/100</f>
        <v/>
      </c>
      <c r="AH56" s="21">
        <f>$B$6+$B$8*(AF56-$B$6)+$C$18/100</f>
        <v/>
      </c>
      <c r="AI56" s="21">
        <f>$B$6+$B$8*(AVERAGE(INDEX(AF$46:AF$69,MAX(1,10)):INDEX(AF$46:AF$69,11))-$B$6)+$C$19/100</f>
        <v/>
      </c>
      <c r="AJ56" s="21">
        <f>$B$6+$B$8*(AVERAGE(INDEX(AF$46:AF$69,MAX(1,9)):INDEX(AF$46:AF$69,11))-$B$6)+$C$20/100</f>
        <v/>
      </c>
      <c r="AK56" s="29">
        <f>($B$17*AG56+$B$18*AH56+$B$19*AI56+$B$20*AJ56)/100*B56/360</f>
        <v/>
      </c>
      <c r="AL56" s="30">
        <f>IF($B$10="RCV",1,-1)*(($B$11/100)-(AF56/100+$B$12/10000))*B56/360</f>
        <v/>
      </c>
      <c r="AM56" s="21">
        <f>$B$6+M$31*SUMIFS(M$6:M$29,$G$6:$G$29,"&lt;="&amp;A56,$F$6:$F$29,"&lt;&gt;")/100</f>
        <v/>
      </c>
      <c r="AN56" s="21">
        <f>$B$6+$B$8*(AM56-$B$6)+$C$17/100</f>
        <v/>
      </c>
      <c r="AO56" s="21">
        <f>$B$6+$B$8*(AM56-$B$6)+$C$18/100</f>
        <v/>
      </c>
      <c r="AP56" s="21">
        <f>$B$6+$B$8*(AVERAGE(INDEX(AM$46:AM$69,MAX(1,10)):INDEX(AM$46:AM$69,11))-$B$6)+$C$19/100</f>
        <v/>
      </c>
      <c r="AQ56" s="21">
        <f>$B$6+$B$8*(AVERAGE(INDEX(AM$46:AM$69,MAX(1,9)):INDEX(AM$46:AM$69,11))-$B$6)+$C$20/100</f>
        <v/>
      </c>
      <c r="AR56" s="29">
        <f>($B$17*AN56+$B$18*AO56+$B$19*AP56+$B$20*AQ56)/100*B56/360</f>
        <v/>
      </c>
      <c r="AS56" s="30">
        <f>IF($B$10="RCV",1,-1)*(($B$11/100)-(AM56/100+$B$12/10000))*B56/360</f>
        <v/>
      </c>
    </row>
    <row r="57">
      <c r="A57" s="13">
        <f>EDATE($B$5,11)</f>
        <v/>
      </c>
      <c r="B57" s="28">
        <f>EDATE(A57,1)-A57</f>
        <v/>
      </c>
      <c r="C57" s="21">
        <f>SUMPRODUCT(($B$25:$B$32&gt;0)*($D$25:$D$32&gt;A57)*$B$25:$B$32*$C$25:$C$32)/100/12</f>
        <v/>
      </c>
      <c r="D57" s="21">
        <f>$B$6+H$31*SUMIFS(H$6:H$29,$G$6:$G$29,"&lt;="&amp;A57,$F$6:$F$29,"&lt;&gt;")/100</f>
        <v/>
      </c>
      <c r="E57" s="21">
        <f>$B$6+$B$8*(D57-$B$6)+$C$17/100</f>
        <v/>
      </c>
      <c r="F57" s="21">
        <f>$B$6+$B$8*(D57-$B$6)+$C$18/100</f>
        <v/>
      </c>
      <c r="G57" s="21">
        <f>$B$6+$B$8*(AVERAGE(INDEX(D$46:D$69,MAX(1,11)):INDEX(D$46:D$69,12))-$B$6)+$C$19/100</f>
        <v/>
      </c>
      <c r="H57" s="21">
        <f>$B$6+$B$8*(AVERAGE(INDEX(D$46:D$69,MAX(1,10)):INDEX(D$46:D$69,12))-$B$6)+$C$20/100</f>
        <v/>
      </c>
      <c r="I57" s="29">
        <f>($B$17*E57+$B$18*F57+$B$19*G57+$B$20*H57)/100*B57/360</f>
        <v/>
      </c>
      <c r="J57" s="30">
        <f>IF($B$10="RCV",1,-1)*(($B$11/100)-(D57/100+$B$12/10000))*B57/360</f>
        <v/>
      </c>
      <c r="K57" s="21">
        <f>$B$6+I$31*SUMIFS(I$6:I$29,$G$6:$G$29,"&lt;="&amp;A57,$F$6:$F$29,"&lt;&gt;")/100</f>
        <v/>
      </c>
      <c r="L57" s="21">
        <f>$B$6+$B$8*(K57-$B$6)+$C$17/100</f>
        <v/>
      </c>
      <c r="M57" s="21">
        <f>$B$6+$B$8*(K57-$B$6)+$C$18/100</f>
        <v/>
      </c>
      <c r="N57" s="21">
        <f>$B$6+$B$8*(AVERAGE(INDEX(K$46:K$69,MAX(1,11)):INDEX(K$46:K$69,12))-$B$6)+$C$19/100</f>
        <v/>
      </c>
      <c r="O57" s="21">
        <f>$B$6+$B$8*(AVERAGE(INDEX(K$46:K$69,MAX(1,10)):INDEX(K$46:K$69,12))-$B$6)+$C$20/100</f>
        <v/>
      </c>
      <c r="P57" s="29">
        <f>($B$17*L57+$B$18*M57+$B$19*N57+$B$20*O57)/100*B57/360</f>
        <v/>
      </c>
      <c r="Q57" s="30">
        <f>IF($B$10="RCV",1,-1)*(($B$11/100)-(K57/100+$B$12/10000))*B57/360</f>
        <v/>
      </c>
      <c r="R57" s="21">
        <f>$B$6+J$31*SUMIFS(J$6:J$29,$G$6:$G$29,"&lt;="&amp;A57,$F$6:$F$29,"&lt;&gt;")/100</f>
        <v/>
      </c>
      <c r="S57" s="21">
        <f>$B$6+$B$8*(R57-$B$6)+$C$17/100</f>
        <v/>
      </c>
      <c r="T57" s="21">
        <f>$B$6+$B$8*(R57-$B$6)+$C$18/100</f>
        <v/>
      </c>
      <c r="U57" s="21">
        <f>$B$6+$B$8*(AVERAGE(INDEX(R$46:R$69,MAX(1,11)):INDEX(R$46:R$69,12))-$B$6)+$C$19/100</f>
        <v/>
      </c>
      <c r="V57" s="21">
        <f>$B$6+$B$8*(AVERAGE(INDEX(R$46:R$69,MAX(1,10)):INDEX(R$46:R$69,12))-$B$6)+$C$20/100</f>
        <v/>
      </c>
      <c r="W57" s="29">
        <f>($B$17*S57+$B$18*T57+$B$19*U57+$B$20*V57)/100*B57/360</f>
        <v/>
      </c>
      <c r="X57" s="30">
        <f>IF($B$10="RCV",1,-1)*(($B$11/100)-(R57/100+$B$12/10000))*B57/360</f>
        <v/>
      </c>
      <c r="Y57" s="21">
        <f>$B$6+K$31*SUMIFS(K$6:K$29,$G$6:$G$29,"&lt;="&amp;A57,$F$6:$F$29,"&lt;&gt;")/100</f>
        <v/>
      </c>
      <c r="Z57" s="21">
        <f>$B$6+$B$8*(Y57-$B$6)+$C$17/100</f>
        <v/>
      </c>
      <c r="AA57" s="21">
        <f>$B$6+$B$8*(Y57-$B$6)+$C$18/100</f>
        <v/>
      </c>
      <c r="AB57" s="21">
        <f>$B$6+$B$8*(AVERAGE(INDEX(Y$46:Y$69,MAX(1,11)):INDEX(Y$46:Y$69,12))-$B$6)+$C$19/100</f>
        <v/>
      </c>
      <c r="AC57" s="21">
        <f>$B$6+$B$8*(AVERAGE(INDEX(Y$46:Y$69,MAX(1,10)):INDEX(Y$46:Y$69,12))-$B$6)+$C$20/100</f>
        <v/>
      </c>
      <c r="AD57" s="29">
        <f>($B$17*Z57+$B$18*AA57+$B$19*AB57+$B$20*AC57)/100*B57/360</f>
        <v/>
      </c>
      <c r="AE57" s="30">
        <f>IF($B$10="RCV",1,-1)*(($B$11/100)-(Y57/100+$B$12/10000))*B57/360</f>
        <v/>
      </c>
      <c r="AF57" s="21">
        <f>$B$6+L$31*SUMIFS(L$6:L$29,$G$6:$G$29,"&lt;="&amp;A57,$F$6:$F$29,"&lt;&gt;")/100</f>
        <v/>
      </c>
      <c r="AG57" s="21">
        <f>$B$6+$B$8*(AF57-$B$6)+$C$17/100</f>
        <v/>
      </c>
      <c r="AH57" s="21">
        <f>$B$6+$B$8*(AF57-$B$6)+$C$18/100</f>
        <v/>
      </c>
      <c r="AI57" s="21">
        <f>$B$6+$B$8*(AVERAGE(INDEX(AF$46:AF$69,MAX(1,11)):INDEX(AF$46:AF$69,12))-$B$6)+$C$19/100</f>
        <v/>
      </c>
      <c r="AJ57" s="21">
        <f>$B$6+$B$8*(AVERAGE(INDEX(AF$46:AF$69,MAX(1,10)):INDEX(AF$46:AF$69,12))-$B$6)+$C$20/100</f>
        <v/>
      </c>
      <c r="AK57" s="29">
        <f>($B$17*AG57+$B$18*AH57+$B$19*AI57+$B$20*AJ57)/100*B57/360</f>
        <v/>
      </c>
      <c r="AL57" s="30">
        <f>IF($B$10="RCV",1,-1)*(($B$11/100)-(AF57/100+$B$12/10000))*B57/360</f>
        <v/>
      </c>
      <c r="AM57" s="21">
        <f>$B$6+M$31*SUMIFS(M$6:M$29,$G$6:$G$29,"&lt;="&amp;A57,$F$6:$F$29,"&lt;&gt;")/100</f>
        <v/>
      </c>
      <c r="AN57" s="21">
        <f>$B$6+$B$8*(AM57-$B$6)+$C$17/100</f>
        <v/>
      </c>
      <c r="AO57" s="21">
        <f>$B$6+$B$8*(AM57-$B$6)+$C$18/100</f>
        <v/>
      </c>
      <c r="AP57" s="21">
        <f>$B$6+$B$8*(AVERAGE(INDEX(AM$46:AM$69,MAX(1,11)):INDEX(AM$46:AM$69,12))-$B$6)+$C$19/100</f>
        <v/>
      </c>
      <c r="AQ57" s="21">
        <f>$B$6+$B$8*(AVERAGE(INDEX(AM$46:AM$69,MAX(1,10)):INDEX(AM$46:AM$69,12))-$B$6)+$C$20/100</f>
        <v/>
      </c>
      <c r="AR57" s="29">
        <f>($B$17*AN57+$B$18*AO57+$B$19*AP57+$B$20*AQ57)/100*B57/360</f>
        <v/>
      </c>
      <c r="AS57" s="30">
        <f>IF($B$10="RCV",1,-1)*(($B$11/100)-(AM57/100+$B$12/10000))*B57/360</f>
        <v/>
      </c>
    </row>
    <row r="58">
      <c r="A58" s="13">
        <f>EDATE($B$5,12)</f>
        <v/>
      </c>
      <c r="B58" s="28">
        <f>EDATE(A58,1)-A58</f>
        <v/>
      </c>
      <c r="C58" s="21">
        <f>SUMPRODUCT(($B$25:$B$32&gt;0)*($D$25:$D$32&gt;A58)*$B$25:$B$32*$C$25:$C$32)/100/12</f>
        <v/>
      </c>
      <c r="D58" s="21">
        <f>$B$6+H$31*SUMIFS(H$6:H$29,$G$6:$G$29,"&lt;="&amp;A58,$F$6:$F$29,"&lt;&gt;")/100</f>
        <v/>
      </c>
      <c r="E58" s="21">
        <f>$B$6+$B$8*(D58-$B$6)+$C$17/100</f>
        <v/>
      </c>
      <c r="F58" s="21">
        <f>$B$6+$B$8*(D58-$B$6)+$C$18/100</f>
        <v/>
      </c>
      <c r="G58" s="21">
        <f>$B$6+$B$8*(AVERAGE(INDEX(D$46:D$69,MAX(1,12)):INDEX(D$46:D$69,13))-$B$6)+$C$19/100</f>
        <v/>
      </c>
      <c r="H58" s="21">
        <f>$B$6+$B$8*(AVERAGE(INDEX(D$46:D$69,MAX(1,11)):INDEX(D$46:D$69,13))-$B$6)+$C$20/100</f>
        <v/>
      </c>
      <c r="I58" s="29">
        <f>($B$17*E58+$B$18*F58+$B$19*G58+$B$20*H58)/100*B58/360</f>
        <v/>
      </c>
      <c r="J58" s="30">
        <f>IF($B$10="RCV",1,-1)*(($B$11/100)-(D58/100+$B$12/10000))*B58/360</f>
        <v/>
      </c>
      <c r="K58" s="21">
        <f>$B$6+I$31*SUMIFS(I$6:I$29,$G$6:$G$29,"&lt;="&amp;A58,$F$6:$F$29,"&lt;&gt;")/100</f>
        <v/>
      </c>
      <c r="L58" s="21">
        <f>$B$6+$B$8*(K58-$B$6)+$C$17/100</f>
        <v/>
      </c>
      <c r="M58" s="21">
        <f>$B$6+$B$8*(K58-$B$6)+$C$18/100</f>
        <v/>
      </c>
      <c r="N58" s="21">
        <f>$B$6+$B$8*(AVERAGE(INDEX(K$46:K$69,MAX(1,12)):INDEX(K$46:K$69,13))-$B$6)+$C$19/100</f>
        <v/>
      </c>
      <c r="O58" s="21">
        <f>$B$6+$B$8*(AVERAGE(INDEX(K$46:K$69,MAX(1,11)):INDEX(K$46:K$69,13))-$B$6)+$C$20/100</f>
        <v/>
      </c>
      <c r="P58" s="29">
        <f>($B$17*L58+$B$18*M58+$B$19*N58+$B$20*O58)/100*B58/360</f>
        <v/>
      </c>
      <c r="Q58" s="30">
        <f>IF($B$10="RCV",1,-1)*(($B$11/100)-(K58/100+$B$12/10000))*B58/360</f>
        <v/>
      </c>
      <c r="R58" s="21">
        <f>$B$6+J$31*SUMIFS(J$6:J$29,$G$6:$G$29,"&lt;="&amp;A58,$F$6:$F$29,"&lt;&gt;")/100</f>
        <v/>
      </c>
      <c r="S58" s="21">
        <f>$B$6+$B$8*(R58-$B$6)+$C$17/100</f>
        <v/>
      </c>
      <c r="T58" s="21">
        <f>$B$6+$B$8*(R58-$B$6)+$C$18/100</f>
        <v/>
      </c>
      <c r="U58" s="21">
        <f>$B$6+$B$8*(AVERAGE(INDEX(R$46:R$69,MAX(1,12)):INDEX(R$46:R$69,13))-$B$6)+$C$19/100</f>
        <v/>
      </c>
      <c r="V58" s="21">
        <f>$B$6+$B$8*(AVERAGE(INDEX(R$46:R$69,MAX(1,11)):INDEX(R$46:R$69,13))-$B$6)+$C$20/100</f>
        <v/>
      </c>
      <c r="W58" s="29">
        <f>($B$17*S58+$B$18*T58+$B$19*U58+$B$20*V58)/100*B58/360</f>
        <v/>
      </c>
      <c r="X58" s="30">
        <f>IF($B$10="RCV",1,-1)*(($B$11/100)-(R58/100+$B$12/10000))*B58/360</f>
        <v/>
      </c>
      <c r="Y58" s="21">
        <f>$B$6+K$31*SUMIFS(K$6:K$29,$G$6:$G$29,"&lt;="&amp;A58,$F$6:$F$29,"&lt;&gt;")/100</f>
        <v/>
      </c>
      <c r="Z58" s="21">
        <f>$B$6+$B$8*(Y58-$B$6)+$C$17/100</f>
        <v/>
      </c>
      <c r="AA58" s="21">
        <f>$B$6+$B$8*(Y58-$B$6)+$C$18/100</f>
        <v/>
      </c>
      <c r="AB58" s="21">
        <f>$B$6+$B$8*(AVERAGE(INDEX(Y$46:Y$69,MAX(1,12)):INDEX(Y$46:Y$69,13))-$B$6)+$C$19/100</f>
        <v/>
      </c>
      <c r="AC58" s="21">
        <f>$B$6+$B$8*(AVERAGE(INDEX(Y$46:Y$69,MAX(1,11)):INDEX(Y$46:Y$69,13))-$B$6)+$C$20/100</f>
        <v/>
      </c>
      <c r="AD58" s="29">
        <f>($B$17*Z58+$B$18*AA58+$B$19*AB58+$B$20*AC58)/100*B58/360</f>
        <v/>
      </c>
      <c r="AE58" s="30">
        <f>IF($B$10="RCV",1,-1)*(($B$11/100)-(Y58/100+$B$12/10000))*B58/360</f>
        <v/>
      </c>
      <c r="AF58" s="21">
        <f>$B$6+L$31*SUMIFS(L$6:L$29,$G$6:$G$29,"&lt;="&amp;A58,$F$6:$F$29,"&lt;&gt;")/100</f>
        <v/>
      </c>
      <c r="AG58" s="21">
        <f>$B$6+$B$8*(AF58-$B$6)+$C$17/100</f>
        <v/>
      </c>
      <c r="AH58" s="21">
        <f>$B$6+$B$8*(AF58-$B$6)+$C$18/100</f>
        <v/>
      </c>
      <c r="AI58" s="21">
        <f>$B$6+$B$8*(AVERAGE(INDEX(AF$46:AF$69,MAX(1,12)):INDEX(AF$46:AF$69,13))-$B$6)+$C$19/100</f>
        <v/>
      </c>
      <c r="AJ58" s="21">
        <f>$B$6+$B$8*(AVERAGE(INDEX(AF$46:AF$69,MAX(1,11)):INDEX(AF$46:AF$69,13))-$B$6)+$C$20/100</f>
        <v/>
      </c>
      <c r="AK58" s="29">
        <f>($B$17*AG58+$B$18*AH58+$B$19*AI58+$B$20*AJ58)/100*B58/360</f>
        <v/>
      </c>
      <c r="AL58" s="30">
        <f>IF($B$10="RCV",1,-1)*(($B$11/100)-(AF58/100+$B$12/10000))*B58/360</f>
        <v/>
      </c>
      <c r="AM58" s="21">
        <f>$B$6+M$31*SUMIFS(M$6:M$29,$G$6:$G$29,"&lt;="&amp;A58,$F$6:$F$29,"&lt;&gt;")/100</f>
        <v/>
      </c>
      <c r="AN58" s="21">
        <f>$B$6+$B$8*(AM58-$B$6)+$C$17/100</f>
        <v/>
      </c>
      <c r="AO58" s="21">
        <f>$B$6+$B$8*(AM58-$B$6)+$C$18/100</f>
        <v/>
      </c>
      <c r="AP58" s="21">
        <f>$B$6+$B$8*(AVERAGE(INDEX(AM$46:AM$69,MAX(1,12)):INDEX(AM$46:AM$69,13))-$B$6)+$C$19/100</f>
        <v/>
      </c>
      <c r="AQ58" s="21">
        <f>$B$6+$B$8*(AVERAGE(INDEX(AM$46:AM$69,MAX(1,11)):INDEX(AM$46:AM$69,13))-$B$6)+$C$20/100</f>
        <v/>
      </c>
      <c r="AR58" s="29">
        <f>($B$17*AN58+$B$18*AO58+$B$19*AP58+$B$20*AQ58)/100*B58/360</f>
        <v/>
      </c>
      <c r="AS58" s="30">
        <f>IF($B$10="RCV",1,-1)*(($B$11/100)-(AM58/100+$B$12/10000))*B58/360</f>
        <v/>
      </c>
    </row>
    <row r="59">
      <c r="A59" s="13">
        <f>EDATE($B$5,13)</f>
        <v/>
      </c>
      <c r="B59" s="28">
        <f>EDATE(A59,1)-A59</f>
        <v/>
      </c>
      <c r="C59" s="21">
        <f>SUMPRODUCT(($B$25:$B$32&gt;0)*($D$25:$D$32&gt;A59)*$B$25:$B$32*$C$25:$C$32)/100/12</f>
        <v/>
      </c>
      <c r="D59" s="21">
        <f>$B$6+H$31*SUMIFS(H$6:H$29,$G$6:$G$29,"&lt;="&amp;A59,$F$6:$F$29,"&lt;&gt;")/100</f>
        <v/>
      </c>
      <c r="E59" s="21">
        <f>$B$6+$B$8*(D59-$B$6)+$C$17/100</f>
        <v/>
      </c>
      <c r="F59" s="21">
        <f>$B$6+$B$8*(D59-$B$6)+$C$18/100</f>
        <v/>
      </c>
      <c r="G59" s="21">
        <f>$B$6+$B$8*(AVERAGE(INDEX(D$46:D$69,MAX(1,13)):INDEX(D$46:D$69,14))-$B$6)+$C$19/100</f>
        <v/>
      </c>
      <c r="H59" s="21">
        <f>$B$6+$B$8*(AVERAGE(INDEX(D$46:D$69,MAX(1,12)):INDEX(D$46:D$69,14))-$B$6)+$C$20/100</f>
        <v/>
      </c>
      <c r="I59" s="29">
        <f>($B$17*E59+$B$18*F59+$B$19*G59+$B$20*H59)/100*B59/360</f>
        <v/>
      </c>
      <c r="J59" s="30">
        <f>IF($B$10="RCV",1,-1)*(($B$11/100)-(D59/100+$B$12/10000))*B59/360</f>
        <v/>
      </c>
      <c r="K59" s="21">
        <f>$B$6+I$31*SUMIFS(I$6:I$29,$G$6:$G$29,"&lt;="&amp;A59,$F$6:$F$29,"&lt;&gt;")/100</f>
        <v/>
      </c>
      <c r="L59" s="21">
        <f>$B$6+$B$8*(K59-$B$6)+$C$17/100</f>
        <v/>
      </c>
      <c r="M59" s="21">
        <f>$B$6+$B$8*(K59-$B$6)+$C$18/100</f>
        <v/>
      </c>
      <c r="N59" s="21">
        <f>$B$6+$B$8*(AVERAGE(INDEX(K$46:K$69,MAX(1,13)):INDEX(K$46:K$69,14))-$B$6)+$C$19/100</f>
        <v/>
      </c>
      <c r="O59" s="21">
        <f>$B$6+$B$8*(AVERAGE(INDEX(K$46:K$69,MAX(1,12)):INDEX(K$46:K$69,14))-$B$6)+$C$20/100</f>
        <v/>
      </c>
      <c r="P59" s="29">
        <f>($B$17*L59+$B$18*M59+$B$19*N59+$B$20*O59)/100*B59/360</f>
        <v/>
      </c>
      <c r="Q59" s="30">
        <f>IF($B$10="RCV",1,-1)*(($B$11/100)-(K59/100+$B$12/10000))*B59/360</f>
        <v/>
      </c>
      <c r="R59" s="21">
        <f>$B$6+J$31*SUMIFS(J$6:J$29,$G$6:$G$29,"&lt;="&amp;A59,$F$6:$F$29,"&lt;&gt;")/100</f>
        <v/>
      </c>
      <c r="S59" s="21">
        <f>$B$6+$B$8*(R59-$B$6)+$C$17/100</f>
        <v/>
      </c>
      <c r="T59" s="21">
        <f>$B$6+$B$8*(R59-$B$6)+$C$18/100</f>
        <v/>
      </c>
      <c r="U59" s="21">
        <f>$B$6+$B$8*(AVERAGE(INDEX(R$46:R$69,MAX(1,13)):INDEX(R$46:R$69,14))-$B$6)+$C$19/100</f>
        <v/>
      </c>
      <c r="V59" s="21">
        <f>$B$6+$B$8*(AVERAGE(INDEX(R$46:R$69,MAX(1,12)):INDEX(R$46:R$69,14))-$B$6)+$C$20/100</f>
        <v/>
      </c>
      <c r="W59" s="29">
        <f>($B$17*S59+$B$18*T59+$B$19*U59+$B$20*V59)/100*B59/360</f>
        <v/>
      </c>
      <c r="X59" s="30">
        <f>IF($B$10="RCV",1,-1)*(($B$11/100)-(R59/100+$B$12/10000))*B59/360</f>
        <v/>
      </c>
      <c r="Y59" s="21">
        <f>$B$6+K$31*SUMIFS(K$6:K$29,$G$6:$G$29,"&lt;="&amp;A59,$F$6:$F$29,"&lt;&gt;")/100</f>
        <v/>
      </c>
      <c r="Z59" s="21">
        <f>$B$6+$B$8*(Y59-$B$6)+$C$17/100</f>
        <v/>
      </c>
      <c r="AA59" s="21">
        <f>$B$6+$B$8*(Y59-$B$6)+$C$18/100</f>
        <v/>
      </c>
      <c r="AB59" s="21">
        <f>$B$6+$B$8*(AVERAGE(INDEX(Y$46:Y$69,MAX(1,13)):INDEX(Y$46:Y$69,14))-$B$6)+$C$19/100</f>
        <v/>
      </c>
      <c r="AC59" s="21">
        <f>$B$6+$B$8*(AVERAGE(INDEX(Y$46:Y$69,MAX(1,12)):INDEX(Y$46:Y$69,14))-$B$6)+$C$20/100</f>
        <v/>
      </c>
      <c r="AD59" s="29">
        <f>($B$17*Z59+$B$18*AA59+$B$19*AB59+$B$20*AC59)/100*B59/360</f>
        <v/>
      </c>
      <c r="AE59" s="30">
        <f>IF($B$10="RCV",1,-1)*(($B$11/100)-(Y59/100+$B$12/10000))*B59/360</f>
        <v/>
      </c>
      <c r="AF59" s="21">
        <f>$B$6+L$31*SUMIFS(L$6:L$29,$G$6:$G$29,"&lt;="&amp;A59,$F$6:$F$29,"&lt;&gt;")/100</f>
        <v/>
      </c>
      <c r="AG59" s="21">
        <f>$B$6+$B$8*(AF59-$B$6)+$C$17/100</f>
        <v/>
      </c>
      <c r="AH59" s="21">
        <f>$B$6+$B$8*(AF59-$B$6)+$C$18/100</f>
        <v/>
      </c>
      <c r="AI59" s="21">
        <f>$B$6+$B$8*(AVERAGE(INDEX(AF$46:AF$69,MAX(1,13)):INDEX(AF$46:AF$69,14))-$B$6)+$C$19/100</f>
        <v/>
      </c>
      <c r="AJ59" s="21">
        <f>$B$6+$B$8*(AVERAGE(INDEX(AF$46:AF$69,MAX(1,12)):INDEX(AF$46:AF$69,14))-$B$6)+$C$20/100</f>
        <v/>
      </c>
      <c r="AK59" s="29">
        <f>($B$17*AG59+$B$18*AH59+$B$19*AI59+$B$20*AJ59)/100*B59/360</f>
        <v/>
      </c>
      <c r="AL59" s="30">
        <f>IF($B$10="RCV",1,-1)*(($B$11/100)-(AF59/100+$B$12/10000))*B59/360</f>
        <v/>
      </c>
      <c r="AM59" s="21">
        <f>$B$6+M$31*SUMIFS(M$6:M$29,$G$6:$G$29,"&lt;="&amp;A59,$F$6:$F$29,"&lt;&gt;")/100</f>
        <v/>
      </c>
      <c r="AN59" s="21">
        <f>$B$6+$B$8*(AM59-$B$6)+$C$17/100</f>
        <v/>
      </c>
      <c r="AO59" s="21">
        <f>$B$6+$B$8*(AM59-$B$6)+$C$18/100</f>
        <v/>
      </c>
      <c r="AP59" s="21">
        <f>$B$6+$B$8*(AVERAGE(INDEX(AM$46:AM$69,MAX(1,13)):INDEX(AM$46:AM$69,14))-$B$6)+$C$19/100</f>
        <v/>
      </c>
      <c r="AQ59" s="21">
        <f>$B$6+$B$8*(AVERAGE(INDEX(AM$46:AM$69,MAX(1,12)):INDEX(AM$46:AM$69,14))-$B$6)+$C$20/100</f>
        <v/>
      </c>
      <c r="AR59" s="29">
        <f>($B$17*AN59+$B$18*AO59+$B$19*AP59+$B$20*AQ59)/100*B59/360</f>
        <v/>
      </c>
      <c r="AS59" s="30">
        <f>IF($B$10="RCV",1,-1)*(($B$11/100)-(AM59/100+$B$12/10000))*B59/360</f>
        <v/>
      </c>
    </row>
    <row r="60">
      <c r="A60" s="13">
        <f>EDATE($B$5,14)</f>
        <v/>
      </c>
      <c r="B60" s="28">
        <f>EDATE(A60,1)-A60</f>
        <v/>
      </c>
      <c r="C60" s="21">
        <f>SUMPRODUCT(($B$25:$B$32&gt;0)*($D$25:$D$32&gt;A60)*$B$25:$B$32*$C$25:$C$32)/100/12</f>
        <v/>
      </c>
      <c r="D60" s="21">
        <f>$B$6+H$31*SUMIFS(H$6:H$29,$G$6:$G$29,"&lt;="&amp;A60,$F$6:$F$29,"&lt;&gt;")/100</f>
        <v/>
      </c>
      <c r="E60" s="21">
        <f>$B$6+$B$8*(D60-$B$6)+$C$17/100</f>
        <v/>
      </c>
      <c r="F60" s="21">
        <f>$B$6+$B$8*(D60-$B$6)+$C$18/100</f>
        <v/>
      </c>
      <c r="G60" s="21">
        <f>$B$6+$B$8*(AVERAGE(INDEX(D$46:D$69,MAX(1,14)):INDEX(D$46:D$69,15))-$B$6)+$C$19/100</f>
        <v/>
      </c>
      <c r="H60" s="21">
        <f>$B$6+$B$8*(AVERAGE(INDEX(D$46:D$69,MAX(1,13)):INDEX(D$46:D$69,15))-$B$6)+$C$20/100</f>
        <v/>
      </c>
      <c r="I60" s="29">
        <f>($B$17*E60+$B$18*F60+$B$19*G60+$B$20*H60)/100*B60/360</f>
        <v/>
      </c>
      <c r="J60" s="30">
        <f>IF($B$10="RCV",1,-1)*(($B$11/100)-(D60/100+$B$12/10000))*B60/360</f>
        <v/>
      </c>
      <c r="K60" s="21">
        <f>$B$6+I$31*SUMIFS(I$6:I$29,$G$6:$G$29,"&lt;="&amp;A60,$F$6:$F$29,"&lt;&gt;")/100</f>
        <v/>
      </c>
      <c r="L60" s="21">
        <f>$B$6+$B$8*(K60-$B$6)+$C$17/100</f>
        <v/>
      </c>
      <c r="M60" s="21">
        <f>$B$6+$B$8*(K60-$B$6)+$C$18/100</f>
        <v/>
      </c>
      <c r="N60" s="21">
        <f>$B$6+$B$8*(AVERAGE(INDEX(K$46:K$69,MAX(1,14)):INDEX(K$46:K$69,15))-$B$6)+$C$19/100</f>
        <v/>
      </c>
      <c r="O60" s="21">
        <f>$B$6+$B$8*(AVERAGE(INDEX(K$46:K$69,MAX(1,13)):INDEX(K$46:K$69,15))-$B$6)+$C$20/100</f>
        <v/>
      </c>
      <c r="P60" s="29">
        <f>($B$17*L60+$B$18*M60+$B$19*N60+$B$20*O60)/100*B60/360</f>
        <v/>
      </c>
      <c r="Q60" s="30">
        <f>IF($B$10="RCV",1,-1)*(($B$11/100)-(K60/100+$B$12/10000))*B60/360</f>
        <v/>
      </c>
      <c r="R60" s="21">
        <f>$B$6+J$31*SUMIFS(J$6:J$29,$G$6:$G$29,"&lt;="&amp;A60,$F$6:$F$29,"&lt;&gt;")/100</f>
        <v/>
      </c>
      <c r="S60" s="21">
        <f>$B$6+$B$8*(R60-$B$6)+$C$17/100</f>
        <v/>
      </c>
      <c r="T60" s="21">
        <f>$B$6+$B$8*(R60-$B$6)+$C$18/100</f>
        <v/>
      </c>
      <c r="U60" s="21">
        <f>$B$6+$B$8*(AVERAGE(INDEX(R$46:R$69,MAX(1,14)):INDEX(R$46:R$69,15))-$B$6)+$C$19/100</f>
        <v/>
      </c>
      <c r="V60" s="21">
        <f>$B$6+$B$8*(AVERAGE(INDEX(R$46:R$69,MAX(1,13)):INDEX(R$46:R$69,15))-$B$6)+$C$20/100</f>
        <v/>
      </c>
      <c r="W60" s="29">
        <f>($B$17*S60+$B$18*T60+$B$19*U60+$B$20*V60)/100*B60/360</f>
        <v/>
      </c>
      <c r="X60" s="30">
        <f>IF($B$10="RCV",1,-1)*(($B$11/100)-(R60/100+$B$12/10000))*B60/360</f>
        <v/>
      </c>
      <c r="Y60" s="21">
        <f>$B$6+K$31*SUMIFS(K$6:K$29,$G$6:$G$29,"&lt;="&amp;A60,$F$6:$F$29,"&lt;&gt;")/100</f>
        <v/>
      </c>
      <c r="Z60" s="21">
        <f>$B$6+$B$8*(Y60-$B$6)+$C$17/100</f>
        <v/>
      </c>
      <c r="AA60" s="21">
        <f>$B$6+$B$8*(Y60-$B$6)+$C$18/100</f>
        <v/>
      </c>
      <c r="AB60" s="21">
        <f>$B$6+$B$8*(AVERAGE(INDEX(Y$46:Y$69,MAX(1,14)):INDEX(Y$46:Y$69,15))-$B$6)+$C$19/100</f>
        <v/>
      </c>
      <c r="AC60" s="21">
        <f>$B$6+$B$8*(AVERAGE(INDEX(Y$46:Y$69,MAX(1,13)):INDEX(Y$46:Y$69,15))-$B$6)+$C$20/100</f>
        <v/>
      </c>
      <c r="AD60" s="29">
        <f>($B$17*Z60+$B$18*AA60+$B$19*AB60+$B$20*AC60)/100*B60/360</f>
        <v/>
      </c>
      <c r="AE60" s="30">
        <f>IF($B$10="RCV",1,-1)*(($B$11/100)-(Y60/100+$B$12/10000))*B60/360</f>
        <v/>
      </c>
      <c r="AF60" s="21">
        <f>$B$6+L$31*SUMIFS(L$6:L$29,$G$6:$G$29,"&lt;="&amp;A60,$F$6:$F$29,"&lt;&gt;")/100</f>
        <v/>
      </c>
      <c r="AG60" s="21">
        <f>$B$6+$B$8*(AF60-$B$6)+$C$17/100</f>
        <v/>
      </c>
      <c r="AH60" s="21">
        <f>$B$6+$B$8*(AF60-$B$6)+$C$18/100</f>
        <v/>
      </c>
      <c r="AI60" s="21">
        <f>$B$6+$B$8*(AVERAGE(INDEX(AF$46:AF$69,MAX(1,14)):INDEX(AF$46:AF$69,15))-$B$6)+$C$19/100</f>
        <v/>
      </c>
      <c r="AJ60" s="21">
        <f>$B$6+$B$8*(AVERAGE(INDEX(AF$46:AF$69,MAX(1,13)):INDEX(AF$46:AF$69,15))-$B$6)+$C$20/100</f>
        <v/>
      </c>
      <c r="AK60" s="29">
        <f>($B$17*AG60+$B$18*AH60+$B$19*AI60+$B$20*AJ60)/100*B60/360</f>
        <v/>
      </c>
      <c r="AL60" s="30">
        <f>IF($B$10="RCV",1,-1)*(($B$11/100)-(AF60/100+$B$12/10000))*B60/360</f>
        <v/>
      </c>
      <c r="AM60" s="21">
        <f>$B$6+M$31*SUMIFS(M$6:M$29,$G$6:$G$29,"&lt;="&amp;A60,$F$6:$F$29,"&lt;&gt;")/100</f>
        <v/>
      </c>
      <c r="AN60" s="21">
        <f>$B$6+$B$8*(AM60-$B$6)+$C$17/100</f>
        <v/>
      </c>
      <c r="AO60" s="21">
        <f>$B$6+$B$8*(AM60-$B$6)+$C$18/100</f>
        <v/>
      </c>
      <c r="AP60" s="21">
        <f>$B$6+$B$8*(AVERAGE(INDEX(AM$46:AM$69,MAX(1,14)):INDEX(AM$46:AM$69,15))-$B$6)+$C$19/100</f>
        <v/>
      </c>
      <c r="AQ60" s="21">
        <f>$B$6+$B$8*(AVERAGE(INDEX(AM$46:AM$69,MAX(1,13)):INDEX(AM$46:AM$69,15))-$B$6)+$C$20/100</f>
        <v/>
      </c>
      <c r="AR60" s="29">
        <f>($B$17*AN60+$B$18*AO60+$B$19*AP60+$B$20*AQ60)/100*B60/360</f>
        <v/>
      </c>
      <c r="AS60" s="30">
        <f>IF($B$10="RCV",1,-1)*(($B$11/100)-(AM60/100+$B$12/10000))*B60/360</f>
        <v/>
      </c>
    </row>
    <row r="61">
      <c r="A61" s="13">
        <f>EDATE($B$5,15)</f>
        <v/>
      </c>
      <c r="B61" s="28">
        <f>EDATE(A61,1)-A61</f>
        <v/>
      </c>
      <c r="C61" s="21">
        <f>SUMPRODUCT(($B$25:$B$32&gt;0)*($D$25:$D$32&gt;A61)*$B$25:$B$32*$C$25:$C$32)/100/12</f>
        <v/>
      </c>
      <c r="D61" s="21">
        <f>$B$6+H$31*SUMIFS(H$6:H$29,$G$6:$G$29,"&lt;="&amp;A61,$F$6:$F$29,"&lt;&gt;")/100</f>
        <v/>
      </c>
      <c r="E61" s="21">
        <f>$B$6+$B$8*(D61-$B$6)+$C$17/100</f>
        <v/>
      </c>
      <c r="F61" s="21">
        <f>$B$6+$B$8*(D61-$B$6)+$C$18/100</f>
        <v/>
      </c>
      <c r="G61" s="21">
        <f>$B$6+$B$8*(AVERAGE(INDEX(D$46:D$69,MAX(1,15)):INDEX(D$46:D$69,16))-$B$6)+$C$19/100</f>
        <v/>
      </c>
      <c r="H61" s="21">
        <f>$B$6+$B$8*(AVERAGE(INDEX(D$46:D$69,MAX(1,14)):INDEX(D$46:D$69,16))-$B$6)+$C$20/100</f>
        <v/>
      </c>
      <c r="I61" s="29">
        <f>($B$17*E61+$B$18*F61+$B$19*G61+$B$20*H61)/100*B61/360</f>
        <v/>
      </c>
      <c r="J61" s="30">
        <f>IF($B$10="RCV",1,-1)*(($B$11/100)-(D61/100+$B$12/10000))*B61/360</f>
        <v/>
      </c>
      <c r="K61" s="21">
        <f>$B$6+I$31*SUMIFS(I$6:I$29,$G$6:$G$29,"&lt;="&amp;A61,$F$6:$F$29,"&lt;&gt;")/100</f>
        <v/>
      </c>
      <c r="L61" s="21">
        <f>$B$6+$B$8*(K61-$B$6)+$C$17/100</f>
        <v/>
      </c>
      <c r="M61" s="21">
        <f>$B$6+$B$8*(K61-$B$6)+$C$18/100</f>
        <v/>
      </c>
      <c r="N61" s="21">
        <f>$B$6+$B$8*(AVERAGE(INDEX(K$46:K$69,MAX(1,15)):INDEX(K$46:K$69,16))-$B$6)+$C$19/100</f>
        <v/>
      </c>
      <c r="O61" s="21">
        <f>$B$6+$B$8*(AVERAGE(INDEX(K$46:K$69,MAX(1,14)):INDEX(K$46:K$69,16))-$B$6)+$C$20/100</f>
        <v/>
      </c>
      <c r="P61" s="29">
        <f>($B$17*L61+$B$18*M61+$B$19*N61+$B$20*O61)/100*B61/360</f>
        <v/>
      </c>
      <c r="Q61" s="30">
        <f>IF($B$10="RCV",1,-1)*(($B$11/100)-(K61/100+$B$12/10000))*B61/360</f>
        <v/>
      </c>
      <c r="R61" s="21">
        <f>$B$6+J$31*SUMIFS(J$6:J$29,$G$6:$G$29,"&lt;="&amp;A61,$F$6:$F$29,"&lt;&gt;")/100</f>
        <v/>
      </c>
      <c r="S61" s="21">
        <f>$B$6+$B$8*(R61-$B$6)+$C$17/100</f>
        <v/>
      </c>
      <c r="T61" s="21">
        <f>$B$6+$B$8*(R61-$B$6)+$C$18/100</f>
        <v/>
      </c>
      <c r="U61" s="21">
        <f>$B$6+$B$8*(AVERAGE(INDEX(R$46:R$69,MAX(1,15)):INDEX(R$46:R$69,16))-$B$6)+$C$19/100</f>
        <v/>
      </c>
      <c r="V61" s="21">
        <f>$B$6+$B$8*(AVERAGE(INDEX(R$46:R$69,MAX(1,14)):INDEX(R$46:R$69,16))-$B$6)+$C$20/100</f>
        <v/>
      </c>
      <c r="W61" s="29">
        <f>($B$17*S61+$B$18*T61+$B$19*U61+$B$20*V61)/100*B61/360</f>
        <v/>
      </c>
      <c r="X61" s="30">
        <f>IF($B$10="RCV",1,-1)*(($B$11/100)-(R61/100+$B$12/10000))*B61/360</f>
        <v/>
      </c>
      <c r="Y61" s="21">
        <f>$B$6+K$31*SUMIFS(K$6:K$29,$G$6:$G$29,"&lt;="&amp;A61,$F$6:$F$29,"&lt;&gt;")/100</f>
        <v/>
      </c>
      <c r="Z61" s="21">
        <f>$B$6+$B$8*(Y61-$B$6)+$C$17/100</f>
        <v/>
      </c>
      <c r="AA61" s="21">
        <f>$B$6+$B$8*(Y61-$B$6)+$C$18/100</f>
        <v/>
      </c>
      <c r="AB61" s="21">
        <f>$B$6+$B$8*(AVERAGE(INDEX(Y$46:Y$69,MAX(1,15)):INDEX(Y$46:Y$69,16))-$B$6)+$C$19/100</f>
        <v/>
      </c>
      <c r="AC61" s="21">
        <f>$B$6+$B$8*(AVERAGE(INDEX(Y$46:Y$69,MAX(1,14)):INDEX(Y$46:Y$69,16))-$B$6)+$C$20/100</f>
        <v/>
      </c>
      <c r="AD61" s="29">
        <f>($B$17*Z61+$B$18*AA61+$B$19*AB61+$B$20*AC61)/100*B61/360</f>
        <v/>
      </c>
      <c r="AE61" s="30">
        <f>IF($B$10="RCV",1,-1)*(($B$11/100)-(Y61/100+$B$12/10000))*B61/360</f>
        <v/>
      </c>
      <c r="AF61" s="21">
        <f>$B$6+L$31*SUMIFS(L$6:L$29,$G$6:$G$29,"&lt;="&amp;A61,$F$6:$F$29,"&lt;&gt;")/100</f>
        <v/>
      </c>
      <c r="AG61" s="21">
        <f>$B$6+$B$8*(AF61-$B$6)+$C$17/100</f>
        <v/>
      </c>
      <c r="AH61" s="21">
        <f>$B$6+$B$8*(AF61-$B$6)+$C$18/100</f>
        <v/>
      </c>
      <c r="AI61" s="21">
        <f>$B$6+$B$8*(AVERAGE(INDEX(AF$46:AF$69,MAX(1,15)):INDEX(AF$46:AF$69,16))-$B$6)+$C$19/100</f>
        <v/>
      </c>
      <c r="AJ61" s="21">
        <f>$B$6+$B$8*(AVERAGE(INDEX(AF$46:AF$69,MAX(1,14)):INDEX(AF$46:AF$69,16))-$B$6)+$C$20/100</f>
        <v/>
      </c>
      <c r="AK61" s="29">
        <f>($B$17*AG61+$B$18*AH61+$B$19*AI61+$B$20*AJ61)/100*B61/360</f>
        <v/>
      </c>
      <c r="AL61" s="30">
        <f>IF($B$10="RCV",1,-1)*(($B$11/100)-(AF61/100+$B$12/10000))*B61/360</f>
        <v/>
      </c>
      <c r="AM61" s="21">
        <f>$B$6+M$31*SUMIFS(M$6:M$29,$G$6:$G$29,"&lt;="&amp;A61,$F$6:$F$29,"&lt;&gt;")/100</f>
        <v/>
      </c>
      <c r="AN61" s="21">
        <f>$B$6+$B$8*(AM61-$B$6)+$C$17/100</f>
        <v/>
      </c>
      <c r="AO61" s="21">
        <f>$B$6+$B$8*(AM61-$B$6)+$C$18/100</f>
        <v/>
      </c>
      <c r="AP61" s="21">
        <f>$B$6+$B$8*(AVERAGE(INDEX(AM$46:AM$69,MAX(1,15)):INDEX(AM$46:AM$69,16))-$B$6)+$C$19/100</f>
        <v/>
      </c>
      <c r="AQ61" s="21">
        <f>$B$6+$B$8*(AVERAGE(INDEX(AM$46:AM$69,MAX(1,14)):INDEX(AM$46:AM$69,16))-$B$6)+$C$20/100</f>
        <v/>
      </c>
      <c r="AR61" s="29">
        <f>($B$17*AN61+$B$18*AO61+$B$19*AP61+$B$20*AQ61)/100*B61/360</f>
        <v/>
      </c>
      <c r="AS61" s="30">
        <f>IF($B$10="RCV",1,-1)*(($B$11/100)-(AM61/100+$B$12/10000))*B61/360</f>
        <v/>
      </c>
    </row>
    <row r="62">
      <c r="A62" s="13">
        <f>EDATE($B$5,16)</f>
        <v/>
      </c>
      <c r="B62" s="28">
        <f>EDATE(A62,1)-A62</f>
        <v/>
      </c>
      <c r="C62" s="21">
        <f>SUMPRODUCT(($B$25:$B$32&gt;0)*($D$25:$D$32&gt;A62)*$B$25:$B$32*$C$25:$C$32)/100/12</f>
        <v/>
      </c>
      <c r="D62" s="21">
        <f>$B$6+H$31*SUMIFS(H$6:H$29,$G$6:$G$29,"&lt;="&amp;A62,$F$6:$F$29,"&lt;&gt;")/100</f>
        <v/>
      </c>
      <c r="E62" s="21">
        <f>$B$6+$B$8*(D62-$B$6)+$C$17/100</f>
        <v/>
      </c>
      <c r="F62" s="21">
        <f>$B$6+$B$8*(D62-$B$6)+$C$18/100</f>
        <v/>
      </c>
      <c r="G62" s="21">
        <f>$B$6+$B$8*(AVERAGE(INDEX(D$46:D$69,MAX(1,16)):INDEX(D$46:D$69,17))-$B$6)+$C$19/100</f>
        <v/>
      </c>
      <c r="H62" s="21">
        <f>$B$6+$B$8*(AVERAGE(INDEX(D$46:D$69,MAX(1,15)):INDEX(D$46:D$69,17))-$B$6)+$C$20/100</f>
        <v/>
      </c>
      <c r="I62" s="29">
        <f>($B$17*E62+$B$18*F62+$B$19*G62+$B$20*H62)/100*B62/360</f>
        <v/>
      </c>
      <c r="J62" s="30">
        <f>IF($B$10="RCV",1,-1)*(($B$11/100)-(D62/100+$B$12/10000))*B62/360</f>
        <v/>
      </c>
      <c r="K62" s="21">
        <f>$B$6+I$31*SUMIFS(I$6:I$29,$G$6:$G$29,"&lt;="&amp;A62,$F$6:$F$29,"&lt;&gt;")/100</f>
        <v/>
      </c>
      <c r="L62" s="21">
        <f>$B$6+$B$8*(K62-$B$6)+$C$17/100</f>
        <v/>
      </c>
      <c r="M62" s="21">
        <f>$B$6+$B$8*(K62-$B$6)+$C$18/100</f>
        <v/>
      </c>
      <c r="N62" s="21">
        <f>$B$6+$B$8*(AVERAGE(INDEX(K$46:K$69,MAX(1,16)):INDEX(K$46:K$69,17))-$B$6)+$C$19/100</f>
        <v/>
      </c>
      <c r="O62" s="21">
        <f>$B$6+$B$8*(AVERAGE(INDEX(K$46:K$69,MAX(1,15)):INDEX(K$46:K$69,17))-$B$6)+$C$20/100</f>
        <v/>
      </c>
      <c r="P62" s="29">
        <f>($B$17*L62+$B$18*M62+$B$19*N62+$B$20*O62)/100*B62/360</f>
        <v/>
      </c>
      <c r="Q62" s="30">
        <f>IF($B$10="RCV",1,-1)*(($B$11/100)-(K62/100+$B$12/10000))*B62/360</f>
        <v/>
      </c>
      <c r="R62" s="21">
        <f>$B$6+J$31*SUMIFS(J$6:J$29,$G$6:$G$29,"&lt;="&amp;A62,$F$6:$F$29,"&lt;&gt;")/100</f>
        <v/>
      </c>
      <c r="S62" s="21">
        <f>$B$6+$B$8*(R62-$B$6)+$C$17/100</f>
        <v/>
      </c>
      <c r="T62" s="21">
        <f>$B$6+$B$8*(R62-$B$6)+$C$18/100</f>
        <v/>
      </c>
      <c r="U62" s="21">
        <f>$B$6+$B$8*(AVERAGE(INDEX(R$46:R$69,MAX(1,16)):INDEX(R$46:R$69,17))-$B$6)+$C$19/100</f>
        <v/>
      </c>
      <c r="V62" s="21">
        <f>$B$6+$B$8*(AVERAGE(INDEX(R$46:R$69,MAX(1,15)):INDEX(R$46:R$69,17))-$B$6)+$C$20/100</f>
        <v/>
      </c>
      <c r="W62" s="29">
        <f>($B$17*S62+$B$18*T62+$B$19*U62+$B$20*V62)/100*B62/360</f>
        <v/>
      </c>
      <c r="X62" s="30">
        <f>IF($B$10="RCV",1,-1)*(($B$11/100)-(R62/100+$B$12/10000))*B62/360</f>
        <v/>
      </c>
      <c r="Y62" s="21">
        <f>$B$6+K$31*SUMIFS(K$6:K$29,$G$6:$G$29,"&lt;="&amp;A62,$F$6:$F$29,"&lt;&gt;")/100</f>
        <v/>
      </c>
      <c r="Z62" s="21">
        <f>$B$6+$B$8*(Y62-$B$6)+$C$17/100</f>
        <v/>
      </c>
      <c r="AA62" s="21">
        <f>$B$6+$B$8*(Y62-$B$6)+$C$18/100</f>
        <v/>
      </c>
      <c r="AB62" s="21">
        <f>$B$6+$B$8*(AVERAGE(INDEX(Y$46:Y$69,MAX(1,16)):INDEX(Y$46:Y$69,17))-$B$6)+$C$19/100</f>
        <v/>
      </c>
      <c r="AC62" s="21">
        <f>$B$6+$B$8*(AVERAGE(INDEX(Y$46:Y$69,MAX(1,15)):INDEX(Y$46:Y$69,17))-$B$6)+$C$20/100</f>
        <v/>
      </c>
      <c r="AD62" s="29">
        <f>($B$17*Z62+$B$18*AA62+$B$19*AB62+$B$20*AC62)/100*B62/360</f>
        <v/>
      </c>
      <c r="AE62" s="30">
        <f>IF($B$10="RCV",1,-1)*(($B$11/100)-(Y62/100+$B$12/10000))*B62/360</f>
        <v/>
      </c>
      <c r="AF62" s="21">
        <f>$B$6+L$31*SUMIFS(L$6:L$29,$G$6:$G$29,"&lt;="&amp;A62,$F$6:$F$29,"&lt;&gt;")/100</f>
        <v/>
      </c>
      <c r="AG62" s="21">
        <f>$B$6+$B$8*(AF62-$B$6)+$C$17/100</f>
        <v/>
      </c>
      <c r="AH62" s="21">
        <f>$B$6+$B$8*(AF62-$B$6)+$C$18/100</f>
        <v/>
      </c>
      <c r="AI62" s="21">
        <f>$B$6+$B$8*(AVERAGE(INDEX(AF$46:AF$69,MAX(1,16)):INDEX(AF$46:AF$69,17))-$B$6)+$C$19/100</f>
        <v/>
      </c>
      <c r="AJ62" s="21">
        <f>$B$6+$B$8*(AVERAGE(INDEX(AF$46:AF$69,MAX(1,15)):INDEX(AF$46:AF$69,17))-$B$6)+$C$20/100</f>
        <v/>
      </c>
      <c r="AK62" s="29">
        <f>($B$17*AG62+$B$18*AH62+$B$19*AI62+$B$20*AJ62)/100*B62/360</f>
        <v/>
      </c>
      <c r="AL62" s="30">
        <f>IF($B$10="RCV",1,-1)*(($B$11/100)-(AF62/100+$B$12/10000))*B62/360</f>
        <v/>
      </c>
      <c r="AM62" s="21">
        <f>$B$6+M$31*SUMIFS(M$6:M$29,$G$6:$G$29,"&lt;="&amp;A62,$F$6:$F$29,"&lt;&gt;")/100</f>
        <v/>
      </c>
      <c r="AN62" s="21">
        <f>$B$6+$B$8*(AM62-$B$6)+$C$17/100</f>
        <v/>
      </c>
      <c r="AO62" s="21">
        <f>$B$6+$B$8*(AM62-$B$6)+$C$18/100</f>
        <v/>
      </c>
      <c r="AP62" s="21">
        <f>$B$6+$B$8*(AVERAGE(INDEX(AM$46:AM$69,MAX(1,16)):INDEX(AM$46:AM$69,17))-$B$6)+$C$19/100</f>
        <v/>
      </c>
      <c r="AQ62" s="21">
        <f>$B$6+$B$8*(AVERAGE(INDEX(AM$46:AM$69,MAX(1,15)):INDEX(AM$46:AM$69,17))-$B$6)+$C$20/100</f>
        <v/>
      </c>
      <c r="AR62" s="29">
        <f>($B$17*AN62+$B$18*AO62+$B$19*AP62+$B$20*AQ62)/100*B62/360</f>
        <v/>
      </c>
      <c r="AS62" s="30">
        <f>IF($B$10="RCV",1,-1)*(($B$11/100)-(AM62/100+$B$12/10000))*B62/360</f>
        <v/>
      </c>
    </row>
    <row r="63">
      <c r="A63" s="13">
        <f>EDATE($B$5,17)</f>
        <v/>
      </c>
      <c r="B63" s="28">
        <f>EDATE(A63,1)-A63</f>
        <v/>
      </c>
      <c r="C63" s="21">
        <f>SUMPRODUCT(($B$25:$B$32&gt;0)*($D$25:$D$32&gt;A63)*$B$25:$B$32*$C$25:$C$32)/100/12</f>
        <v/>
      </c>
      <c r="D63" s="21">
        <f>$B$6+H$31*SUMIFS(H$6:H$29,$G$6:$G$29,"&lt;="&amp;A63,$F$6:$F$29,"&lt;&gt;")/100</f>
        <v/>
      </c>
      <c r="E63" s="21">
        <f>$B$6+$B$8*(D63-$B$6)+$C$17/100</f>
        <v/>
      </c>
      <c r="F63" s="21">
        <f>$B$6+$B$8*(D63-$B$6)+$C$18/100</f>
        <v/>
      </c>
      <c r="G63" s="21">
        <f>$B$6+$B$8*(AVERAGE(INDEX(D$46:D$69,MAX(1,17)):INDEX(D$46:D$69,18))-$B$6)+$C$19/100</f>
        <v/>
      </c>
      <c r="H63" s="21">
        <f>$B$6+$B$8*(AVERAGE(INDEX(D$46:D$69,MAX(1,16)):INDEX(D$46:D$69,18))-$B$6)+$C$20/100</f>
        <v/>
      </c>
      <c r="I63" s="29">
        <f>($B$17*E63+$B$18*F63+$B$19*G63+$B$20*H63)/100*B63/360</f>
        <v/>
      </c>
      <c r="J63" s="30">
        <f>IF($B$10="RCV",1,-1)*(($B$11/100)-(D63/100+$B$12/10000))*B63/360</f>
        <v/>
      </c>
      <c r="K63" s="21">
        <f>$B$6+I$31*SUMIFS(I$6:I$29,$G$6:$G$29,"&lt;="&amp;A63,$F$6:$F$29,"&lt;&gt;")/100</f>
        <v/>
      </c>
      <c r="L63" s="21">
        <f>$B$6+$B$8*(K63-$B$6)+$C$17/100</f>
        <v/>
      </c>
      <c r="M63" s="21">
        <f>$B$6+$B$8*(K63-$B$6)+$C$18/100</f>
        <v/>
      </c>
      <c r="N63" s="21">
        <f>$B$6+$B$8*(AVERAGE(INDEX(K$46:K$69,MAX(1,17)):INDEX(K$46:K$69,18))-$B$6)+$C$19/100</f>
        <v/>
      </c>
      <c r="O63" s="21">
        <f>$B$6+$B$8*(AVERAGE(INDEX(K$46:K$69,MAX(1,16)):INDEX(K$46:K$69,18))-$B$6)+$C$20/100</f>
        <v/>
      </c>
      <c r="P63" s="29">
        <f>($B$17*L63+$B$18*M63+$B$19*N63+$B$20*O63)/100*B63/360</f>
        <v/>
      </c>
      <c r="Q63" s="30">
        <f>IF($B$10="RCV",1,-1)*(($B$11/100)-(K63/100+$B$12/10000))*B63/360</f>
        <v/>
      </c>
      <c r="R63" s="21">
        <f>$B$6+J$31*SUMIFS(J$6:J$29,$G$6:$G$29,"&lt;="&amp;A63,$F$6:$F$29,"&lt;&gt;")/100</f>
        <v/>
      </c>
      <c r="S63" s="21">
        <f>$B$6+$B$8*(R63-$B$6)+$C$17/100</f>
        <v/>
      </c>
      <c r="T63" s="21">
        <f>$B$6+$B$8*(R63-$B$6)+$C$18/100</f>
        <v/>
      </c>
      <c r="U63" s="21">
        <f>$B$6+$B$8*(AVERAGE(INDEX(R$46:R$69,MAX(1,17)):INDEX(R$46:R$69,18))-$B$6)+$C$19/100</f>
        <v/>
      </c>
      <c r="V63" s="21">
        <f>$B$6+$B$8*(AVERAGE(INDEX(R$46:R$69,MAX(1,16)):INDEX(R$46:R$69,18))-$B$6)+$C$20/100</f>
        <v/>
      </c>
      <c r="W63" s="29">
        <f>($B$17*S63+$B$18*T63+$B$19*U63+$B$20*V63)/100*B63/360</f>
        <v/>
      </c>
      <c r="X63" s="30">
        <f>IF($B$10="RCV",1,-1)*(($B$11/100)-(R63/100+$B$12/10000))*B63/360</f>
        <v/>
      </c>
      <c r="Y63" s="21">
        <f>$B$6+K$31*SUMIFS(K$6:K$29,$G$6:$G$29,"&lt;="&amp;A63,$F$6:$F$29,"&lt;&gt;")/100</f>
        <v/>
      </c>
      <c r="Z63" s="21">
        <f>$B$6+$B$8*(Y63-$B$6)+$C$17/100</f>
        <v/>
      </c>
      <c r="AA63" s="21">
        <f>$B$6+$B$8*(Y63-$B$6)+$C$18/100</f>
        <v/>
      </c>
      <c r="AB63" s="21">
        <f>$B$6+$B$8*(AVERAGE(INDEX(Y$46:Y$69,MAX(1,17)):INDEX(Y$46:Y$69,18))-$B$6)+$C$19/100</f>
        <v/>
      </c>
      <c r="AC63" s="21">
        <f>$B$6+$B$8*(AVERAGE(INDEX(Y$46:Y$69,MAX(1,16)):INDEX(Y$46:Y$69,18))-$B$6)+$C$20/100</f>
        <v/>
      </c>
      <c r="AD63" s="29">
        <f>($B$17*Z63+$B$18*AA63+$B$19*AB63+$B$20*AC63)/100*B63/360</f>
        <v/>
      </c>
      <c r="AE63" s="30">
        <f>IF($B$10="RCV",1,-1)*(($B$11/100)-(Y63/100+$B$12/10000))*B63/360</f>
        <v/>
      </c>
      <c r="AF63" s="21">
        <f>$B$6+L$31*SUMIFS(L$6:L$29,$G$6:$G$29,"&lt;="&amp;A63,$F$6:$F$29,"&lt;&gt;")/100</f>
        <v/>
      </c>
      <c r="AG63" s="21">
        <f>$B$6+$B$8*(AF63-$B$6)+$C$17/100</f>
        <v/>
      </c>
      <c r="AH63" s="21">
        <f>$B$6+$B$8*(AF63-$B$6)+$C$18/100</f>
        <v/>
      </c>
      <c r="AI63" s="21">
        <f>$B$6+$B$8*(AVERAGE(INDEX(AF$46:AF$69,MAX(1,17)):INDEX(AF$46:AF$69,18))-$B$6)+$C$19/100</f>
        <v/>
      </c>
      <c r="AJ63" s="21">
        <f>$B$6+$B$8*(AVERAGE(INDEX(AF$46:AF$69,MAX(1,16)):INDEX(AF$46:AF$69,18))-$B$6)+$C$20/100</f>
        <v/>
      </c>
      <c r="AK63" s="29">
        <f>($B$17*AG63+$B$18*AH63+$B$19*AI63+$B$20*AJ63)/100*B63/360</f>
        <v/>
      </c>
      <c r="AL63" s="30">
        <f>IF($B$10="RCV",1,-1)*(($B$11/100)-(AF63/100+$B$12/10000))*B63/360</f>
        <v/>
      </c>
      <c r="AM63" s="21">
        <f>$B$6+M$31*SUMIFS(M$6:M$29,$G$6:$G$29,"&lt;="&amp;A63,$F$6:$F$29,"&lt;&gt;")/100</f>
        <v/>
      </c>
      <c r="AN63" s="21">
        <f>$B$6+$B$8*(AM63-$B$6)+$C$17/100</f>
        <v/>
      </c>
      <c r="AO63" s="21">
        <f>$B$6+$B$8*(AM63-$B$6)+$C$18/100</f>
        <v/>
      </c>
      <c r="AP63" s="21">
        <f>$B$6+$B$8*(AVERAGE(INDEX(AM$46:AM$69,MAX(1,17)):INDEX(AM$46:AM$69,18))-$B$6)+$C$19/100</f>
        <v/>
      </c>
      <c r="AQ63" s="21">
        <f>$B$6+$B$8*(AVERAGE(INDEX(AM$46:AM$69,MAX(1,16)):INDEX(AM$46:AM$69,18))-$B$6)+$C$20/100</f>
        <v/>
      </c>
      <c r="AR63" s="29">
        <f>($B$17*AN63+$B$18*AO63+$B$19*AP63+$B$20*AQ63)/100*B63/360</f>
        <v/>
      </c>
      <c r="AS63" s="30">
        <f>IF($B$10="RCV",1,-1)*(($B$11/100)-(AM63/100+$B$12/10000))*B63/360</f>
        <v/>
      </c>
    </row>
    <row r="64">
      <c r="A64" s="13">
        <f>EDATE($B$5,18)</f>
        <v/>
      </c>
      <c r="B64" s="28">
        <f>EDATE(A64,1)-A64</f>
        <v/>
      </c>
      <c r="C64" s="21">
        <f>SUMPRODUCT(($B$25:$B$32&gt;0)*($D$25:$D$32&gt;A64)*$B$25:$B$32*$C$25:$C$32)/100/12</f>
        <v/>
      </c>
      <c r="D64" s="21">
        <f>$B$6+H$31*SUMIFS(H$6:H$29,$G$6:$G$29,"&lt;="&amp;A64,$F$6:$F$29,"&lt;&gt;")/100</f>
        <v/>
      </c>
      <c r="E64" s="21">
        <f>$B$6+$B$8*(D64-$B$6)+$C$17/100</f>
        <v/>
      </c>
      <c r="F64" s="21">
        <f>$B$6+$B$8*(D64-$B$6)+$C$18/100</f>
        <v/>
      </c>
      <c r="G64" s="21">
        <f>$B$6+$B$8*(AVERAGE(INDEX(D$46:D$69,MAX(1,18)):INDEX(D$46:D$69,19))-$B$6)+$C$19/100</f>
        <v/>
      </c>
      <c r="H64" s="21">
        <f>$B$6+$B$8*(AVERAGE(INDEX(D$46:D$69,MAX(1,17)):INDEX(D$46:D$69,19))-$B$6)+$C$20/100</f>
        <v/>
      </c>
      <c r="I64" s="29">
        <f>($B$17*E64+$B$18*F64+$B$19*G64+$B$20*H64)/100*B64/360</f>
        <v/>
      </c>
      <c r="J64" s="30">
        <f>IF($B$10="RCV",1,-1)*(($B$11/100)-(D64/100+$B$12/10000))*B64/360</f>
        <v/>
      </c>
      <c r="K64" s="21">
        <f>$B$6+I$31*SUMIFS(I$6:I$29,$G$6:$G$29,"&lt;="&amp;A64,$F$6:$F$29,"&lt;&gt;")/100</f>
        <v/>
      </c>
      <c r="L64" s="21">
        <f>$B$6+$B$8*(K64-$B$6)+$C$17/100</f>
        <v/>
      </c>
      <c r="M64" s="21">
        <f>$B$6+$B$8*(K64-$B$6)+$C$18/100</f>
        <v/>
      </c>
      <c r="N64" s="21">
        <f>$B$6+$B$8*(AVERAGE(INDEX(K$46:K$69,MAX(1,18)):INDEX(K$46:K$69,19))-$B$6)+$C$19/100</f>
        <v/>
      </c>
      <c r="O64" s="21">
        <f>$B$6+$B$8*(AVERAGE(INDEX(K$46:K$69,MAX(1,17)):INDEX(K$46:K$69,19))-$B$6)+$C$20/100</f>
        <v/>
      </c>
      <c r="P64" s="29">
        <f>($B$17*L64+$B$18*M64+$B$19*N64+$B$20*O64)/100*B64/360</f>
        <v/>
      </c>
      <c r="Q64" s="30">
        <f>IF($B$10="RCV",1,-1)*(($B$11/100)-(K64/100+$B$12/10000))*B64/360</f>
        <v/>
      </c>
      <c r="R64" s="21">
        <f>$B$6+J$31*SUMIFS(J$6:J$29,$G$6:$G$29,"&lt;="&amp;A64,$F$6:$F$29,"&lt;&gt;")/100</f>
        <v/>
      </c>
      <c r="S64" s="21">
        <f>$B$6+$B$8*(R64-$B$6)+$C$17/100</f>
        <v/>
      </c>
      <c r="T64" s="21">
        <f>$B$6+$B$8*(R64-$B$6)+$C$18/100</f>
        <v/>
      </c>
      <c r="U64" s="21">
        <f>$B$6+$B$8*(AVERAGE(INDEX(R$46:R$69,MAX(1,18)):INDEX(R$46:R$69,19))-$B$6)+$C$19/100</f>
        <v/>
      </c>
      <c r="V64" s="21">
        <f>$B$6+$B$8*(AVERAGE(INDEX(R$46:R$69,MAX(1,17)):INDEX(R$46:R$69,19))-$B$6)+$C$20/100</f>
        <v/>
      </c>
      <c r="W64" s="29">
        <f>($B$17*S64+$B$18*T64+$B$19*U64+$B$20*V64)/100*B64/360</f>
        <v/>
      </c>
      <c r="X64" s="30">
        <f>IF($B$10="RCV",1,-1)*(($B$11/100)-(R64/100+$B$12/10000))*B64/360</f>
        <v/>
      </c>
      <c r="Y64" s="21">
        <f>$B$6+K$31*SUMIFS(K$6:K$29,$G$6:$G$29,"&lt;="&amp;A64,$F$6:$F$29,"&lt;&gt;")/100</f>
        <v/>
      </c>
      <c r="Z64" s="21">
        <f>$B$6+$B$8*(Y64-$B$6)+$C$17/100</f>
        <v/>
      </c>
      <c r="AA64" s="21">
        <f>$B$6+$B$8*(Y64-$B$6)+$C$18/100</f>
        <v/>
      </c>
      <c r="AB64" s="21">
        <f>$B$6+$B$8*(AVERAGE(INDEX(Y$46:Y$69,MAX(1,18)):INDEX(Y$46:Y$69,19))-$B$6)+$C$19/100</f>
        <v/>
      </c>
      <c r="AC64" s="21">
        <f>$B$6+$B$8*(AVERAGE(INDEX(Y$46:Y$69,MAX(1,17)):INDEX(Y$46:Y$69,19))-$B$6)+$C$20/100</f>
        <v/>
      </c>
      <c r="AD64" s="29">
        <f>($B$17*Z64+$B$18*AA64+$B$19*AB64+$B$20*AC64)/100*B64/360</f>
        <v/>
      </c>
      <c r="AE64" s="30">
        <f>IF($B$10="RCV",1,-1)*(($B$11/100)-(Y64/100+$B$12/10000))*B64/360</f>
        <v/>
      </c>
      <c r="AF64" s="21">
        <f>$B$6+L$31*SUMIFS(L$6:L$29,$G$6:$G$29,"&lt;="&amp;A64,$F$6:$F$29,"&lt;&gt;")/100</f>
        <v/>
      </c>
      <c r="AG64" s="21">
        <f>$B$6+$B$8*(AF64-$B$6)+$C$17/100</f>
        <v/>
      </c>
      <c r="AH64" s="21">
        <f>$B$6+$B$8*(AF64-$B$6)+$C$18/100</f>
        <v/>
      </c>
      <c r="AI64" s="21">
        <f>$B$6+$B$8*(AVERAGE(INDEX(AF$46:AF$69,MAX(1,18)):INDEX(AF$46:AF$69,19))-$B$6)+$C$19/100</f>
        <v/>
      </c>
      <c r="AJ64" s="21">
        <f>$B$6+$B$8*(AVERAGE(INDEX(AF$46:AF$69,MAX(1,17)):INDEX(AF$46:AF$69,19))-$B$6)+$C$20/100</f>
        <v/>
      </c>
      <c r="AK64" s="29">
        <f>($B$17*AG64+$B$18*AH64+$B$19*AI64+$B$20*AJ64)/100*B64/360</f>
        <v/>
      </c>
      <c r="AL64" s="30">
        <f>IF($B$10="RCV",1,-1)*(($B$11/100)-(AF64/100+$B$12/10000))*B64/360</f>
        <v/>
      </c>
      <c r="AM64" s="21">
        <f>$B$6+M$31*SUMIFS(M$6:M$29,$G$6:$G$29,"&lt;="&amp;A64,$F$6:$F$29,"&lt;&gt;")/100</f>
        <v/>
      </c>
      <c r="AN64" s="21">
        <f>$B$6+$B$8*(AM64-$B$6)+$C$17/100</f>
        <v/>
      </c>
      <c r="AO64" s="21">
        <f>$B$6+$B$8*(AM64-$B$6)+$C$18/100</f>
        <v/>
      </c>
      <c r="AP64" s="21">
        <f>$B$6+$B$8*(AVERAGE(INDEX(AM$46:AM$69,MAX(1,18)):INDEX(AM$46:AM$69,19))-$B$6)+$C$19/100</f>
        <v/>
      </c>
      <c r="AQ64" s="21">
        <f>$B$6+$B$8*(AVERAGE(INDEX(AM$46:AM$69,MAX(1,17)):INDEX(AM$46:AM$69,19))-$B$6)+$C$20/100</f>
        <v/>
      </c>
      <c r="AR64" s="29">
        <f>($B$17*AN64+$B$18*AO64+$B$19*AP64+$B$20*AQ64)/100*B64/360</f>
        <v/>
      </c>
      <c r="AS64" s="30">
        <f>IF($B$10="RCV",1,-1)*(($B$11/100)-(AM64/100+$B$12/10000))*B64/360</f>
        <v/>
      </c>
    </row>
    <row r="65">
      <c r="A65" s="13">
        <f>EDATE($B$5,19)</f>
        <v/>
      </c>
      <c r="B65" s="28">
        <f>EDATE(A65,1)-A65</f>
        <v/>
      </c>
      <c r="C65" s="21">
        <f>SUMPRODUCT(($B$25:$B$32&gt;0)*($D$25:$D$32&gt;A65)*$B$25:$B$32*$C$25:$C$32)/100/12</f>
        <v/>
      </c>
      <c r="D65" s="21">
        <f>$B$6+H$31*SUMIFS(H$6:H$29,$G$6:$G$29,"&lt;="&amp;A65,$F$6:$F$29,"&lt;&gt;")/100</f>
        <v/>
      </c>
      <c r="E65" s="21">
        <f>$B$6+$B$8*(D65-$B$6)+$C$17/100</f>
        <v/>
      </c>
      <c r="F65" s="21">
        <f>$B$6+$B$8*(D65-$B$6)+$C$18/100</f>
        <v/>
      </c>
      <c r="G65" s="21">
        <f>$B$6+$B$8*(AVERAGE(INDEX(D$46:D$69,MAX(1,19)):INDEX(D$46:D$69,20))-$B$6)+$C$19/100</f>
        <v/>
      </c>
      <c r="H65" s="21">
        <f>$B$6+$B$8*(AVERAGE(INDEX(D$46:D$69,MAX(1,18)):INDEX(D$46:D$69,20))-$B$6)+$C$20/100</f>
        <v/>
      </c>
      <c r="I65" s="29">
        <f>($B$17*E65+$B$18*F65+$B$19*G65+$B$20*H65)/100*B65/360</f>
        <v/>
      </c>
      <c r="J65" s="30">
        <f>IF($B$10="RCV",1,-1)*(($B$11/100)-(D65/100+$B$12/10000))*B65/360</f>
        <v/>
      </c>
      <c r="K65" s="21">
        <f>$B$6+I$31*SUMIFS(I$6:I$29,$G$6:$G$29,"&lt;="&amp;A65,$F$6:$F$29,"&lt;&gt;")/100</f>
        <v/>
      </c>
      <c r="L65" s="21">
        <f>$B$6+$B$8*(K65-$B$6)+$C$17/100</f>
        <v/>
      </c>
      <c r="M65" s="21">
        <f>$B$6+$B$8*(K65-$B$6)+$C$18/100</f>
        <v/>
      </c>
      <c r="N65" s="21">
        <f>$B$6+$B$8*(AVERAGE(INDEX(K$46:K$69,MAX(1,19)):INDEX(K$46:K$69,20))-$B$6)+$C$19/100</f>
        <v/>
      </c>
      <c r="O65" s="21">
        <f>$B$6+$B$8*(AVERAGE(INDEX(K$46:K$69,MAX(1,18)):INDEX(K$46:K$69,20))-$B$6)+$C$20/100</f>
        <v/>
      </c>
      <c r="P65" s="29">
        <f>($B$17*L65+$B$18*M65+$B$19*N65+$B$20*O65)/100*B65/360</f>
        <v/>
      </c>
      <c r="Q65" s="30">
        <f>IF($B$10="RCV",1,-1)*(($B$11/100)-(K65/100+$B$12/10000))*B65/360</f>
        <v/>
      </c>
      <c r="R65" s="21">
        <f>$B$6+J$31*SUMIFS(J$6:J$29,$G$6:$G$29,"&lt;="&amp;A65,$F$6:$F$29,"&lt;&gt;")/100</f>
        <v/>
      </c>
      <c r="S65" s="21">
        <f>$B$6+$B$8*(R65-$B$6)+$C$17/100</f>
        <v/>
      </c>
      <c r="T65" s="21">
        <f>$B$6+$B$8*(R65-$B$6)+$C$18/100</f>
        <v/>
      </c>
      <c r="U65" s="21">
        <f>$B$6+$B$8*(AVERAGE(INDEX(R$46:R$69,MAX(1,19)):INDEX(R$46:R$69,20))-$B$6)+$C$19/100</f>
        <v/>
      </c>
      <c r="V65" s="21">
        <f>$B$6+$B$8*(AVERAGE(INDEX(R$46:R$69,MAX(1,18)):INDEX(R$46:R$69,20))-$B$6)+$C$20/100</f>
        <v/>
      </c>
      <c r="W65" s="29">
        <f>($B$17*S65+$B$18*T65+$B$19*U65+$B$20*V65)/100*B65/360</f>
        <v/>
      </c>
      <c r="X65" s="30">
        <f>IF($B$10="RCV",1,-1)*(($B$11/100)-(R65/100+$B$12/10000))*B65/360</f>
        <v/>
      </c>
      <c r="Y65" s="21">
        <f>$B$6+K$31*SUMIFS(K$6:K$29,$G$6:$G$29,"&lt;="&amp;A65,$F$6:$F$29,"&lt;&gt;")/100</f>
        <v/>
      </c>
      <c r="Z65" s="21">
        <f>$B$6+$B$8*(Y65-$B$6)+$C$17/100</f>
        <v/>
      </c>
      <c r="AA65" s="21">
        <f>$B$6+$B$8*(Y65-$B$6)+$C$18/100</f>
        <v/>
      </c>
      <c r="AB65" s="21">
        <f>$B$6+$B$8*(AVERAGE(INDEX(Y$46:Y$69,MAX(1,19)):INDEX(Y$46:Y$69,20))-$B$6)+$C$19/100</f>
        <v/>
      </c>
      <c r="AC65" s="21">
        <f>$B$6+$B$8*(AVERAGE(INDEX(Y$46:Y$69,MAX(1,18)):INDEX(Y$46:Y$69,20))-$B$6)+$C$20/100</f>
        <v/>
      </c>
      <c r="AD65" s="29">
        <f>($B$17*Z65+$B$18*AA65+$B$19*AB65+$B$20*AC65)/100*B65/360</f>
        <v/>
      </c>
      <c r="AE65" s="30">
        <f>IF($B$10="RCV",1,-1)*(($B$11/100)-(Y65/100+$B$12/10000))*B65/360</f>
        <v/>
      </c>
      <c r="AF65" s="21">
        <f>$B$6+L$31*SUMIFS(L$6:L$29,$G$6:$G$29,"&lt;="&amp;A65,$F$6:$F$29,"&lt;&gt;")/100</f>
        <v/>
      </c>
      <c r="AG65" s="21">
        <f>$B$6+$B$8*(AF65-$B$6)+$C$17/100</f>
        <v/>
      </c>
      <c r="AH65" s="21">
        <f>$B$6+$B$8*(AF65-$B$6)+$C$18/100</f>
        <v/>
      </c>
      <c r="AI65" s="21">
        <f>$B$6+$B$8*(AVERAGE(INDEX(AF$46:AF$69,MAX(1,19)):INDEX(AF$46:AF$69,20))-$B$6)+$C$19/100</f>
        <v/>
      </c>
      <c r="AJ65" s="21">
        <f>$B$6+$B$8*(AVERAGE(INDEX(AF$46:AF$69,MAX(1,18)):INDEX(AF$46:AF$69,20))-$B$6)+$C$20/100</f>
        <v/>
      </c>
      <c r="AK65" s="29">
        <f>($B$17*AG65+$B$18*AH65+$B$19*AI65+$B$20*AJ65)/100*B65/360</f>
        <v/>
      </c>
      <c r="AL65" s="30">
        <f>IF($B$10="RCV",1,-1)*(($B$11/100)-(AF65/100+$B$12/10000))*B65/360</f>
        <v/>
      </c>
      <c r="AM65" s="21">
        <f>$B$6+M$31*SUMIFS(M$6:M$29,$G$6:$G$29,"&lt;="&amp;A65,$F$6:$F$29,"&lt;&gt;")/100</f>
        <v/>
      </c>
      <c r="AN65" s="21">
        <f>$B$6+$B$8*(AM65-$B$6)+$C$17/100</f>
        <v/>
      </c>
      <c r="AO65" s="21">
        <f>$B$6+$B$8*(AM65-$B$6)+$C$18/100</f>
        <v/>
      </c>
      <c r="AP65" s="21">
        <f>$B$6+$B$8*(AVERAGE(INDEX(AM$46:AM$69,MAX(1,19)):INDEX(AM$46:AM$69,20))-$B$6)+$C$19/100</f>
        <v/>
      </c>
      <c r="AQ65" s="21">
        <f>$B$6+$B$8*(AVERAGE(INDEX(AM$46:AM$69,MAX(1,18)):INDEX(AM$46:AM$69,20))-$B$6)+$C$20/100</f>
        <v/>
      </c>
      <c r="AR65" s="29">
        <f>($B$17*AN65+$B$18*AO65+$B$19*AP65+$B$20*AQ65)/100*B65/360</f>
        <v/>
      </c>
      <c r="AS65" s="30">
        <f>IF($B$10="RCV",1,-1)*(($B$11/100)-(AM65/100+$B$12/10000))*B65/360</f>
        <v/>
      </c>
    </row>
    <row r="66">
      <c r="A66" s="13">
        <f>EDATE($B$5,20)</f>
        <v/>
      </c>
      <c r="B66" s="28">
        <f>EDATE(A66,1)-A66</f>
        <v/>
      </c>
      <c r="C66" s="21">
        <f>SUMPRODUCT(($B$25:$B$32&gt;0)*($D$25:$D$32&gt;A66)*$B$25:$B$32*$C$25:$C$32)/100/12</f>
        <v/>
      </c>
      <c r="D66" s="21">
        <f>$B$6+H$31*SUMIFS(H$6:H$29,$G$6:$G$29,"&lt;="&amp;A66,$F$6:$F$29,"&lt;&gt;")/100</f>
        <v/>
      </c>
      <c r="E66" s="21">
        <f>$B$6+$B$8*(D66-$B$6)+$C$17/100</f>
        <v/>
      </c>
      <c r="F66" s="21">
        <f>$B$6+$B$8*(D66-$B$6)+$C$18/100</f>
        <v/>
      </c>
      <c r="G66" s="21">
        <f>$B$6+$B$8*(AVERAGE(INDEX(D$46:D$69,MAX(1,20)):INDEX(D$46:D$69,21))-$B$6)+$C$19/100</f>
        <v/>
      </c>
      <c r="H66" s="21">
        <f>$B$6+$B$8*(AVERAGE(INDEX(D$46:D$69,MAX(1,19)):INDEX(D$46:D$69,21))-$B$6)+$C$20/100</f>
        <v/>
      </c>
      <c r="I66" s="29">
        <f>($B$17*E66+$B$18*F66+$B$19*G66+$B$20*H66)/100*B66/360</f>
        <v/>
      </c>
      <c r="J66" s="30">
        <f>IF($B$10="RCV",1,-1)*(($B$11/100)-(D66/100+$B$12/10000))*B66/360</f>
        <v/>
      </c>
      <c r="K66" s="21">
        <f>$B$6+I$31*SUMIFS(I$6:I$29,$G$6:$G$29,"&lt;="&amp;A66,$F$6:$F$29,"&lt;&gt;")/100</f>
        <v/>
      </c>
      <c r="L66" s="21">
        <f>$B$6+$B$8*(K66-$B$6)+$C$17/100</f>
        <v/>
      </c>
      <c r="M66" s="21">
        <f>$B$6+$B$8*(K66-$B$6)+$C$18/100</f>
        <v/>
      </c>
      <c r="N66" s="21">
        <f>$B$6+$B$8*(AVERAGE(INDEX(K$46:K$69,MAX(1,20)):INDEX(K$46:K$69,21))-$B$6)+$C$19/100</f>
        <v/>
      </c>
      <c r="O66" s="21">
        <f>$B$6+$B$8*(AVERAGE(INDEX(K$46:K$69,MAX(1,19)):INDEX(K$46:K$69,21))-$B$6)+$C$20/100</f>
        <v/>
      </c>
      <c r="P66" s="29">
        <f>($B$17*L66+$B$18*M66+$B$19*N66+$B$20*O66)/100*B66/360</f>
        <v/>
      </c>
      <c r="Q66" s="30">
        <f>IF($B$10="RCV",1,-1)*(($B$11/100)-(K66/100+$B$12/10000))*B66/360</f>
        <v/>
      </c>
      <c r="R66" s="21">
        <f>$B$6+J$31*SUMIFS(J$6:J$29,$G$6:$G$29,"&lt;="&amp;A66,$F$6:$F$29,"&lt;&gt;")/100</f>
        <v/>
      </c>
      <c r="S66" s="21">
        <f>$B$6+$B$8*(R66-$B$6)+$C$17/100</f>
        <v/>
      </c>
      <c r="T66" s="21">
        <f>$B$6+$B$8*(R66-$B$6)+$C$18/100</f>
        <v/>
      </c>
      <c r="U66" s="21">
        <f>$B$6+$B$8*(AVERAGE(INDEX(R$46:R$69,MAX(1,20)):INDEX(R$46:R$69,21))-$B$6)+$C$19/100</f>
        <v/>
      </c>
      <c r="V66" s="21">
        <f>$B$6+$B$8*(AVERAGE(INDEX(R$46:R$69,MAX(1,19)):INDEX(R$46:R$69,21))-$B$6)+$C$20/100</f>
        <v/>
      </c>
      <c r="W66" s="29">
        <f>($B$17*S66+$B$18*T66+$B$19*U66+$B$20*V66)/100*B66/360</f>
        <v/>
      </c>
      <c r="X66" s="30">
        <f>IF($B$10="RCV",1,-1)*(($B$11/100)-(R66/100+$B$12/10000))*B66/360</f>
        <v/>
      </c>
      <c r="Y66" s="21">
        <f>$B$6+K$31*SUMIFS(K$6:K$29,$G$6:$G$29,"&lt;="&amp;A66,$F$6:$F$29,"&lt;&gt;")/100</f>
        <v/>
      </c>
      <c r="Z66" s="21">
        <f>$B$6+$B$8*(Y66-$B$6)+$C$17/100</f>
        <v/>
      </c>
      <c r="AA66" s="21">
        <f>$B$6+$B$8*(Y66-$B$6)+$C$18/100</f>
        <v/>
      </c>
      <c r="AB66" s="21">
        <f>$B$6+$B$8*(AVERAGE(INDEX(Y$46:Y$69,MAX(1,20)):INDEX(Y$46:Y$69,21))-$B$6)+$C$19/100</f>
        <v/>
      </c>
      <c r="AC66" s="21">
        <f>$B$6+$B$8*(AVERAGE(INDEX(Y$46:Y$69,MAX(1,19)):INDEX(Y$46:Y$69,21))-$B$6)+$C$20/100</f>
        <v/>
      </c>
      <c r="AD66" s="29">
        <f>($B$17*Z66+$B$18*AA66+$B$19*AB66+$B$20*AC66)/100*B66/360</f>
        <v/>
      </c>
      <c r="AE66" s="30">
        <f>IF($B$10="RCV",1,-1)*(($B$11/100)-(Y66/100+$B$12/10000))*B66/360</f>
        <v/>
      </c>
      <c r="AF66" s="21">
        <f>$B$6+L$31*SUMIFS(L$6:L$29,$G$6:$G$29,"&lt;="&amp;A66,$F$6:$F$29,"&lt;&gt;")/100</f>
        <v/>
      </c>
      <c r="AG66" s="21">
        <f>$B$6+$B$8*(AF66-$B$6)+$C$17/100</f>
        <v/>
      </c>
      <c r="AH66" s="21">
        <f>$B$6+$B$8*(AF66-$B$6)+$C$18/100</f>
        <v/>
      </c>
      <c r="AI66" s="21">
        <f>$B$6+$B$8*(AVERAGE(INDEX(AF$46:AF$69,MAX(1,20)):INDEX(AF$46:AF$69,21))-$B$6)+$C$19/100</f>
        <v/>
      </c>
      <c r="AJ66" s="21">
        <f>$B$6+$B$8*(AVERAGE(INDEX(AF$46:AF$69,MAX(1,19)):INDEX(AF$46:AF$69,21))-$B$6)+$C$20/100</f>
        <v/>
      </c>
      <c r="AK66" s="29">
        <f>($B$17*AG66+$B$18*AH66+$B$19*AI66+$B$20*AJ66)/100*B66/360</f>
        <v/>
      </c>
      <c r="AL66" s="30">
        <f>IF($B$10="RCV",1,-1)*(($B$11/100)-(AF66/100+$B$12/10000))*B66/360</f>
        <v/>
      </c>
      <c r="AM66" s="21">
        <f>$B$6+M$31*SUMIFS(M$6:M$29,$G$6:$G$29,"&lt;="&amp;A66,$F$6:$F$29,"&lt;&gt;")/100</f>
        <v/>
      </c>
      <c r="AN66" s="21">
        <f>$B$6+$B$8*(AM66-$B$6)+$C$17/100</f>
        <v/>
      </c>
      <c r="AO66" s="21">
        <f>$B$6+$B$8*(AM66-$B$6)+$C$18/100</f>
        <v/>
      </c>
      <c r="AP66" s="21">
        <f>$B$6+$B$8*(AVERAGE(INDEX(AM$46:AM$69,MAX(1,20)):INDEX(AM$46:AM$69,21))-$B$6)+$C$19/100</f>
        <v/>
      </c>
      <c r="AQ66" s="21">
        <f>$B$6+$B$8*(AVERAGE(INDEX(AM$46:AM$69,MAX(1,19)):INDEX(AM$46:AM$69,21))-$B$6)+$C$20/100</f>
        <v/>
      </c>
      <c r="AR66" s="29">
        <f>($B$17*AN66+$B$18*AO66+$B$19*AP66+$B$20*AQ66)/100*B66/360</f>
        <v/>
      </c>
      <c r="AS66" s="30">
        <f>IF($B$10="RCV",1,-1)*(($B$11/100)-(AM66/100+$B$12/10000))*B66/360</f>
        <v/>
      </c>
    </row>
    <row r="67">
      <c r="A67" s="13">
        <f>EDATE($B$5,21)</f>
        <v/>
      </c>
      <c r="B67" s="28">
        <f>EDATE(A67,1)-A67</f>
        <v/>
      </c>
      <c r="C67" s="21">
        <f>SUMPRODUCT(($B$25:$B$32&gt;0)*($D$25:$D$32&gt;A67)*$B$25:$B$32*$C$25:$C$32)/100/12</f>
        <v/>
      </c>
      <c r="D67" s="21">
        <f>$B$6+H$31*SUMIFS(H$6:H$29,$G$6:$G$29,"&lt;="&amp;A67,$F$6:$F$29,"&lt;&gt;")/100</f>
        <v/>
      </c>
      <c r="E67" s="21">
        <f>$B$6+$B$8*(D67-$B$6)+$C$17/100</f>
        <v/>
      </c>
      <c r="F67" s="21">
        <f>$B$6+$B$8*(D67-$B$6)+$C$18/100</f>
        <v/>
      </c>
      <c r="G67" s="21">
        <f>$B$6+$B$8*(AVERAGE(INDEX(D$46:D$69,MAX(1,21)):INDEX(D$46:D$69,22))-$B$6)+$C$19/100</f>
        <v/>
      </c>
      <c r="H67" s="21">
        <f>$B$6+$B$8*(AVERAGE(INDEX(D$46:D$69,MAX(1,20)):INDEX(D$46:D$69,22))-$B$6)+$C$20/100</f>
        <v/>
      </c>
      <c r="I67" s="29">
        <f>($B$17*E67+$B$18*F67+$B$19*G67+$B$20*H67)/100*B67/360</f>
        <v/>
      </c>
      <c r="J67" s="30">
        <f>IF($B$10="RCV",1,-1)*(($B$11/100)-(D67/100+$B$12/10000))*B67/360</f>
        <v/>
      </c>
      <c r="K67" s="21">
        <f>$B$6+I$31*SUMIFS(I$6:I$29,$G$6:$G$29,"&lt;="&amp;A67,$F$6:$F$29,"&lt;&gt;")/100</f>
        <v/>
      </c>
      <c r="L67" s="21">
        <f>$B$6+$B$8*(K67-$B$6)+$C$17/100</f>
        <v/>
      </c>
      <c r="M67" s="21">
        <f>$B$6+$B$8*(K67-$B$6)+$C$18/100</f>
        <v/>
      </c>
      <c r="N67" s="21">
        <f>$B$6+$B$8*(AVERAGE(INDEX(K$46:K$69,MAX(1,21)):INDEX(K$46:K$69,22))-$B$6)+$C$19/100</f>
        <v/>
      </c>
      <c r="O67" s="21">
        <f>$B$6+$B$8*(AVERAGE(INDEX(K$46:K$69,MAX(1,20)):INDEX(K$46:K$69,22))-$B$6)+$C$20/100</f>
        <v/>
      </c>
      <c r="P67" s="29">
        <f>($B$17*L67+$B$18*M67+$B$19*N67+$B$20*O67)/100*B67/360</f>
        <v/>
      </c>
      <c r="Q67" s="30">
        <f>IF($B$10="RCV",1,-1)*(($B$11/100)-(K67/100+$B$12/10000))*B67/360</f>
        <v/>
      </c>
      <c r="R67" s="21">
        <f>$B$6+J$31*SUMIFS(J$6:J$29,$G$6:$G$29,"&lt;="&amp;A67,$F$6:$F$29,"&lt;&gt;")/100</f>
        <v/>
      </c>
      <c r="S67" s="21">
        <f>$B$6+$B$8*(R67-$B$6)+$C$17/100</f>
        <v/>
      </c>
      <c r="T67" s="21">
        <f>$B$6+$B$8*(R67-$B$6)+$C$18/100</f>
        <v/>
      </c>
      <c r="U67" s="21">
        <f>$B$6+$B$8*(AVERAGE(INDEX(R$46:R$69,MAX(1,21)):INDEX(R$46:R$69,22))-$B$6)+$C$19/100</f>
        <v/>
      </c>
      <c r="V67" s="21">
        <f>$B$6+$B$8*(AVERAGE(INDEX(R$46:R$69,MAX(1,20)):INDEX(R$46:R$69,22))-$B$6)+$C$20/100</f>
        <v/>
      </c>
      <c r="W67" s="29">
        <f>($B$17*S67+$B$18*T67+$B$19*U67+$B$20*V67)/100*B67/360</f>
        <v/>
      </c>
      <c r="X67" s="30">
        <f>IF($B$10="RCV",1,-1)*(($B$11/100)-(R67/100+$B$12/10000))*B67/360</f>
        <v/>
      </c>
      <c r="Y67" s="21">
        <f>$B$6+K$31*SUMIFS(K$6:K$29,$G$6:$G$29,"&lt;="&amp;A67,$F$6:$F$29,"&lt;&gt;")/100</f>
        <v/>
      </c>
      <c r="Z67" s="21">
        <f>$B$6+$B$8*(Y67-$B$6)+$C$17/100</f>
        <v/>
      </c>
      <c r="AA67" s="21">
        <f>$B$6+$B$8*(Y67-$B$6)+$C$18/100</f>
        <v/>
      </c>
      <c r="AB67" s="21">
        <f>$B$6+$B$8*(AVERAGE(INDEX(Y$46:Y$69,MAX(1,21)):INDEX(Y$46:Y$69,22))-$B$6)+$C$19/100</f>
        <v/>
      </c>
      <c r="AC67" s="21">
        <f>$B$6+$B$8*(AVERAGE(INDEX(Y$46:Y$69,MAX(1,20)):INDEX(Y$46:Y$69,22))-$B$6)+$C$20/100</f>
        <v/>
      </c>
      <c r="AD67" s="29">
        <f>($B$17*Z67+$B$18*AA67+$B$19*AB67+$B$20*AC67)/100*B67/360</f>
        <v/>
      </c>
      <c r="AE67" s="30">
        <f>IF($B$10="RCV",1,-1)*(($B$11/100)-(Y67/100+$B$12/10000))*B67/360</f>
        <v/>
      </c>
      <c r="AF67" s="21">
        <f>$B$6+L$31*SUMIFS(L$6:L$29,$G$6:$G$29,"&lt;="&amp;A67,$F$6:$F$29,"&lt;&gt;")/100</f>
        <v/>
      </c>
      <c r="AG67" s="21">
        <f>$B$6+$B$8*(AF67-$B$6)+$C$17/100</f>
        <v/>
      </c>
      <c r="AH67" s="21">
        <f>$B$6+$B$8*(AF67-$B$6)+$C$18/100</f>
        <v/>
      </c>
      <c r="AI67" s="21">
        <f>$B$6+$B$8*(AVERAGE(INDEX(AF$46:AF$69,MAX(1,21)):INDEX(AF$46:AF$69,22))-$B$6)+$C$19/100</f>
        <v/>
      </c>
      <c r="AJ67" s="21">
        <f>$B$6+$B$8*(AVERAGE(INDEX(AF$46:AF$69,MAX(1,20)):INDEX(AF$46:AF$69,22))-$B$6)+$C$20/100</f>
        <v/>
      </c>
      <c r="AK67" s="29">
        <f>($B$17*AG67+$B$18*AH67+$B$19*AI67+$B$20*AJ67)/100*B67/360</f>
        <v/>
      </c>
      <c r="AL67" s="30">
        <f>IF($B$10="RCV",1,-1)*(($B$11/100)-(AF67/100+$B$12/10000))*B67/360</f>
        <v/>
      </c>
      <c r="AM67" s="21">
        <f>$B$6+M$31*SUMIFS(M$6:M$29,$G$6:$G$29,"&lt;="&amp;A67,$F$6:$F$29,"&lt;&gt;")/100</f>
        <v/>
      </c>
      <c r="AN67" s="21">
        <f>$B$6+$B$8*(AM67-$B$6)+$C$17/100</f>
        <v/>
      </c>
      <c r="AO67" s="21">
        <f>$B$6+$B$8*(AM67-$B$6)+$C$18/100</f>
        <v/>
      </c>
      <c r="AP67" s="21">
        <f>$B$6+$B$8*(AVERAGE(INDEX(AM$46:AM$69,MAX(1,21)):INDEX(AM$46:AM$69,22))-$B$6)+$C$19/100</f>
        <v/>
      </c>
      <c r="AQ67" s="21">
        <f>$B$6+$B$8*(AVERAGE(INDEX(AM$46:AM$69,MAX(1,20)):INDEX(AM$46:AM$69,22))-$B$6)+$C$20/100</f>
        <v/>
      </c>
      <c r="AR67" s="29">
        <f>($B$17*AN67+$B$18*AO67+$B$19*AP67+$B$20*AQ67)/100*B67/360</f>
        <v/>
      </c>
      <c r="AS67" s="30">
        <f>IF($B$10="RCV",1,-1)*(($B$11/100)-(AM67/100+$B$12/10000))*B67/360</f>
        <v/>
      </c>
    </row>
    <row r="68">
      <c r="A68" s="13">
        <f>EDATE($B$5,22)</f>
        <v/>
      </c>
      <c r="B68" s="28">
        <f>EDATE(A68,1)-A68</f>
        <v/>
      </c>
      <c r="C68" s="21">
        <f>SUMPRODUCT(($B$25:$B$32&gt;0)*($D$25:$D$32&gt;A68)*$B$25:$B$32*$C$25:$C$32)/100/12</f>
        <v/>
      </c>
      <c r="D68" s="21">
        <f>$B$6+H$31*SUMIFS(H$6:H$29,$G$6:$G$29,"&lt;="&amp;A68,$F$6:$F$29,"&lt;&gt;")/100</f>
        <v/>
      </c>
      <c r="E68" s="21">
        <f>$B$6+$B$8*(D68-$B$6)+$C$17/100</f>
        <v/>
      </c>
      <c r="F68" s="21">
        <f>$B$6+$B$8*(D68-$B$6)+$C$18/100</f>
        <v/>
      </c>
      <c r="G68" s="21">
        <f>$B$6+$B$8*(AVERAGE(INDEX(D$46:D$69,MAX(1,22)):INDEX(D$46:D$69,23))-$B$6)+$C$19/100</f>
        <v/>
      </c>
      <c r="H68" s="21">
        <f>$B$6+$B$8*(AVERAGE(INDEX(D$46:D$69,MAX(1,21)):INDEX(D$46:D$69,23))-$B$6)+$C$20/100</f>
        <v/>
      </c>
      <c r="I68" s="29">
        <f>($B$17*E68+$B$18*F68+$B$19*G68+$B$20*H68)/100*B68/360</f>
        <v/>
      </c>
      <c r="J68" s="30">
        <f>IF($B$10="RCV",1,-1)*(($B$11/100)-(D68/100+$B$12/10000))*B68/360</f>
        <v/>
      </c>
      <c r="K68" s="21">
        <f>$B$6+I$31*SUMIFS(I$6:I$29,$G$6:$G$29,"&lt;="&amp;A68,$F$6:$F$29,"&lt;&gt;")/100</f>
        <v/>
      </c>
      <c r="L68" s="21">
        <f>$B$6+$B$8*(K68-$B$6)+$C$17/100</f>
        <v/>
      </c>
      <c r="M68" s="21">
        <f>$B$6+$B$8*(K68-$B$6)+$C$18/100</f>
        <v/>
      </c>
      <c r="N68" s="21">
        <f>$B$6+$B$8*(AVERAGE(INDEX(K$46:K$69,MAX(1,22)):INDEX(K$46:K$69,23))-$B$6)+$C$19/100</f>
        <v/>
      </c>
      <c r="O68" s="21">
        <f>$B$6+$B$8*(AVERAGE(INDEX(K$46:K$69,MAX(1,21)):INDEX(K$46:K$69,23))-$B$6)+$C$20/100</f>
        <v/>
      </c>
      <c r="P68" s="29">
        <f>($B$17*L68+$B$18*M68+$B$19*N68+$B$20*O68)/100*B68/360</f>
        <v/>
      </c>
      <c r="Q68" s="30">
        <f>IF($B$10="RCV",1,-1)*(($B$11/100)-(K68/100+$B$12/10000))*B68/360</f>
        <v/>
      </c>
      <c r="R68" s="21">
        <f>$B$6+J$31*SUMIFS(J$6:J$29,$G$6:$G$29,"&lt;="&amp;A68,$F$6:$F$29,"&lt;&gt;")/100</f>
        <v/>
      </c>
      <c r="S68" s="21">
        <f>$B$6+$B$8*(R68-$B$6)+$C$17/100</f>
        <v/>
      </c>
      <c r="T68" s="21">
        <f>$B$6+$B$8*(R68-$B$6)+$C$18/100</f>
        <v/>
      </c>
      <c r="U68" s="21">
        <f>$B$6+$B$8*(AVERAGE(INDEX(R$46:R$69,MAX(1,22)):INDEX(R$46:R$69,23))-$B$6)+$C$19/100</f>
        <v/>
      </c>
      <c r="V68" s="21">
        <f>$B$6+$B$8*(AVERAGE(INDEX(R$46:R$69,MAX(1,21)):INDEX(R$46:R$69,23))-$B$6)+$C$20/100</f>
        <v/>
      </c>
      <c r="W68" s="29">
        <f>($B$17*S68+$B$18*T68+$B$19*U68+$B$20*V68)/100*B68/360</f>
        <v/>
      </c>
      <c r="X68" s="30">
        <f>IF($B$10="RCV",1,-1)*(($B$11/100)-(R68/100+$B$12/10000))*B68/360</f>
        <v/>
      </c>
      <c r="Y68" s="21">
        <f>$B$6+K$31*SUMIFS(K$6:K$29,$G$6:$G$29,"&lt;="&amp;A68,$F$6:$F$29,"&lt;&gt;")/100</f>
        <v/>
      </c>
      <c r="Z68" s="21">
        <f>$B$6+$B$8*(Y68-$B$6)+$C$17/100</f>
        <v/>
      </c>
      <c r="AA68" s="21">
        <f>$B$6+$B$8*(Y68-$B$6)+$C$18/100</f>
        <v/>
      </c>
      <c r="AB68" s="21">
        <f>$B$6+$B$8*(AVERAGE(INDEX(Y$46:Y$69,MAX(1,22)):INDEX(Y$46:Y$69,23))-$B$6)+$C$19/100</f>
        <v/>
      </c>
      <c r="AC68" s="21">
        <f>$B$6+$B$8*(AVERAGE(INDEX(Y$46:Y$69,MAX(1,21)):INDEX(Y$46:Y$69,23))-$B$6)+$C$20/100</f>
        <v/>
      </c>
      <c r="AD68" s="29">
        <f>($B$17*Z68+$B$18*AA68+$B$19*AB68+$B$20*AC68)/100*B68/360</f>
        <v/>
      </c>
      <c r="AE68" s="30">
        <f>IF($B$10="RCV",1,-1)*(($B$11/100)-(Y68/100+$B$12/10000))*B68/360</f>
        <v/>
      </c>
      <c r="AF68" s="21">
        <f>$B$6+L$31*SUMIFS(L$6:L$29,$G$6:$G$29,"&lt;="&amp;A68,$F$6:$F$29,"&lt;&gt;")/100</f>
        <v/>
      </c>
      <c r="AG68" s="21">
        <f>$B$6+$B$8*(AF68-$B$6)+$C$17/100</f>
        <v/>
      </c>
      <c r="AH68" s="21">
        <f>$B$6+$B$8*(AF68-$B$6)+$C$18/100</f>
        <v/>
      </c>
      <c r="AI68" s="21">
        <f>$B$6+$B$8*(AVERAGE(INDEX(AF$46:AF$69,MAX(1,22)):INDEX(AF$46:AF$69,23))-$B$6)+$C$19/100</f>
        <v/>
      </c>
      <c r="AJ68" s="21">
        <f>$B$6+$B$8*(AVERAGE(INDEX(AF$46:AF$69,MAX(1,21)):INDEX(AF$46:AF$69,23))-$B$6)+$C$20/100</f>
        <v/>
      </c>
      <c r="AK68" s="29">
        <f>($B$17*AG68+$B$18*AH68+$B$19*AI68+$B$20*AJ68)/100*B68/360</f>
        <v/>
      </c>
      <c r="AL68" s="30">
        <f>IF($B$10="RCV",1,-1)*(($B$11/100)-(AF68/100+$B$12/10000))*B68/360</f>
        <v/>
      </c>
      <c r="AM68" s="21">
        <f>$B$6+M$31*SUMIFS(M$6:M$29,$G$6:$G$29,"&lt;="&amp;A68,$F$6:$F$29,"&lt;&gt;")/100</f>
        <v/>
      </c>
      <c r="AN68" s="21">
        <f>$B$6+$B$8*(AM68-$B$6)+$C$17/100</f>
        <v/>
      </c>
      <c r="AO68" s="21">
        <f>$B$6+$B$8*(AM68-$B$6)+$C$18/100</f>
        <v/>
      </c>
      <c r="AP68" s="21">
        <f>$B$6+$B$8*(AVERAGE(INDEX(AM$46:AM$69,MAX(1,22)):INDEX(AM$46:AM$69,23))-$B$6)+$C$19/100</f>
        <v/>
      </c>
      <c r="AQ68" s="21">
        <f>$B$6+$B$8*(AVERAGE(INDEX(AM$46:AM$69,MAX(1,21)):INDEX(AM$46:AM$69,23))-$B$6)+$C$20/100</f>
        <v/>
      </c>
      <c r="AR68" s="29">
        <f>($B$17*AN68+$B$18*AO68+$B$19*AP68+$B$20*AQ68)/100*B68/360</f>
        <v/>
      </c>
      <c r="AS68" s="30">
        <f>IF($B$10="RCV",1,-1)*(($B$11/100)-(AM68/100+$B$12/10000))*B68/360</f>
        <v/>
      </c>
    </row>
    <row r="69">
      <c r="A69" s="13">
        <f>EDATE($B$5,23)</f>
        <v/>
      </c>
      <c r="B69" s="28">
        <f>EDATE(A69,1)-A69</f>
        <v/>
      </c>
      <c r="C69" s="21">
        <f>SUMPRODUCT(($B$25:$B$32&gt;0)*($D$25:$D$32&gt;A69)*$B$25:$B$32*$C$25:$C$32)/100/12</f>
        <v/>
      </c>
      <c r="D69" s="21">
        <f>$B$6+H$31*SUMIFS(H$6:H$29,$G$6:$G$29,"&lt;="&amp;A69,$F$6:$F$29,"&lt;&gt;")/100</f>
        <v/>
      </c>
      <c r="E69" s="21">
        <f>$B$6+$B$8*(D69-$B$6)+$C$17/100</f>
        <v/>
      </c>
      <c r="F69" s="21">
        <f>$B$6+$B$8*(D69-$B$6)+$C$18/100</f>
        <v/>
      </c>
      <c r="G69" s="21">
        <f>$B$6+$B$8*(AVERAGE(INDEX(D$46:D$69,MAX(1,23)):INDEX(D$46:D$69,24))-$B$6)+$C$19/100</f>
        <v/>
      </c>
      <c r="H69" s="21">
        <f>$B$6+$B$8*(AVERAGE(INDEX(D$46:D$69,MAX(1,22)):INDEX(D$46:D$69,24))-$B$6)+$C$20/100</f>
        <v/>
      </c>
      <c r="I69" s="29">
        <f>($B$17*E69+$B$18*F69+$B$19*G69+$B$20*H69)/100*B69/360</f>
        <v/>
      </c>
      <c r="J69" s="30">
        <f>IF($B$10="RCV",1,-1)*(($B$11/100)-(D69/100+$B$12/10000))*B69/360</f>
        <v/>
      </c>
      <c r="K69" s="21">
        <f>$B$6+I$31*SUMIFS(I$6:I$29,$G$6:$G$29,"&lt;="&amp;A69,$F$6:$F$29,"&lt;&gt;")/100</f>
        <v/>
      </c>
      <c r="L69" s="21">
        <f>$B$6+$B$8*(K69-$B$6)+$C$17/100</f>
        <v/>
      </c>
      <c r="M69" s="21">
        <f>$B$6+$B$8*(K69-$B$6)+$C$18/100</f>
        <v/>
      </c>
      <c r="N69" s="21">
        <f>$B$6+$B$8*(AVERAGE(INDEX(K$46:K$69,MAX(1,23)):INDEX(K$46:K$69,24))-$B$6)+$C$19/100</f>
        <v/>
      </c>
      <c r="O69" s="21">
        <f>$B$6+$B$8*(AVERAGE(INDEX(K$46:K$69,MAX(1,22)):INDEX(K$46:K$69,24))-$B$6)+$C$20/100</f>
        <v/>
      </c>
      <c r="P69" s="29">
        <f>($B$17*L69+$B$18*M69+$B$19*N69+$B$20*O69)/100*B69/360</f>
        <v/>
      </c>
      <c r="Q69" s="30">
        <f>IF($B$10="RCV",1,-1)*(($B$11/100)-(K69/100+$B$12/10000))*B69/360</f>
        <v/>
      </c>
      <c r="R69" s="21">
        <f>$B$6+J$31*SUMIFS(J$6:J$29,$G$6:$G$29,"&lt;="&amp;A69,$F$6:$F$29,"&lt;&gt;")/100</f>
        <v/>
      </c>
      <c r="S69" s="21">
        <f>$B$6+$B$8*(R69-$B$6)+$C$17/100</f>
        <v/>
      </c>
      <c r="T69" s="21">
        <f>$B$6+$B$8*(R69-$B$6)+$C$18/100</f>
        <v/>
      </c>
      <c r="U69" s="21">
        <f>$B$6+$B$8*(AVERAGE(INDEX(R$46:R$69,MAX(1,23)):INDEX(R$46:R$69,24))-$B$6)+$C$19/100</f>
        <v/>
      </c>
      <c r="V69" s="21">
        <f>$B$6+$B$8*(AVERAGE(INDEX(R$46:R$69,MAX(1,22)):INDEX(R$46:R$69,24))-$B$6)+$C$20/100</f>
        <v/>
      </c>
      <c r="W69" s="29">
        <f>($B$17*S69+$B$18*T69+$B$19*U69+$B$20*V69)/100*B69/360</f>
        <v/>
      </c>
      <c r="X69" s="30">
        <f>IF($B$10="RCV",1,-1)*(($B$11/100)-(R69/100+$B$12/10000))*B69/360</f>
        <v/>
      </c>
      <c r="Y69" s="21">
        <f>$B$6+K$31*SUMIFS(K$6:K$29,$G$6:$G$29,"&lt;="&amp;A69,$F$6:$F$29,"&lt;&gt;")/100</f>
        <v/>
      </c>
      <c r="Z69" s="21">
        <f>$B$6+$B$8*(Y69-$B$6)+$C$17/100</f>
        <v/>
      </c>
      <c r="AA69" s="21">
        <f>$B$6+$B$8*(Y69-$B$6)+$C$18/100</f>
        <v/>
      </c>
      <c r="AB69" s="21">
        <f>$B$6+$B$8*(AVERAGE(INDEX(Y$46:Y$69,MAX(1,23)):INDEX(Y$46:Y$69,24))-$B$6)+$C$19/100</f>
        <v/>
      </c>
      <c r="AC69" s="21">
        <f>$B$6+$B$8*(AVERAGE(INDEX(Y$46:Y$69,MAX(1,22)):INDEX(Y$46:Y$69,24))-$B$6)+$C$20/100</f>
        <v/>
      </c>
      <c r="AD69" s="29">
        <f>($B$17*Z69+$B$18*AA69+$B$19*AB69+$B$20*AC69)/100*B69/360</f>
        <v/>
      </c>
      <c r="AE69" s="30">
        <f>IF($B$10="RCV",1,-1)*(($B$11/100)-(Y69/100+$B$12/10000))*B69/360</f>
        <v/>
      </c>
      <c r="AF69" s="21">
        <f>$B$6+L$31*SUMIFS(L$6:L$29,$G$6:$G$29,"&lt;="&amp;A69,$F$6:$F$29,"&lt;&gt;")/100</f>
        <v/>
      </c>
      <c r="AG69" s="21">
        <f>$B$6+$B$8*(AF69-$B$6)+$C$17/100</f>
        <v/>
      </c>
      <c r="AH69" s="21">
        <f>$B$6+$B$8*(AF69-$B$6)+$C$18/100</f>
        <v/>
      </c>
      <c r="AI69" s="21">
        <f>$B$6+$B$8*(AVERAGE(INDEX(AF$46:AF$69,MAX(1,23)):INDEX(AF$46:AF$69,24))-$B$6)+$C$19/100</f>
        <v/>
      </c>
      <c r="AJ69" s="21">
        <f>$B$6+$B$8*(AVERAGE(INDEX(AF$46:AF$69,MAX(1,22)):INDEX(AF$46:AF$69,24))-$B$6)+$C$20/100</f>
        <v/>
      </c>
      <c r="AK69" s="29">
        <f>($B$17*AG69+$B$18*AH69+$B$19*AI69+$B$20*AJ69)/100*B69/360</f>
        <v/>
      </c>
      <c r="AL69" s="30">
        <f>IF($B$10="RCV",1,-1)*(($B$11/100)-(AF69/100+$B$12/10000))*B69/360</f>
        <v/>
      </c>
      <c r="AM69" s="21">
        <f>$B$6+M$31*SUMIFS(M$6:M$29,$G$6:$G$29,"&lt;="&amp;A69,$F$6:$F$29,"&lt;&gt;")/100</f>
        <v/>
      </c>
      <c r="AN69" s="21">
        <f>$B$6+$B$8*(AM69-$B$6)+$C$17/100</f>
        <v/>
      </c>
      <c r="AO69" s="21">
        <f>$B$6+$B$8*(AM69-$B$6)+$C$18/100</f>
        <v/>
      </c>
      <c r="AP69" s="21">
        <f>$B$6+$B$8*(AVERAGE(INDEX(AM$46:AM$69,MAX(1,23)):INDEX(AM$46:AM$69,24))-$B$6)+$C$19/100</f>
        <v/>
      </c>
      <c r="AQ69" s="21">
        <f>$B$6+$B$8*(AVERAGE(INDEX(AM$46:AM$69,MAX(1,22)):INDEX(AM$46:AM$69,24))-$B$6)+$C$20/100</f>
        <v/>
      </c>
      <c r="AR69" s="29">
        <f>($B$17*AN69+$B$18*AO69+$B$19*AP69+$B$20*AQ69)/100*B69/360</f>
        <v/>
      </c>
      <c r="AS69" s="30">
        <f>IF($B$10="RCV",1,-1)*(($B$11/100)-(AM69/100+$B$12/10000))*B69/360</f>
        <v/>
      </c>
    </row>
    <row r="70">
      <c r="A70" s="3" t="inlineStr">
        <is>
          <t>UNIT TOTALS</t>
        </is>
      </c>
    </row>
    <row r="71">
      <c r="C71" s="20">
        <f>SUM(C46:C69)</f>
        <v/>
      </c>
      <c r="E71" s="31">
        <f>SUMPRODUCT(E46:E69/100*$B$46:$B$69)/360</f>
        <v/>
      </c>
      <c r="F71" s="31">
        <f>SUMPRODUCT(F46:F69/100*$B$46:$B$69)/360</f>
        <v/>
      </c>
      <c r="G71" s="31">
        <f>SUMPRODUCT(G46:G69/100*$B$46:$B$69)/360</f>
        <v/>
      </c>
      <c r="H71" s="31">
        <f>SUMPRODUCT(H46:H69/100*$B$46:$B$69)/360</f>
        <v/>
      </c>
      <c r="J71" s="31">
        <f>SUM(J46:J69)</f>
        <v/>
      </c>
      <c r="L71" s="31">
        <f>SUMPRODUCT(L46:L69/100*$B$46:$B$69)/360</f>
        <v/>
      </c>
      <c r="M71" s="31">
        <f>SUMPRODUCT(M46:M69/100*$B$46:$B$69)/360</f>
        <v/>
      </c>
      <c r="N71" s="31">
        <f>SUMPRODUCT(N46:N69/100*$B$46:$B$69)/360</f>
        <v/>
      </c>
      <c r="O71" s="31">
        <f>SUMPRODUCT(O46:O69/100*$B$46:$B$69)/360</f>
        <v/>
      </c>
      <c r="Q71" s="31">
        <f>SUM(Q46:Q69)</f>
        <v/>
      </c>
      <c r="S71" s="31">
        <f>SUMPRODUCT(S46:S69/100*$B$46:$B$69)/360</f>
        <v/>
      </c>
      <c r="T71" s="31">
        <f>SUMPRODUCT(T46:T69/100*$B$46:$B$69)/360</f>
        <v/>
      </c>
      <c r="U71" s="31">
        <f>SUMPRODUCT(U46:U69/100*$B$46:$B$69)/360</f>
        <v/>
      </c>
      <c r="V71" s="31">
        <f>SUMPRODUCT(V46:V69/100*$B$46:$B$69)/360</f>
        <v/>
      </c>
      <c r="X71" s="31">
        <f>SUM(X46:X69)</f>
        <v/>
      </c>
      <c r="Z71" s="31">
        <f>SUMPRODUCT(Z46:Z69/100*$B$46:$B$69)/360</f>
        <v/>
      </c>
      <c r="AA71" s="31">
        <f>SUMPRODUCT(AA46:AA69/100*$B$46:$B$69)/360</f>
        <v/>
      </c>
      <c r="AB71" s="31">
        <f>SUMPRODUCT(AB46:AB69/100*$B$46:$B$69)/360</f>
        <v/>
      </c>
      <c r="AC71" s="31">
        <f>SUMPRODUCT(AC46:AC69/100*$B$46:$B$69)/360</f>
        <v/>
      </c>
      <c r="AE71" s="31">
        <f>SUM(AE46:AE69)</f>
        <v/>
      </c>
      <c r="AG71" s="31">
        <f>SUMPRODUCT(AG46:AG69/100*$B$46:$B$69)/360</f>
        <v/>
      </c>
      <c r="AH71" s="31">
        <f>SUMPRODUCT(AH46:AH69/100*$B$46:$B$69)/360</f>
        <v/>
      </c>
      <c r="AI71" s="31">
        <f>SUMPRODUCT(AI46:AI69/100*$B$46:$B$69)/360</f>
        <v/>
      </c>
      <c r="AJ71" s="31">
        <f>SUMPRODUCT(AJ46:AJ69/100*$B$46:$B$69)/360</f>
        <v/>
      </c>
      <c r="AL71" s="31">
        <f>SUM(AL46:AL69)</f>
        <v/>
      </c>
      <c r="AN71" s="31">
        <f>SUMPRODUCT(AN46:AN69/100*$B$46:$B$69)/360</f>
        <v/>
      </c>
      <c r="AO71" s="31">
        <f>SUMPRODUCT(AO46:AO69/100*$B$46:$B$69)/360</f>
        <v/>
      </c>
      <c r="AP71" s="31">
        <f>SUMPRODUCT(AP46:AP69/100*$B$46:$B$69)/360</f>
        <v/>
      </c>
      <c r="AQ71" s="31">
        <f>SUMPRODUCT(AQ46:AQ69/100*$B$46:$B$69)/360</f>
        <v/>
      </c>
      <c r="AS71" s="31">
        <f>SUM(AS46:AS69)</f>
        <v/>
      </c>
    </row>
    <row r="72">
      <c r="D72" s="31">
        <f>SUMPRODUCT(D46:D69/100*$B$46:$B$69)/360+$B$12/10000*SUM($B$46:$B$69)/360</f>
        <v/>
      </c>
      <c r="K72" s="31">
        <f>SUMPRODUCT(K46:K69/100*$B$46:$B$69)/360+$B$12/10000*SUM($B$46:$B$69)/360</f>
        <v/>
      </c>
      <c r="R72" s="31">
        <f>SUMPRODUCT(R46:R69/100*$B$46:$B$69)/360+$B$12/10000*SUM($B$46:$B$69)/360</f>
        <v/>
      </c>
      <c r="Y72" s="31">
        <f>SUMPRODUCT(Y46:Y69/100*$B$46:$B$69)/360+$B$12/10000*SUM($B$46:$B$69)/360</f>
        <v/>
      </c>
      <c r="AF72" s="31">
        <f>SUMPRODUCT(AF46:AF69/100*$B$46:$B$69)/360+$B$12/10000*SUM($B$46:$B$69)/360</f>
        <v/>
      </c>
      <c r="AM72" s="31">
        <f>SUMPRODUCT(AM46:AM69/100*$B$46:$B$69)/360+$B$12/10000*SUM($B$46:$B$69)/360</f>
        <v/>
      </c>
    </row>
  </sheetData>
  <dataValidations count="2">
    <dataValidation sqref="B10" showDropDown="0" showInputMessage="0" showErrorMessage="0" allowBlank="0" type="list">
      <formula1>"RCV,PAY"</formula1>
    </dataValidation>
    <dataValidation sqref="AB4" showDropDown="0" showInputMessage="0" showErrorMessage="0" allowBlank="0" type="list">
      <formula1>=$Q$5:$V$5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2026-06-12T13:48:11Z</dcterms:created>
  <dcterms:modified xmlns:dcterms="http://purl.org/dc/terms/" xmlns:xsi="http://www.w3.org/2001/XMLSchema-instance" xsi:type="dcterms:W3CDTF">2026-06-12T13:48:11Z</dcterms:modified>
</cp:coreProperties>
</file>