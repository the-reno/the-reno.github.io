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YYYY-MM-DD"/>
    <numFmt numFmtId="166" formatCode="#,##0.00;(#,##0.00)"/>
    <numFmt numFmtId="167" formatCode="#,##0.0;(#,##0.0)"/>
    <numFmt numFmtId="168" formatCode="0;-0;&quot;-&quot;"/>
    <numFmt numFmtId="169" formatCode="0.0%"/>
    <numFmt numFmtId="170" formatCode="MMM-YY"/>
    <numFmt numFmtId="171" formatCode="0.0000"/>
    <numFmt numFmtId="172" formatCode="0.000000"/>
    <numFmt numFmtId="173" formatCode="0.00000"/>
    <numFmt numFmtId="174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9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b val="1"/>
      <color rgb="001F3864"/>
    </font>
    <font>
      <name val="Arial"/>
      <b val="1"/>
      <color rgb="0000610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0" fontId="3" fillId="0" borderId="0" applyAlignment="1" pivotButton="0" quotePrefix="0" xfId="0">
      <alignment horizontal="center"/>
    </xf>
    <xf numFmtId="166" fontId="5" fillId="0" borderId="0" pivotButton="0" quotePrefix="0" xfId="0"/>
    <xf numFmtId="165" fontId="4" fillId="0" borderId="0" pivotButton="0" quotePrefix="0" xfId="0"/>
    <xf numFmtId="168" fontId="5" fillId="0" borderId="0" applyAlignment="1" pivotButton="0" quotePrefix="0" xfId="0">
      <alignment horizontal="center"/>
    </xf>
    <xf numFmtId="167" fontId="7" fillId="0" borderId="0" pivotButton="0" quotePrefix="0" xfId="0"/>
    <xf numFmtId="1" fontId="4" fillId="4" borderId="0" pivotButton="0" quotePrefix="0" xfId="0"/>
    <xf numFmtId="167" fontId="4" fillId="4" borderId="0" pivotButton="0" quotePrefix="0" xfId="0"/>
    <xf numFmtId="166" fontId="4" fillId="4" borderId="0" pivotButton="0" quotePrefix="0" xfId="0"/>
    <xf numFmtId="170" fontId="4" fillId="4" borderId="0" pivotButton="0" quotePrefix="0" xfId="0"/>
    <xf numFmtId="174" fontId="4" fillId="4" borderId="0" pivotButton="0" quotePrefix="0" xfId="0"/>
    <xf numFmtId="174" fontId="7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" fontId="7" fillId="0" borderId="0" pivotButton="0" quotePrefix="0" xfId="0"/>
    <xf numFmtId="0" fontId="3" fillId="2" borderId="0" pivotButton="0" quotePrefix="0" xfId="0"/>
    <xf numFmtId="169" fontId="5" fillId="0" borderId="0" applyAlignment="1" pivotButton="0" quotePrefix="0" xfId="0">
      <alignment horizontal="center"/>
    </xf>
    <xf numFmtId="0" fontId="8" fillId="2" borderId="0" pivotButton="0" quotePrefix="0" xfId="0"/>
    <xf numFmtId="0" fontId="6" fillId="3" borderId="0" pivotButton="0" quotePrefix="0" xfId="0"/>
    <xf numFmtId="0" fontId="4" fillId="4" borderId="0" pivotButton="0" quotePrefix="0" xfId="0"/>
    <xf numFmtId="171" fontId="4" fillId="4" borderId="0" pivotButton="0" quotePrefix="0" xfId="0"/>
    <xf numFmtId="172" fontId="4" fillId="4" borderId="0" pivotButton="0" quotePrefix="0" xfId="0"/>
    <xf numFmtId="173" fontId="4" fillId="4" borderId="0" pivotButton="0" quotePrefix="0" xfId="0"/>
    <xf numFmtId="9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SOFR step paths (%)</a:t>
            </a:r>
          </a:p>
        </rich>
      </tx>
    </title>
    <plotArea>
      <lineChart>
        <grouping val="standard"/>
        <ser>
          <idx val="0"/>
          <order val="0"/>
          <tx>
            <strRef>
              <f>'MODEL'!D45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'MODEL'!$D$46:$D$69</f>
            </numRef>
          </val>
          <smooth val="0"/>
        </ser>
        <ser>
          <idx val="1"/>
          <order val="1"/>
          <tx>
            <strRef>
              <f>'MODEL'!K45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'MODEL'!$K$46:$K$69</f>
            </numRef>
          </val>
          <smooth val="0"/>
        </ser>
        <ser>
          <idx val="2"/>
          <order val="2"/>
          <tx>
            <strRef>
              <f>'MODEL'!R45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'MODEL'!$R$46:$R$69</f>
            </numRef>
          </val>
          <smooth val="0"/>
        </ser>
        <ser>
          <idx val="3"/>
          <order val="3"/>
          <tx>
            <strRef>
              <f>'MODEL'!Y45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'MODEL'!$Y$46:$Y$69</f>
            </numRef>
          </val>
          <smooth val="0"/>
        </ser>
        <ser>
          <idx val="4"/>
          <order val="4"/>
          <tx>
            <strRef>
              <f>'MODEL'!AF45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'MODEL'!$AF$46:$AF$69</f>
            </numRef>
          </val>
          <smooth val="0"/>
        </ser>
        <ser>
          <idx val="5"/>
          <order val="5"/>
          <tx>
            <strRef>
              <f>'MODEL'!AM45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'MODEL'!$AM$46:$AM$69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NII by scenario × IRS notional</a:t>
            </a:r>
          </a:p>
        </rich>
      </tx>
    </title>
    <plotArea>
      <lineChart>
        <grouping val="standard"/>
        <ser>
          <idx val="0"/>
          <order val="0"/>
          <tx>
            <strRef>
              <f>'MODEL'!P25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'MODEL'!$Q$24:$V$24</f>
            </numRef>
          </cat>
          <val>
            <numRef>
              <f>'MODEL'!$Q$25:$V$25</f>
            </numRef>
          </val>
          <smooth val="0"/>
        </ser>
        <ser>
          <idx val="1"/>
          <order val="1"/>
          <tx>
            <strRef>
              <f>'MODEL'!P26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'MODEL'!$Q$24:$V$24</f>
            </numRef>
          </cat>
          <val>
            <numRef>
              <f>'MODEL'!$Q$26:$V$26</f>
            </numRef>
          </val>
          <smooth val="0"/>
        </ser>
        <ser>
          <idx val="2"/>
          <order val="2"/>
          <tx>
            <strRef>
              <f>'MODEL'!P27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'MODEL'!$Q$24:$V$24</f>
            </numRef>
          </cat>
          <val>
            <numRef>
              <f>'MODEL'!$Q$27:$V$27</f>
            </numRef>
          </val>
          <smooth val="0"/>
        </ser>
        <ser>
          <idx val="3"/>
          <order val="3"/>
          <tx>
            <strRef>
              <f>'MODEL'!P28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'MODEL'!$Q$24:$V$24</f>
            </numRef>
          </cat>
          <val>
            <numRef>
              <f>'MODEL'!$Q$28:$V$28</f>
            </numRef>
          </val>
          <smooth val="0"/>
        </ser>
        <ser>
          <idx val="4"/>
          <order val="4"/>
          <tx>
            <strRef>
              <f>'MODEL'!P29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'MODEL'!$Q$24:$V$24</f>
            </numRef>
          </cat>
          <val>
            <numRef>
              <f>'MODEL'!$Q$29:$V$29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Convergence cone — NII vs hedge ratio</a:t>
            </a:r>
          </a:p>
        </rich>
      </tx>
    </title>
    <plotArea>
      <lineChart>
        <grouping val="standard"/>
        <ser>
          <idx val="0"/>
          <order val="0"/>
          <tx>
            <strRef>
              <f>'MODEL'!Y5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'MODEL'!$X$6:$X$26</f>
            </numRef>
          </cat>
          <val>
            <numRef>
              <f>'MODEL'!$Y$6:$Y$26</f>
            </numRef>
          </val>
          <smooth val="0"/>
        </ser>
        <ser>
          <idx val="1"/>
          <order val="1"/>
          <tx>
            <strRef>
              <f>'MODEL'!Z5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'MODEL'!$X$6:$X$26</f>
            </numRef>
          </cat>
          <val>
            <numRef>
              <f>'MODEL'!$Z$6:$Z$26</f>
            </numRef>
          </val>
          <smooth val="0"/>
        </ser>
        <ser>
          <idx val="2"/>
          <order val="2"/>
          <tx>
            <strRef>
              <f>'MODEL'!AA5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'MODEL'!$X$6:$X$26</f>
            </numRef>
          </cat>
          <val>
            <numRef>
              <f>'MODEL'!$AA$6:$AA$26</f>
            </numRef>
          </val>
          <smooth val="0"/>
        </ser>
        <ser>
          <idx val="3"/>
          <order val="3"/>
          <tx>
            <strRef>
              <f>'MODEL'!AB5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'MODEL'!$X$6:$X$26</f>
            </numRef>
          </cat>
          <val>
            <numRef>
              <f>'MODEL'!$AB$6:$AB$26</f>
            </numRef>
          </val>
          <smooth val="0"/>
        </ser>
        <ser>
          <idx val="4"/>
          <order val="4"/>
          <tx>
            <strRef>
              <f>'MODEL'!AC5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'MODEL'!$X$6:$X$26</f>
            </numRef>
          </cat>
          <val>
            <numRef>
              <f>'MODEL'!$AC$6:$AC$26</f>
            </numRef>
          </val>
          <smooth val="0"/>
        </ser>
        <ser>
          <idx val="5"/>
          <order val="5"/>
          <tx>
            <strRef>
              <f>'MODEL'!AD5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'MODEL'!$X$6:$X$26</f>
            </numRef>
          </cat>
          <val>
            <numRef>
              <f>'MODEL'!$AD$6:$AD$26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Efficient frontier — expected NII vs volatility</a:t>
            </a:r>
          </a:p>
        </rich>
      </tx>
    </title>
    <plotArea>
      <scatterChart>
        <ser>
          <idx val="0"/>
          <order val="0"/>
          <tx>
            <v>All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'MODEL'!$T$76:$T$1505</f>
            </numRef>
          </xVal>
          <yVal>
            <numRef>
              <f>'MODEL'!$U$76:$U$1505</f>
            </numRef>
          </yVal>
        </ser>
        <ser>
          <idx val="1"/>
          <order val="1"/>
          <tx>
            <v>Efficient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'MODEL'!$V$76:$V$1505</f>
            </numRef>
          </xVal>
          <yVal>
            <numRef>
              <f>'MODEL'!$W$76:$W$1505</f>
            </numRef>
          </yVal>
        </ser>
        <ser>
          <idx val="2"/>
          <order val="2"/>
          <tx>
            <v>Zones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'MODEL'!$AS$19:$AS$21</f>
            </numRef>
          </xVal>
          <yVal>
            <numRef>
              <f>'MODEL'!$AT$19:$AT$21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NII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Cashflow composition (selected scenario)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'MODEL'!AH5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'MODEL'!$AG$6:$AG$29</f>
            </numRef>
          </cat>
          <val>
            <numRef>
              <f>'MODEL'!$AH$6:$AH$29</f>
            </numRef>
          </val>
        </ser>
        <ser>
          <idx val="1"/>
          <order val="1"/>
          <tx>
            <strRef>
              <f>'MODEL'!AI5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'MODEL'!$AG$6:$AG$29</f>
            </numRef>
          </cat>
          <val>
            <numRef>
              <f>'MODEL'!$AI$6:$AI$29</f>
            </numRef>
          </val>
        </ser>
        <ser>
          <idx val="2"/>
          <order val="2"/>
          <tx>
            <strRef>
              <f>'MODEL'!AJ5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'MODEL'!$AG$6:$AG$29</f>
            </numRef>
          </cat>
          <val>
            <numRef>
              <f>'MODEL'!$AJ$6:$AJ$29</f>
            </numRef>
          </val>
        </ser>
        <ser>
          <idx val="3"/>
          <order val="3"/>
          <tx>
            <strRef>
              <f>'MODEL'!AK5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'MODEL'!$AG$6:$AG$29</f>
            </numRef>
          </cat>
          <val>
            <numRef>
              <f>'MODEL'!$AK$6:$AK$29</f>
            </numRef>
          </val>
        </ser>
        <ser>
          <idx val="4"/>
          <order val="4"/>
          <tx>
            <strRef>
              <f>'MODEL'!AL5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'MODEL'!$AG$6:$AG$29</f>
            </numRef>
          </cat>
          <val>
            <numRef>
              <f>'MODEL'!$AL$6:$AL$29</f>
            </numRef>
          </val>
        </ser>
        <ser>
          <idx val="5"/>
          <order val="5"/>
          <tx>
            <strRef>
              <f>'MODEL'!AM5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'MODEL'!$AG$6:$AG$29</f>
            </numRef>
          </cat>
          <val>
            <numRef>
              <f>'MODEL'!$AM$6:$AM$29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NII by month (selected scenario)</a:t>
            </a:r>
          </a:p>
        </rich>
      </tx>
    </title>
    <plotArea>
      <lineChart>
        <grouping val="standard"/>
        <ser>
          <idx val="0"/>
          <order val="0"/>
          <tx>
            <strRef>
              <f>'MODEL'!AN5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'MODEL'!$AG$6:$AG$29</f>
            </numRef>
          </cat>
          <val>
            <numRef>
              <f>'MODEL'!$AN$6:$AN$29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15</col>
      <colOff>0</colOff>
      <row>30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46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23</col>
      <colOff>0</colOff>
      <row>30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23</col>
      <colOff>0</colOff>
      <row>46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32</col>
      <colOff>0</colOff>
      <row>30</row>
      <rowOff>0</rowOff>
    </from>
    <ext cx="648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49</row>
      <rowOff>0</rowOff>
    </from>
    <ext cx="6480000" cy="21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9" customWidth="1" min="3" max="3"/>
    <col width="12" customWidth="1" min="4" max="4"/>
    <col width="22" customWidth="1" min="5" max="5"/>
    <col width="12" customWidth="1" min="6" max="6"/>
    <col width="12" customWidth="1" min="7" max="7"/>
    <col width="24" customWidth="1" min="16" max="16"/>
  </cols>
  <sheetData>
    <row r="1">
      <c r="A1" s="1" t="inlineStr">
        <is>
          <t>NII EFFICIENT FRONTIER — FULL STANDALONE MODEL v2.1</t>
        </is>
      </c>
    </row>
    <row r="2">
      <c r="A2" s="2" t="inlineStr">
        <is>
          <t>Single tab, live formulas, no macros. Blue = inputs. Mirrors ronu.one/projects/nii-frontier. Monthly approximation (term buckets at trailing k-month avg SOFR; swap floating = monthly SOFR; ACT/360; bonds 30/360). Frontier rows 76+: full 10%-step allocation grid with live feasibility (min ON / cash changes rework the frontier). Allocation step changes require regenerating with the build script. Illustrative only.</t>
        </is>
      </c>
    </row>
    <row r="4">
      <c r="A4" s="3" t="inlineStr">
        <is>
          <t>INPUTS</t>
        </is>
      </c>
      <c r="F4" s="3" t="inlineStr">
        <is>
          <t>FED SCENARIOS — bps per FOMC decision</t>
        </is>
      </c>
      <c r="P4" s="3" t="inlineStr">
        <is>
          <t>RESULTS — 2Y TOTALS ($MM), INPUT STRATEGY</t>
        </is>
      </c>
      <c r="X4" s="3" t="inlineStr">
        <is>
          <t>CONVERGENCE CONE — NII vs hedge ratio</t>
        </is>
      </c>
      <c r="AG4" s="3" t="inlineStr">
        <is>
          <t>CASHFLOW COMPOSITION — scenario:</t>
        </is>
      </c>
      <c r="AK4" s="4" t="inlineStr">
        <is>
          <t>Faster cuts</t>
        </is>
      </c>
    </row>
    <row r="5">
      <c r="A5" s="5" t="inlineStr">
        <is>
          <t>Start month (1st)</t>
        </is>
      </c>
      <c r="B5" s="6" t="n">
        <v>46204</v>
      </c>
      <c r="F5" s="3" t="inlineStr">
        <is>
          <t>Decision</t>
        </is>
      </c>
      <c r="G5" s="3" t="inlineStr">
        <is>
          <t>Effective</t>
        </is>
      </c>
      <c r="H5" s="7" t="inlineStr">
        <is>
          <t>Flat</t>
        </is>
      </c>
      <c r="I5" s="7" t="inlineStr">
        <is>
          <t>Gradual cuts</t>
        </is>
      </c>
      <c r="J5" s="7" t="inlineStr">
        <is>
          <t>Faster cuts</t>
        </is>
      </c>
      <c r="K5" s="7" t="inlineStr">
        <is>
          <t>Delayed cuts</t>
        </is>
      </c>
      <c r="L5" s="7" t="inlineStr">
        <is>
          <t>Higher for longer</t>
        </is>
      </c>
      <c r="M5" s="7" t="inlineStr">
        <is>
          <t>Hike</t>
        </is>
      </c>
      <c r="Q5" s="7" t="inlineStr">
        <is>
          <t>Flat</t>
        </is>
      </c>
      <c r="R5" s="7" t="inlineStr">
        <is>
          <t>Gradual cuts</t>
        </is>
      </c>
      <c r="S5" s="7" t="inlineStr">
        <is>
          <t>Faster cuts</t>
        </is>
      </c>
      <c r="T5" s="7" t="inlineStr">
        <is>
          <t>Delayed cuts</t>
        </is>
      </c>
      <c r="U5" s="7" t="inlineStr">
        <is>
          <t>Higher for longer</t>
        </is>
      </c>
      <c r="V5" s="7" t="inlineStr">
        <is>
          <t>Hike</t>
        </is>
      </c>
      <c r="X5" s="3" t="inlineStr">
        <is>
          <t>p%</t>
        </is>
      </c>
      <c r="Y5" s="7" t="inlineStr">
        <is>
          <t>Flat</t>
        </is>
      </c>
      <c r="Z5" s="7" t="inlineStr">
        <is>
          <t>Gradual cuts</t>
        </is>
      </c>
      <c r="AA5" s="7" t="inlineStr">
        <is>
          <t>Faster cuts</t>
        </is>
      </c>
      <c r="AB5" s="7" t="inlineStr">
        <is>
          <t>Delayed cuts</t>
        </is>
      </c>
      <c r="AC5" s="7" t="inlineStr">
        <is>
          <t>Higher for longer</t>
        </is>
      </c>
      <c r="AD5" s="7" t="inlineStr">
        <is>
          <t>Hike</t>
        </is>
      </c>
      <c r="AE5" s="3" t="inlineStr">
        <is>
          <t>Dispersion</t>
        </is>
      </c>
      <c r="AG5" s="3" t="inlineStr">
        <is>
          <t>Month</t>
        </is>
      </c>
      <c r="AH5" s="3" t="inlineStr">
        <is>
          <t>ON</t>
        </is>
      </c>
      <c r="AI5" s="3" t="inlineStr">
        <is>
          <t>1M</t>
        </is>
      </c>
      <c r="AJ5" s="3" t="inlineStr">
        <is>
          <t>2M</t>
        </is>
      </c>
      <c r="AK5" s="3" t="inlineStr">
        <is>
          <t>3M</t>
        </is>
      </c>
      <c r="AL5" s="3" t="inlineStr">
        <is>
          <t>SWAP</t>
        </is>
      </c>
      <c r="AM5" s="3" t="inlineStr">
        <is>
          <t>BOND</t>
        </is>
      </c>
      <c r="AN5" s="3" t="inlineStr">
        <is>
          <t>NET</t>
        </is>
      </c>
    </row>
    <row r="6">
      <c r="A6" s="5" t="inlineStr">
        <is>
          <t>Initial SOFR (%)</t>
        </is>
      </c>
      <c r="B6" s="8" t="n">
        <v>3.8</v>
      </c>
      <c r="F6" s="9" t="n">
        <v>46190</v>
      </c>
      <c r="G6" s="9">
        <f>F6+1</f>
        <v/>
      </c>
      <c r="H6" s="10" t="n">
        <v>0</v>
      </c>
      <c r="I6" s="10" t="n">
        <v>-25</v>
      </c>
      <c r="J6" s="10" t="n">
        <v>-25</v>
      </c>
      <c r="K6" s="10" t="n">
        <v>0</v>
      </c>
      <c r="L6" s="10" t="n">
        <v>0</v>
      </c>
      <c r="M6" s="10" t="n">
        <v>25</v>
      </c>
      <c r="P6" s="5" t="inlineStr">
        <is>
          <t>Deposit income</t>
        </is>
      </c>
      <c r="Q6" s="11">
        <f>$B$17*E$71+$B$18*F$71+$B$19*G$71+$B$20*H$71</f>
        <v/>
      </c>
      <c r="R6" s="11">
        <f>$B$17*L$71+$B$18*M$71+$B$19*N$71+$B$20*O$71</f>
        <v/>
      </c>
      <c r="S6" s="11">
        <f>$B$17*S$71+$B$18*T$71+$B$19*U$71+$B$20*V$71</f>
        <v/>
      </c>
      <c r="T6" s="11">
        <f>$B$17*Z$71+$B$18*AA$71+$B$19*AB$71+$B$20*AC$71</f>
        <v/>
      </c>
      <c r="U6" s="11">
        <f>$B$17*AG$71+$B$18*AH$71+$B$19*AI$71+$B$20*AJ$71</f>
        <v/>
      </c>
      <c r="V6" s="11">
        <f>$B$17*AN$71+$B$18*AO$71+$B$19*AP$71+$B$20*AQ$71</f>
        <v/>
      </c>
      <c r="X6" s="12" t="n">
        <v>0</v>
      </c>
      <c r="Y6" s="13">
        <f>Q$6+$X6/100*$B$7*J$71-$C$71</f>
        <v/>
      </c>
      <c r="Z6" s="13">
        <f>R$6+$X6/100*$B$7*Q$71-$C$71</f>
        <v/>
      </c>
      <c r="AA6" s="13">
        <f>S$6+$X6/100*$B$7*X$71-$C$71</f>
        <v/>
      </c>
      <c r="AB6" s="13">
        <f>T$6+$X6/100*$B$7*AE$71-$C$71</f>
        <v/>
      </c>
      <c r="AC6" s="13">
        <f>U$6+$X6/100*$B$7*AL$71-$C$71</f>
        <v/>
      </c>
      <c r="AD6" s="13">
        <f>V$6+$X6/100*$B$7*AS$71-$C$71</f>
        <v/>
      </c>
      <c r="AE6" s="14">
        <f>MAX(Y6:AD6)-MIN(Y6:AD6)</f>
        <v/>
      </c>
      <c r="AG6" s="15">
        <f>A46</f>
        <v/>
      </c>
      <c r="AH6" s="16">
        <f>$B$17*INDEX($A46:$AU46,4+(MATCH($AK$4,$Q$5:$V$5,0)-1)*7+1)/100*$B46/360</f>
        <v/>
      </c>
      <c r="AI6" s="16">
        <f>$B$18*INDEX($A46:$AU46,4+(MATCH($AK$4,$Q$5:$V$5,0)-1)*7+2)/100*$B46/360</f>
        <v/>
      </c>
      <c r="AJ6" s="16">
        <f>$B$19*INDEX($A46:$AU46,4+(MATCH($AK$4,$Q$5:$V$5,0)-1)*7+3)/100*$B46/360</f>
        <v/>
      </c>
      <c r="AK6" s="16">
        <f>$B$20*INDEX($A46:$AU46,4+(MATCH($AK$4,$Q$5:$V$5,0)-1)*7+4)/100*$B46/360</f>
        <v/>
      </c>
      <c r="AL6" s="16">
        <f>$B$13/100*$B$7*INDEX($A46:$AU46,4+(MATCH($AK$4,$Q$5:$V$5,0)-1)*7+6)</f>
        <v/>
      </c>
      <c r="AM6" s="16">
        <f>-$C46</f>
        <v/>
      </c>
      <c r="AN6" s="17">
        <f>SUM(AH6:AM6)</f>
        <v/>
      </c>
    </row>
    <row r="7">
      <c r="A7" s="5" t="inlineStr">
        <is>
          <t>Total cash ($mm)</t>
        </is>
      </c>
      <c r="B7" s="18" t="n">
        <v>500</v>
      </c>
      <c r="F7" s="9" t="n">
        <v>46232</v>
      </c>
      <c r="G7" s="9">
        <f>F7+1</f>
        <v/>
      </c>
      <c r="H7" s="10" t="n">
        <v>0</v>
      </c>
      <c r="I7" s="10" t="n">
        <v>0</v>
      </c>
      <c r="J7" s="10" t="n">
        <v>-25</v>
      </c>
      <c r="K7" s="10" t="n">
        <v>0</v>
      </c>
      <c r="L7" s="10" t="n">
        <v>0</v>
      </c>
      <c r="M7" s="10" t="n">
        <v>25</v>
      </c>
      <c r="P7" s="5" t="inlineStr">
        <is>
          <t>Swap net</t>
        </is>
      </c>
      <c r="Q7" s="11">
        <f>$B$13/100*$B$7*J$71</f>
        <v/>
      </c>
      <c r="R7" s="11">
        <f>$B$13/100*$B$7*Q$71</f>
        <v/>
      </c>
      <c r="S7" s="11">
        <f>$B$13/100*$B$7*X$71</f>
        <v/>
      </c>
      <c r="T7" s="11">
        <f>$B$13/100*$B$7*AE$71</f>
        <v/>
      </c>
      <c r="U7" s="11">
        <f>$B$13/100*$B$7*AL$71</f>
        <v/>
      </c>
      <c r="V7" s="11">
        <f>$B$13/100*$B$7*AS$71</f>
        <v/>
      </c>
      <c r="X7" s="12" t="n">
        <v>5</v>
      </c>
      <c r="Y7" s="13">
        <f>Q$6+$X7/100*$B$7*J$71-$C$71</f>
        <v/>
      </c>
      <c r="Z7" s="13">
        <f>R$6+$X7/100*$B$7*Q$71-$C$71</f>
        <v/>
      </c>
      <c r="AA7" s="13">
        <f>S$6+$X7/100*$B$7*X$71-$C$71</f>
        <v/>
      </c>
      <c r="AB7" s="13">
        <f>T$6+$X7/100*$B$7*AE$71-$C$71</f>
        <v/>
      </c>
      <c r="AC7" s="13">
        <f>U$6+$X7/100*$B$7*AL$71-$C$71</f>
        <v/>
      </c>
      <c r="AD7" s="13">
        <f>V$6+$X7/100*$B$7*AS$71-$C$71</f>
        <v/>
      </c>
      <c r="AE7" s="14">
        <f>MAX(Y7:AD7)-MIN(Y7:AD7)</f>
        <v/>
      </c>
      <c r="AG7" s="15">
        <f>A47</f>
        <v/>
      </c>
      <c r="AH7" s="16">
        <f>$B$17*INDEX($A47:$AU47,4+(MATCH($AK$4,$Q$5:$V$5,0)-1)*7+1)/100*$B47/360</f>
        <v/>
      </c>
      <c r="AI7" s="16">
        <f>$B$18*INDEX($A47:$AU47,4+(MATCH($AK$4,$Q$5:$V$5,0)-1)*7+2)/100*$B47/360</f>
        <v/>
      </c>
      <c r="AJ7" s="16">
        <f>$B$19*INDEX($A47:$AU47,4+(MATCH($AK$4,$Q$5:$V$5,0)-1)*7+3)/100*$B47/360</f>
        <v/>
      </c>
      <c r="AK7" s="16">
        <f>$B$20*INDEX($A47:$AU47,4+(MATCH($AK$4,$Q$5:$V$5,0)-1)*7+4)/100*$B47/360</f>
        <v/>
      </c>
      <c r="AL7" s="16">
        <f>$B$13/100*$B$7*INDEX($A47:$AU47,4+(MATCH($AK$4,$Q$5:$V$5,0)-1)*7+6)</f>
        <v/>
      </c>
      <c r="AM7" s="16">
        <f>-$C47</f>
        <v/>
      </c>
      <c r="AN7" s="17">
        <f>SUM(AH7:AM7)</f>
        <v/>
      </c>
    </row>
    <row r="8">
      <c r="A8" s="5" t="inlineStr">
        <is>
          <t>Deposit beta</t>
        </is>
      </c>
      <c r="B8" s="8" t="n">
        <v>1</v>
      </c>
      <c r="F8" s="9" t="n">
        <v>46281</v>
      </c>
      <c r="G8" s="9">
        <f>F8+1</f>
        <v/>
      </c>
      <c r="H8" s="10" t="n">
        <v>0</v>
      </c>
      <c r="I8" s="10" t="n">
        <v>-25</v>
      </c>
      <c r="J8" s="10" t="n">
        <v>-25</v>
      </c>
      <c r="K8" s="10" t="n">
        <v>0</v>
      </c>
      <c r="L8" s="10" t="n">
        <v>0</v>
      </c>
      <c r="M8" s="10" t="n">
        <v>0</v>
      </c>
      <c r="P8" s="5" t="inlineStr">
        <is>
          <t>Bond cost</t>
        </is>
      </c>
      <c r="Q8" s="11">
        <f>$C$71</f>
        <v/>
      </c>
      <c r="R8" s="11">
        <f>$C$71</f>
        <v/>
      </c>
      <c r="S8" s="11">
        <f>$C$71</f>
        <v/>
      </c>
      <c r="T8" s="11">
        <f>$C$71</f>
        <v/>
      </c>
      <c r="U8" s="11">
        <f>$C$71</f>
        <v/>
      </c>
      <c r="V8" s="11">
        <f>$C$71</f>
        <v/>
      </c>
      <c r="X8" s="12" t="n">
        <v>10</v>
      </c>
      <c r="Y8" s="13">
        <f>Q$6+$X8/100*$B$7*J$71-$C$71</f>
        <v/>
      </c>
      <c r="Z8" s="13">
        <f>R$6+$X8/100*$B$7*Q$71-$C$71</f>
        <v/>
      </c>
      <c r="AA8" s="13">
        <f>S$6+$X8/100*$B$7*X$71-$C$71</f>
        <v/>
      </c>
      <c r="AB8" s="13">
        <f>T$6+$X8/100*$B$7*AE$71-$C$71</f>
        <v/>
      </c>
      <c r="AC8" s="13">
        <f>U$6+$X8/100*$B$7*AL$71-$C$71</f>
        <v/>
      </c>
      <c r="AD8" s="13">
        <f>V$6+$X8/100*$B$7*AS$71-$C$71</f>
        <v/>
      </c>
      <c r="AE8" s="14">
        <f>MAX(Y8:AD8)-MIN(Y8:AD8)</f>
        <v/>
      </c>
      <c r="AG8" s="15">
        <f>A48</f>
        <v/>
      </c>
      <c r="AH8" s="16">
        <f>$B$17*INDEX($A48:$AU48,4+(MATCH($AK$4,$Q$5:$V$5,0)-1)*7+1)/100*$B48/360</f>
        <v/>
      </c>
      <c r="AI8" s="16">
        <f>$B$18*INDEX($A48:$AU48,4+(MATCH($AK$4,$Q$5:$V$5,0)-1)*7+2)/100*$B48/360</f>
        <v/>
      </c>
      <c r="AJ8" s="16">
        <f>$B$19*INDEX($A48:$AU48,4+(MATCH($AK$4,$Q$5:$V$5,0)-1)*7+3)/100*$B48/360</f>
        <v/>
      </c>
      <c r="AK8" s="16">
        <f>$B$20*INDEX($A48:$AU48,4+(MATCH($AK$4,$Q$5:$V$5,0)-1)*7+4)/100*$B48/360</f>
        <v/>
      </c>
      <c r="AL8" s="16">
        <f>$B$13/100*$B$7*INDEX($A48:$AU48,4+(MATCH($AK$4,$Q$5:$V$5,0)-1)*7+6)</f>
        <v/>
      </c>
      <c r="AM8" s="16">
        <f>-$C48</f>
        <v/>
      </c>
      <c r="AN8" s="17">
        <f>SUM(AH8:AM8)</f>
        <v/>
      </c>
    </row>
    <row r="9">
      <c r="A9" s="5" t="inlineStr">
        <is>
          <t>Min ON balance ($mm)</t>
        </is>
      </c>
      <c r="B9" s="18" t="n">
        <v>100</v>
      </c>
      <c r="F9" s="9" t="n">
        <v>46323</v>
      </c>
      <c r="G9" s="9">
        <f>F9+1</f>
        <v/>
      </c>
      <c r="H9" s="10" t="n">
        <v>0</v>
      </c>
      <c r="I9" s="10" t="n">
        <v>0</v>
      </c>
      <c r="J9" s="10" t="n">
        <v>-25</v>
      </c>
      <c r="K9" s="10" t="n">
        <v>0</v>
      </c>
      <c r="L9" s="10" t="n">
        <v>0</v>
      </c>
      <c r="M9" s="10" t="n">
        <v>0</v>
      </c>
      <c r="P9" s="5" t="inlineStr">
        <is>
          <t>NII total</t>
        </is>
      </c>
      <c r="Q9" s="19">
        <f>Q6+Q7-Q8</f>
        <v/>
      </c>
      <c r="R9" s="19">
        <f>R6+R7-R8</f>
        <v/>
      </c>
      <c r="S9" s="19">
        <f>S6+S7-S8</f>
        <v/>
      </c>
      <c r="T9" s="19">
        <f>T6+T7-T8</f>
        <v/>
      </c>
      <c r="U9" s="19">
        <f>U6+U7-U8</f>
        <v/>
      </c>
      <c r="V9" s="19">
        <f>V6+V7-V8</f>
        <v/>
      </c>
      <c r="X9" s="12" t="n">
        <v>15</v>
      </c>
      <c r="Y9" s="13">
        <f>Q$6+$X9/100*$B$7*J$71-$C$71</f>
        <v/>
      </c>
      <c r="Z9" s="13">
        <f>R$6+$X9/100*$B$7*Q$71-$C$71</f>
        <v/>
      </c>
      <c r="AA9" s="13">
        <f>S$6+$X9/100*$B$7*X$71-$C$71</f>
        <v/>
      </c>
      <c r="AB9" s="13">
        <f>T$6+$X9/100*$B$7*AE$71-$C$71</f>
        <v/>
      </c>
      <c r="AC9" s="13">
        <f>U$6+$X9/100*$B$7*AL$71-$C$71</f>
        <v/>
      </c>
      <c r="AD9" s="13">
        <f>V$6+$X9/100*$B$7*AS$71-$C$71</f>
        <v/>
      </c>
      <c r="AE9" s="14">
        <f>MAX(Y9:AD9)-MIN(Y9:AD9)</f>
        <v/>
      </c>
      <c r="AG9" s="15">
        <f>A49</f>
        <v/>
      </c>
      <c r="AH9" s="16">
        <f>$B$17*INDEX($A49:$AU49,4+(MATCH($AK$4,$Q$5:$V$5,0)-1)*7+1)/100*$B49/360</f>
        <v/>
      </c>
      <c r="AI9" s="16">
        <f>$B$18*INDEX($A49:$AU49,4+(MATCH($AK$4,$Q$5:$V$5,0)-1)*7+2)/100*$B49/360</f>
        <v/>
      </c>
      <c r="AJ9" s="16">
        <f>$B$19*INDEX($A49:$AU49,4+(MATCH($AK$4,$Q$5:$V$5,0)-1)*7+3)/100*$B49/360</f>
        <v/>
      </c>
      <c r="AK9" s="16">
        <f>$B$20*INDEX($A49:$AU49,4+(MATCH($AK$4,$Q$5:$V$5,0)-1)*7+4)/100*$B49/360</f>
        <v/>
      </c>
      <c r="AL9" s="16">
        <f>$B$13/100*$B$7*INDEX($A49:$AU49,4+(MATCH($AK$4,$Q$5:$V$5,0)-1)*7+6)</f>
        <v/>
      </c>
      <c r="AM9" s="16">
        <f>-$C49</f>
        <v/>
      </c>
      <c r="AN9" s="17">
        <f>SUM(AH9:AM9)</f>
        <v/>
      </c>
    </row>
    <row r="10">
      <c r="A10" s="5" t="inlineStr">
        <is>
          <t>Swap direction (RCV/PAY)</t>
        </is>
      </c>
      <c r="B10" s="4" t="inlineStr">
        <is>
          <t>RCV</t>
        </is>
      </c>
      <c r="F10" s="9" t="n">
        <v>46365</v>
      </c>
      <c r="G10" s="9">
        <f>F10+1</f>
        <v/>
      </c>
      <c r="H10" s="10" t="n">
        <v>0</v>
      </c>
      <c r="I10" s="10" t="n">
        <v>-25</v>
      </c>
      <c r="J10" s="10" t="n">
        <v>-25</v>
      </c>
      <c r="K10" s="10" t="n">
        <v>-25</v>
      </c>
      <c r="L10" s="10" t="n">
        <v>0</v>
      </c>
      <c r="M10" s="10" t="n">
        <v>0</v>
      </c>
      <c r="X10" s="12" t="n">
        <v>20</v>
      </c>
      <c r="Y10" s="13">
        <f>Q$6+$X10/100*$B$7*J$71-$C$71</f>
        <v/>
      </c>
      <c r="Z10" s="13">
        <f>R$6+$X10/100*$B$7*Q$71-$C$71</f>
        <v/>
      </c>
      <c r="AA10" s="13">
        <f>S$6+$X10/100*$B$7*X$71-$C$71</f>
        <v/>
      </c>
      <c r="AB10" s="13">
        <f>T$6+$X10/100*$B$7*AE$71-$C$71</f>
        <v/>
      </c>
      <c r="AC10" s="13">
        <f>U$6+$X10/100*$B$7*AL$71-$C$71</f>
        <v/>
      </c>
      <c r="AD10" s="13">
        <f>V$6+$X10/100*$B$7*AS$71-$C$71</f>
        <v/>
      </c>
      <c r="AE10" s="14">
        <f>MAX(Y10:AD10)-MIN(Y10:AD10)</f>
        <v/>
      </c>
      <c r="AG10" s="15">
        <f>A50</f>
        <v/>
      </c>
      <c r="AH10" s="16">
        <f>$B$17*INDEX($A50:$AU50,4+(MATCH($AK$4,$Q$5:$V$5,0)-1)*7+1)/100*$B50/360</f>
        <v/>
      </c>
      <c r="AI10" s="16">
        <f>$B$18*INDEX($A50:$AU50,4+(MATCH($AK$4,$Q$5:$V$5,0)-1)*7+2)/100*$B50/360</f>
        <v/>
      </c>
      <c r="AJ10" s="16">
        <f>$B$19*INDEX($A50:$AU50,4+(MATCH($AK$4,$Q$5:$V$5,0)-1)*7+3)/100*$B50/360</f>
        <v/>
      </c>
      <c r="AK10" s="16">
        <f>$B$20*INDEX($A50:$AU50,4+(MATCH($AK$4,$Q$5:$V$5,0)-1)*7+4)/100*$B50/360</f>
        <v/>
      </c>
      <c r="AL10" s="16">
        <f>$B$13/100*$B$7*INDEX($A50:$AU50,4+(MATCH($AK$4,$Q$5:$V$5,0)-1)*7+6)</f>
        <v/>
      </c>
      <c r="AM10" s="16">
        <f>-$C50</f>
        <v/>
      </c>
      <c r="AN10" s="17">
        <f>SUM(AH10:AM10)</f>
        <v/>
      </c>
    </row>
    <row r="11">
      <c r="A11" s="5" t="inlineStr">
        <is>
          <t>Swap fixed rate (%)</t>
        </is>
      </c>
      <c r="B11" s="8" t="n">
        <v>3.15</v>
      </c>
      <c r="F11" s="9" t="n">
        <v>46414</v>
      </c>
      <c r="G11" s="9">
        <f>F11+1</f>
        <v/>
      </c>
      <c r="H11" s="10" t="n">
        <v>0</v>
      </c>
      <c r="I11" s="10" t="n">
        <v>0</v>
      </c>
      <c r="J11" s="10" t="n">
        <v>-25</v>
      </c>
      <c r="K11" s="10" t="n">
        <v>-25</v>
      </c>
      <c r="L11" s="10" t="n">
        <v>0</v>
      </c>
      <c r="M11" s="10" t="n">
        <v>0</v>
      </c>
      <c r="P11" s="3" t="inlineStr">
        <is>
          <t>Expected NII</t>
        </is>
      </c>
      <c r="Q11" s="11">
        <f>SUMPRODUCT($H$24:$M$24,$Q$9:$V$9)</f>
        <v/>
      </c>
      <c r="X11" s="12" t="n">
        <v>25</v>
      </c>
      <c r="Y11" s="13">
        <f>Q$6+$X11/100*$B$7*J$71-$C$71</f>
        <v/>
      </c>
      <c r="Z11" s="13">
        <f>R$6+$X11/100*$B$7*Q$71-$C$71</f>
        <v/>
      </c>
      <c r="AA11" s="13">
        <f>S$6+$X11/100*$B$7*X$71-$C$71</f>
        <v/>
      </c>
      <c r="AB11" s="13">
        <f>T$6+$X11/100*$B$7*AE$71-$C$71</f>
        <v/>
      </c>
      <c r="AC11" s="13">
        <f>U$6+$X11/100*$B$7*AL$71-$C$71</f>
        <v/>
      </c>
      <c r="AD11" s="13">
        <f>V$6+$X11/100*$B$7*AS$71-$C$71</f>
        <v/>
      </c>
      <c r="AE11" s="14">
        <f>MAX(Y11:AD11)-MIN(Y11:AD11)</f>
        <v/>
      </c>
      <c r="AG11" s="15">
        <f>A51</f>
        <v/>
      </c>
      <c r="AH11" s="16">
        <f>$B$17*INDEX($A51:$AU51,4+(MATCH($AK$4,$Q$5:$V$5,0)-1)*7+1)/100*$B51/360</f>
        <v/>
      </c>
      <c r="AI11" s="16">
        <f>$B$18*INDEX($A51:$AU51,4+(MATCH($AK$4,$Q$5:$V$5,0)-1)*7+2)/100*$B51/360</f>
        <v/>
      </c>
      <c r="AJ11" s="16">
        <f>$B$19*INDEX($A51:$AU51,4+(MATCH($AK$4,$Q$5:$V$5,0)-1)*7+3)/100*$B51/360</f>
        <v/>
      </c>
      <c r="AK11" s="16">
        <f>$B$20*INDEX($A51:$AU51,4+(MATCH($AK$4,$Q$5:$V$5,0)-1)*7+4)/100*$B51/360</f>
        <v/>
      </c>
      <c r="AL11" s="16">
        <f>$B$13/100*$B$7*INDEX($A51:$AU51,4+(MATCH($AK$4,$Q$5:$V$5,0)-1)*7+6)</f>
        <v/>
      </c>
      <c r="AM11" s="16">
        <f>-$C51</f>
        <v/>
      </c>
      <c r="AN11" s="17">
        <f>SUM(AH11:AM11)</f>
        <v/>
      </c>
    </row>
    <row r="12">
      <c r="A12" s="5" t="inlineStr">
        <is>
          <t>Swap float spread (bps)</t>
        </is>
      </c>
      <c r="B12" s="18" t="n">
        <v>0</v>
      </c>
      <c r="F12" s="9" t="n">
        <v>46463</v>
      </c>
      <c r="G12" s="9">
        <f>F12+1</f>
        <v/>
      </c>
      <c r="H12" s="10" t="n">
        <v>0</v>
      </c>
      <c r="I12" s="10" t="n">
        <v>-25</v>
      </c>
      <c r="J12" s="10" t="n">
        <v>0</v>
      </c>
      <c r="K12" s="10" t="n">
        <v>-25</v>
      </c>
      <c r="L12" s="10" t="n">
        <v>0</v>
      </c>
      <c r="M12" s="10" t="n">
        <v>0</v>
      </c>
      <c r="P12" s="3" t="inlineStr">
        <is>
          <t>NII volatility</t>
        </is>
      </c>
      <c r="Q12" s="11">
        <f>SQRT(SUMPRODUCT($H$24:$M$24,($Q$9:$V$9-$Q$11)^2))</f>
        <v/>
      </c>
      <c r="X12" s="12" t="n">
        <v>30</v>
      </c>
      <c r="Y12" s="13">
        <f>Q$6+$X12/100*$B$7*J$71-$C$71</f>
        <v/>
      </c>
      <c r="Z12" s="13">
        <f>R$6+$X12/100*$B$7*Q$71-$C$71</f>
        <v/>
      </c>
      <c r="AA12" s="13">
        <f>S$6+$X12/100*$B$7*X$71-$C$71</f>
        <v/>
      </c>
      <c r="AB12" s="13">
        <f>T$6+$X12/100*$B$7*AE$71-$C$71</f>
        <v/>
      </c>
      <c r="AC12" s="13">
        <f>U$6+$X12/100*$B$7*AL$71-$C$71</f>
        <v/>
      </c>
      <c r="AD12" s="13">
        <f>V$6+$X12/100*$B$7*AS$71-$C$71</f>
        <v/>
      </c>
      <c r="AE12" s="14">
        <f>MAX(Y12:AD12)-MIN(Y12:AD12)</f>
        <v/>
      </c>
      <c r="AG12" s="15">
        <f>A52</f>
        <v/>
      </c>
      <c r="AH12" s="16">
        <f>$B$17*INDEX($A52:$AU52,4+(MATCH($AK$4,$Q$5:$V$5,0)-1)*7+1)/100*$B52/360</f>
        <v/>
      </c>
      <c r="AI12" s="16">
        <f>$B$18*INDEX($A52:$AU52,4+(MATCH($AK$4,$Q$5:$V$5,0)-1)*7+2)/100*$B52/360</f>
        <v/>
      </c>
      <c r="AJ12" s="16">
        <f>$B$19*INDEX($A52:$AU52,4+(MATCH($AK$4,$Q$5:$V$5,0)-1)*7+3)/100*$B52/360</f>
        <v/>
      </c>
      <c r="AK12" s="16">
        <f>$B$20*INDEX($A52:$AU52,4+(MATCH($AK$4,$Q$5:$V$5,0)-1)*7+4)/100*$B52/360</f>
        <v/>
      </c>
      <c r="AL12" s="16">
        <f>$B$13/100*$B$7*INDEX($A52:$AU52,4+(MATCH($AK$4,$Q$5:$V$5,0)-1)*7+6)</f>
        <v/>
      </c>
      <c r="AM12" s="16">
        <f>-$C52</f>
        <v/>
      </c>
      <c r="AN12" s="17">
        <f>SUM(AH12:AM12)</f>
        <v/>
      </c>
    </row>
    <row r="13">
      <c r="A13" s="5" t="inlineStr">
        <is>
          <t>IRS notional (% of cash)</t>
        </is>
      </c>
      <c r="B13" s="18" t="n">
        <v>75</v>
      </c>
      <c r="F13" s="9" t="n">
        <v>46505</v>
      </c>
      <c r="G13" s="9">
        <f>F13+1</f>
        <v/>
      </c>
      <c r="H13" s="10" t="n">
        <v>0</v>
      </c>
      <c r="I13" s="10" t="n">
        <v>0</v>
      </c>
      <c r="J13" s="10" t="n">
        <v>0</v>
      </c>
      <c r="K13" s="10" t="n">
        <v>-25</v>
      </c>
      <c r="L13" s="10" t="n">
        <v>0</v>
      </c>
      <c r="M13" s="10" t="n">
        <v>0</v>
      </c>
      <c r="P13" s="3" t="inlineStr">
        <is>
          <t>Worst case</t>
        </is>
      </c>
      <c r="Q13" s="11">
        <f>MIN($Q$9:$V$9)</f>
        <v/>
      </c>
      <c r="X13" s="12" t="n">
        <v>35</v>
      </c>
      <c r="Y13" s="13">
        <f>Q$6+$X13/100*$B$7*J$71-$C$71</f>
        <v/>
      </c>
      <c r="Z13" s="13">
        <f>R$6+$X13/100*$B$7*Q$71-$C$71</f>
        <v/>
      </c>
      <c r="AA13" s="13">
        <f>S$6+$X13/100*$B$7*X$71-$C$71</f>
        <v/>
      </c>
      <c r="AB13" s="13">
        <f>T$6+$X13/100*$B$7*AE$71-$C$71</f>
        <v/>
      </c>
      <c r="AC13" s="13">
        <f>U$6+$X13/100*$B$7*AL$71-$C$71</f>
        <v/>
      </c>
      <c r="AD13" s="13">
        <f>V$6+$X13/100*$B$7*AS$71-$C$71</f>
        <v/>
      </c>
      <c r="AE13" s="14">
        <f>MAX(Y13:AD13)-MIN(Y13:AD13)</f>
        <v/>
      </c>
      <c r="AG13" s="15">
        <f>A53</f>
        <v/>
      </c>
      <c r="AH13" s="16">
        <f>$B$17*INDEX($A53:$AU53,4+(MATCH($AK$4,$Q$5:$V$5,0)-1)*7+1)/100*$B53/360</f>
        <v/>
      </c>
      <c r="AI13" s="16">
        <f>$B$18*INDEX($A53:$AU53,4+(MATCH($AK$4,$Q$5:$V$5,0)-1)*7+2)/100*$B53/360</f>
        <v/>
      </c>
      <c r="AJ13" s="16">
        <f>$B$19*INDEX($A53:$AU53,4+(MATCH($AK$4,$Q$5:$V$5,0)-1)*7+3)/100*$B53/360</f>
        <v/>
      </c>
      <c r="AK13" s="16">
        <f>$B$20*INDEX($A53:$AU53,4+(MATCH($AK$4,$Q$5:$V$5,0)-1)*7+4)/100*$B53/360</f>
        <v/>
      </c>
      <c r="AL13" s="16">
        <f>$B$13/100*$B$7*INDEX($A53:$AU53,4+(MATCH($AK$4,$Q$5:$V$5,0)-1)*7+6)</f>
        <v/>
      </c>
      <c r="AM13" s="16">
        <f>-$C53</f>
        <v/>
      </c>
      <c r="AN13" s="17">
        <f>SUM(AH13:AM13)</f>
        <v/>
      </c>
    </row>
    <row r="14">
      <c r="F14" s="9" t="n">
        <v>46554</v>
      </c>
      <c r="G14" s="9">
        <f>F14+1</f>
        <v/>
      </c>
      <c r="H14" s="10" t="n">
        <v>0</v>
      </c>
      <c r="I14" s="10" t="n">
        <v>-25</v>
      </c>
      <c r="J14" s="10" t="n">
        <v>0</v>
      </c>
      <c r="K14" s="10" t="n">
        <v>-25</v>
      </c>
      <c r="L14" s="10" t="n">
        <v>-25</v>
      </c>
      <c r="M14" s="10" t="n">
        <v>0</v>
      </c>
      <c r="P14" s="3" t="inlineStr">
        <is>
          <t>Best case</t>
        </is>
      </c>
      <c r="Q14" s="11">
        <f>MAX($Q$9:$V$9)</f>
        <v/>
      </c>
      <c r="X14" s="12" t="n">
        <v>40</v>
      </c>
      <c r="Y14" s="13">
        <f>Q$6+$X14/100*$B$7*J$71-$C$71</f>
        <v/>
      </c>
      <c r="Z14" s="13">
        <f>R$6+$X14/100*$B$7*Q$71-$C$71</f>
        <v/>
      </c>
      <c r="AA14" s="13">
        <f>S$6+$X14/100*$B$7*X$71-$C$71</f>
        <v/>
      </c>
      <c r="AB14" s="13">
        <f>T$6+$X14/100*$B$7*AE$71-$C$71</f>
        <v/>
      </c>
      <c r="AC14" s="13">
        <f>U$6+$X14/100*$B$7*AL$71-$C$71</f>
        <v/>
      </c>
      <c r="AD14" s="13">
        <f>V$6+$X14/100*$B$7*AS$71-$C$71</f>
        <v/>
      </c>
      <c r="AE14" s="14">
        <f>MAX(Y14:AD14)-MIN(Y14:AD14)</f>
        <v/>
      </c>
      <c r="AG14" s="15">
        <f>A54</f>
        <v/>
      </c>
      <c r="AH14" s="16">
        <f>$B$17*INDEX($A54:$AU54,4+(MATCH($AK$4,$Q$5:$V$5,0)-1)*7+1)/100*$B54/360</f>
        <v/>
      </c>
      <c r="AI14" s="16">
        <f>$B$18*INDEX($A54:$AU54,4+(MATCH($AK$4,$Q$5:$V$5,0)-1)*7+2)/100*$B54/360</f>
        <v/>
      </c>
      <c r="AJ14" s="16">
        <f>$B$19*INDEX($A54:$AU54,4+(MATCH($AK$4,$Q$5:$V$5,0)-1)*7+3)/100*$B54/360</f>
        <v/>
      </c>
      <c r="AK14" s="16">
        <f>$B$20*INDEX($A54:$AU54,4+(MATCH($AK$4,$Q$5:$V$5,0)-1)*7+4)/100*$B54/360</f>
        <v/>
      </c>
      <c r="AL14" s="16">
        <f>$B$13/100*$B$7*INDEX($A54:$AU54,4+(MATCH($AK$4,$Q$5:$V$5,0)-1)*7+6)</f>
        <v/>
      </c>
      <c r="AM14" s="16">
        <f>-$C54</f>
        <v/>
      </c>
      <c r="AN14" s="17">
        <f>SUM(AH14:AM14)</f>
        <v/>
      </c>
    </row>
    <row r="15">
      <c r="A15" s="3" t="inlineStr">
        <is>
          <t>INPUT STRATEGY — ALLOCATION ($mm) / SPREAD (bps)</t>
        </is>
      </c>
      <c r="F15" s="9" t="n">
        <v>46596</v>
      </c>
      <c r="G15" s="9">
        <f>F15+1</f>
        <v/>
      </c>
      <c r="H15" s="10" t="n">
        <v>0</v>
      </c>
      <c r="I15" s="10" t="n">
        <v>0</v>
      </c>
      <c r="J15" s="10" t="n">
        <v>0</v>
      </c>
      <c r="K15" s="10" t="n">
        <v>-25</v>
      </c>
      <c r="L15" s="10" t="n">
        <v>-25</v>
      </c>
      <c r="M15" s="10" t="n">
        <v>0</v>
      </c>
      <c r="P15" s="3" t="inlineStr">
        <is>
          <t>Scenario-fair fixed (%)</t>
        </is>
      </c>
      <c r="Q15" s="20">
        <f>100*SUMPRODUCT($H$24:$M$24,CHOOSE({1,2,3,4,5,6},D72,K72,R72,Y72,AF72,AM72))/(SUM($B$46:$B$69)/360)</f>
        <v/>
      </c>
      <c r="X15" s="12" t="n">
        <v>45</v>
      </c>
      <c r="Y15" s="13">
        <f>Q$6+$X15/100*$B$7*J$71-$C$71</f>
        <v/>
      </c>
      <c r="Z15" s="13">
        <f>R$6+$X15/100*$B$7*Q$71-$C$71</f>
        <v/>
      </c>
      <c r="AA15" s="13">
        <f>S$6+$X15/100*$B$7*X$71-$C$71</f>
        <v/>
      </c>
      <c r="AB15" s="13">
        <f>T$6+$X15/100*$B$7*AE$71-$C$71</f>
        <v/>
      </c>
      <c r="AC15" s="13">
        <f>U$6+$X15/100*$B$7*AL$71-$C$71</f>
        <v/>
      </c>
      <c r="AD15" s="13">
        <f>V$6+$X15/100*$B$7*AS$71-$C$71</f>
        <v/>
      </c>
      <c r="AE15" s="14">
        <f>MAX(Y15:AD15)-MIN(Y15:AD15)</f>
        <v/>
      </c>
      <c r="AG15" s="15">
        <f>A55</f>
        <v/>
      </c>
      <c r="AH15" s="16">
        <f>$B$17*INDEX($A55:$AU55,4+(MATCH($AK$4,$Q$5:$V$5,0)-1)*7+1)/100*$B55/360</f>
        <v/>
      </c>
      <c r="AI15" s="16">
        <f>$B$18*INDEX($A55:$AU55,4+(MATCH($AK$4,$Q$5:$V$5,0)-1)*7+2)/100*$B55/360</f>
        <v/>
      </c>
      <c r="AJ15" s="16">
        <f>$B$19*INDEX($A55:$AU55,4+(MATCH($AK$4,$Q$5:$V$5,0)-1)*7+3)/100*$B55/360</f>
        <v/>
      </c>
      <c r="AK15" s="16">
        <f>$B$20*INDEX($A55:$AU55,4+(MATCH($AK$4,$Q$5:$V$5,0)-1)*7+4)/100*$B55/360</f>
        <v/>
      </c>
      <c r="AL15" s="16">
        <f>$B$13/100*$B$7*INDEX($A55:$AU55,4+(MATCH($AK$4,$Q$5:$V$5,0)-1)*7+6)</f>
        <v/>
      </c>
      <c r="AM15" s="16">
        <f>-$C55</f>
        <v/>
      </c>
      <c r="AN15" s="17">
        <f>SUM(AH15:AM15)</f>
        <v/>
      </c>
    </row>
    <row r="16">
      <c r="A16" s="3" t="inlineStr">
        <is>
          <t>Bucket</t>
        </is>
      </c>
      <c r="B16" s="3" t="inlineStr">
        <is>
          <t>$mm</t>
        </is>
      </c>
      <c r="C16" s="3" t="inlineStr">
        <is>
          <t>Spread</t>
        </is>
      </c>
      <c r="F16" s="9" t="n">
        <v>46645</v>
      </c>
      <c r="G16" s="9">
        <f>F16+1</f>
        <v/>
      </c>
      <c r="H16" s="10" t="n">
        <v>0</v>
      </c>
      <c r="I16" s="10" t="n">
        <v>-25</v>
      </c>
      <c r="J16" s="10" t="n">
        <v>0</v>
      </c>
      <c r="K16" s="10" t="n">
        <v>0</v>
      </c>
      <c r="L16" s="10" t="n">
        <v>0</v>
      </c>
      <c r="M16" s="10" t="n">
        <v>0</v>
      </c>
      <c r="P16" s="3" t="inlineStr">
        <is>
          <t>Carry gap (bps)</t>
        </is>
      </c>
      <c r="Q16" s="20">
        <f>($B$11-$Q$15)*100</f>
        <v/>
      </c>
      <c r="X16" s="12" t="n">
        <v>50</v>
      </c>
      <c r="Y16" s="13">
        <f>Q$6+$X16/100*$B$7*J$71-$C$71</f>
        <v/>
      </c>
      <c r="Z16" s="13">
        <f>R$6+$X16/100*$B$7*Q$71-$C$71</f>
        <v/>
      </c>
      <c r="AA16" s="13">
        <f>S$6+$X16/100*$B$7*X$71-$C$71</f>
        <v/>
      </c>
      <c r="AB16" s="13">
        <f>T$6+$X16/100*$B$7*AE$71-$C$71</f>
        <v/>
      </c>
      <c r="AC16" s="13">
        <f>U$6+$X16/100*$B$7*AL$71-$C$71</f>
        <v/>
      </c>
      <c r="AD16" s="13">
        <f>V$6+$X16/100*$B$7*AS$71-$C$71</f>
        <v/>
      </c>
      <c r="AE16" s="14">
        <f>MAX(Y16:AD16)-MIN(Y16:AD16)</f>
        <v/>
      </c>
      <c r="AG16" s="15">
        <f>A56</f>
        <v/>
      </c>
      <c r="AH16" s="16">
        <f>$B$17*INDEX($A56:$AU56,4+(MATCH($AK$4,$Q$5:$V$5,0)-1)*7+1)/100*$B56/360</f>
        <v/>
      </c>
      <c r="AI16" s="16">
        <f>$B$18*INDEX($A56:$AU56,4+(MATCH($AK$4,$Q$5:$V$5,0)-1)*7+2)/100*$B56/360</f>
        <v/>
      </c>
      <c r="AJ16" s="16">
        <f>$B$19*INDEX($A56:$AU56,4+(MATCH($AK$4,$Q$5:$V$5,0)-1)*7+3)/100*$B56/360</f>
        <v/>
      </c>
      <c r="AK16" s="16">
        <f>$B$20*INDEX($A56:$AU56,4+(MATCH($AK$4,$Q$5:$V$5,0)-1)*7+4)/100*$B56/360</f>
        <v/>
      </c>
      <c r="AL16" s="16">
        <f>$B$13/100*$B$7*INDEX($A56:$AU56,4+(MATCH($AK$4,$Q$5:$V$5,0)-1)*7+6)</f>
        <v/>
      </c>
      <c r="AM16" s="16">
        <f>-$C56</f>
        <v/>
      </c>
      <c r="AN16" s="17">
        <f>SUM(AH16:AM16)</f>
        <v/>
      </c>
    </row>
    <row r="17">
      <c r="A17" s="5" t="inlineStr">
        <is>
          <t>ON</t>
        </is>
      </c>
      <c r="B17" s="18" t="n">
        <v>100</v>
      </c>
      <c r="C17" s="18" t="n">
        <v>0</v>
      </c>
      <c r="F17" s="9" t="n">
        <v>46687</v>
      </c>
      <c r="G17" s="9">
        <f>F17+1</f>
        <v/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P17" s="3" t="inlineStr">
        <is>
          <t>ZONES (live from strategy grid)</t>
        </is>
      </c>
      <c r="X17" s="12" t="n">
        <v>55</v>
      </c>
      <c r="Y17" s="13">
        <f>Q$6+$X17/100*$B$7*J$71-$C$71</f>
        <v/>
      </c>
      <c r="Z17" s="13">
        <f>R$6+$X17/100*$B$7*Q$71-$C$71</f>
        <v/>
      </c>
      <c r="AA17" s="13">
        <f>S$6+$X17/100*$B$7*X$71-$C$71</f>
        <v/>
      </c>
      <c r="AB17" s="13">
        <f>T$6+$X17/100*$B$7*AE$71-$C$71</f>
        <v/>
      </c>
      <c r="AC17" s="13">
        <f>U$6+$X17/100*$B$7*AL$71-$C$71</f>
        <v/>
      </c>
      <c r="AD17" s="13">
        <f>V$6+$X17/100*$B$7*AS$71-$C$71</f>
        <v/>
      </c>
      <c r="AE17" s="14">
        <f>MAX(Y17:AD17)-MIN(Y17:AD17)</f>
        <v/>
      </c>
      <c r="AG17" s="15">
        <f>A57</f>
        <v/>
      </c>
      <c r="AH17" s="16">
        <f>$B$17*INDEX($A57:$AU57,4+(MATCH($AK$4,$Q$5:$V$5,0)-1)*7+1)/100*$B57/360</f>
        <v/>
      </c>
      <c r="AI17" s="16">
        <f>$B$18*INDEX($A57:$AU57,4+(MATCH($AK$4,$Q$5:$V$5,0)-1)*7+2)/100*$B57/360</f>
        <v/>
      </c>
      <c r="AJ17" s="16">
        <f>$B$19*INDEX($A57:$AU57,4+(MATCH($AK$4,$Q$5:$V$5,0)-1)*7+3)/100*$B57/360</f>
        <v/>
      </c>
      <c r="AK17" s="16">
        <f>$B$20*INDEX($A57:$AU57,4+(MATCH($AK$4,$Q$5:$V$5,0)-1)*7+4)/100*$B57/360</f>
        <v/>
      </c>
      <c r="AL17" s="16">
        <f>$B$13/100*$B$7*INDEX($A57:$AU57,4+(MATCH($AK$4,$Q$5:$V$5,0)-1)*7+6)</f>
        <v/>
      </c>
      <c r="AM17" s="16">
        <f>-$C57</f>
        <v/>
      </c>
      <c r="AN17" s="17">
        <f>SUM(AH17:AM17)</f>
        <v/>
      </c>
    </row>
    <row r="18">
      <c r="A18" s="5" t="inlineStr">
        <is>
          <t>1M</t>
        </is>
      </c>
      <c r="B18" s="18" t="n">
        <v>0</v>
      </c>
      <c r="C18" s="18" t="n">
        <v>10</v>
      </c>
      <c r="F18" s="9" t="n">
        <v>46729</v>
      </c>
      <c r="G18" s="9">
        <f>F18+1</f>
        <v/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P18" s="3" t="inlineStr">
        <is>
          <t>Zone</t>
        </is>
      </c>
      <c r="Q18" s="3" t="inlineStr">
        <is>
          <t>Allocation</t>
        </is>
      </c>
      <c r="R18" s="3" t="inlineStr">
        <is>
          <t>IRS %</t>
        </is>
      </c>
      <c r="S18" s="3" t="inlineStr">
        <is>
          <t>Expected</t>
        </is>
      </c>
      <c r="T18" s="3" t="inlineStr">
        <is>
          <t>Vol</t>
        </is>
      </c>
      <c r="U18" s="3" t="inlineStr">
        <is>
          <t>Worst</t>
        </is>
      </c>
      <c r="X18" s="12" t="n">
        <v>60</v>
      </c>
      <c r="Y18" s="13">
        <f>Q$6+$X18/100*$B$7*J$71-$C$71</f>
        <v/>
      </c>
      <c r="Z18" s="13">
        <f>R$6+$X18/100*$B$7*Q$71-$C$71</f>
        <v/>
      </c>
      <c r="AA18" s="13">
        <f>S$6+$X18/100*$B$7*X$71-$C$71</f>
        <v/>
      </c>
      <c r="AB18" s="13">
        <f>T$6+$X18/100*$B$7*AE$71-$C$71</f>
        <v/>
      </c>
      <c r="AC18" s="13">
        <f>U$6+$X18/100*$B$7*AL$71-$C$71</f>
        <v/>
      </c>
      <c r="AD18" s="13">
        <f>V$6+$X18/100*$B$7*AS$71-$C$71</f>
        <v/>
      </c>
      <c r="AE18" s="14">
        <f>MAX(Y18:AD18)-MIN(Y18:AD18)</f>
        <v/>
      </c>
      <c r="AG18" s="15">
        <f>A58</f>
        <v/>
      </c>
      <c r="AH18" s="16">
        <f>$B$17*INDEX($A58:$AU58,4+(MATCH($AK$4,$Q$5:$V$5,0)-1)*7+1)/100*$B58/360</f>
        <v/>
      </c>
      <c r="AI18" s="16">
        <f>$B$18*INDEX($A58:$AU58,4+(MATCH($AK$4,$Q$5:$V$5,0)-1)*7+2)/100*$B58/360</f>
        <v/>
      </c>
      <c r="AJ18" s="16">
        <f>$B$19*INDEX($A58:$AU58,4+(MATCH($AK$4,$Q$5:$V$5,0)-1)*7+3)/100*$B58/360</f>
        <v/>
      </c>
      <c r="AK18" s="16">
        <f>$B$20*INDEX($A58:$AU58,4+(MATCH($AK$4,$Q$5:$V$5,0)-1)*7+4)/100*$B58/360</f>
        <v/>
      </c>
      <c r="AL18" s="16">
        <f>$B$13/100*$B$7*INDEX($A58:$AU58,4+(MATCH($AK$4,$Q$5:$V$5,0)-1)*7+6)</f>
        <v/>
      </c>
      <c r="AM18" s="16">
        <f>-$C58</f>
        <v/>
      </c>
      <c r="AN18" s="17">
        <f>SUM(AH18:AM18)</f>
        <v/>
      </c>
      <c r="AS18" s="3" t="inlineStr">
        <is>
          <t>Zx</t>
        </is>
      </c>
      <c r="AT18" s="3" t="inlineStr">
        <is>
          <t>Zy</t>
        </is>
      </c>
    </row>
    <row r="19">
      <c r="A19" s="5" t="inlineStr">
        <is>
          <t>2M</t>
        </is>
      </c>
      <c r="B19" s="18" t="n">
        <v>0</v>
      </c>
      <c r="C19" s="18" t="n">
        <v>15</v>
      </c>
      <c r="F19" s="9" t="n">
        <v>46778</v>
      </c>
      <c r="G19" s="9">
        <f>F19+1</f>
        <v/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P19" s="3" t="inlineStr">
        <is>
          <t>Defensive</t>
        </is>
      </c>
      <c r="Q19" s="21">
        <f>INDEX($E$76:$E$1505,(MATCH($AC$80,$X$76:$X$1505,0)))</f>
        <v/>
      </c>
      <c r="R19" s="22">
        <f>INDEX($F$76:$F$1505,(MATCH($AC$80,$X$76:$X$1505,0)))</f>
        <v/>
      </c>
      <c r="S19" s="11">
        <f>INDEX($N$76:$N$1505,(MATCH($AC$80,$X$76:$X$1505,0)))</f>
        <v/>
      </c>
      <c r="T19" s="20">
        <f>INDEX($O$76:$O$1505,(MATCH($AC$80,$X$76:$X$1505,0)))</f>
        <v/>
      </c>
      <c r="U19" s="11">
        <f>INDEX($P$76:$P$1505,(MATCH($AC$80,$X$76:$X$1505,0)))</f>
        <v/>
      </c>
      <c r="X19" s="12" t="n">
        <v>65</v>
      </c>
      <c r="Y19" s="13">
        <f>Q$6+$X19/100*$B$7*J$71-$C$71</f>
        <v/>
      </c>
      <c r="Z19" s="13">
        <f>R$6+$X19/100*$B$7*Q$71-$C$71</f>
        <v/>
      </c>
      <c r="AA19" s="13">
        <f>S$6+$X19/100*$B$7*X$71-$C$71</f>
        <v/>
      </c>
      <c r="AB19" s="13">
        <f>T$6+$X19/100*$B$7*AE$71-$C$71</f>
        <v/>
      </c>
      <c r="AC19" s="13">
        <f>U$6+$X19/100*$B$7*AL$71-$C$71</f>
        <v/>
      </c>
      <c r="AD19" s="13">
        <f>V$6+$X19/100*$B$7*AS$71-$C$71</f>
        <v/>
      </c>
      <c r="AE19" s="14">
        <f>MAX(Y19:AD19)-MIN(Y19:AD19)</f>
        <v/>
      </c>
      <c r="AG19" s="15">
        <f>A59</f>
        <v/>
      </c>
      <c r="AH19" s="16">
        <f>$B$17*INDEX($A59:$AU59,4+(MATCH($AK$4,$Q$5:$V$5,0)-1)*7+1)/100*$B59/360</f>
        <v/>
      </c>
      <c r="AI19" s="16">
        <f>$B$18*INDEX($A59:$AU59,4+(MATCH($AK$4,$Q$5:$V$5,0)-1)*7+2)/100*$B59/360</f>
        <v/>
      </c>
      <c r="AJ19" s="16">
        <f>$B$19*INDEX($A59:$AU59,4+(MATCH($AK$4,$Q$5:$V$5,0)-1)*7+3)/100*$B59/360</f>
        <v/>
      </c>
      <c r="AK19" s="16">
        <f>$B$20*INDEX($A59:$AU59,4+(MATCH($AK$4,$Q$5:$V$5,0)-1)*7+4)/100*$B59/360</f>
        <v/>
      </c>
      <c r="AL19" s="16">
        <f>$B$13/100*$B$7*INDEX($A59:$AU59,4+(MATCH($AK$4,$Q$5:$V$5,0)-1)*7+6)</f>
        <v/>
      </c>
      <c r="AM19" s="16">
        <f>-$C59</f>
        <v/>
      </c>
      <c r="AN19" s="17">
        <f>SUM(AH19:AM19)</f>
        <v/>
      </c>
      <c r="AS19" s="14">
        <f>INDEX($O$76:$O$1505,(MATCH($AC$80,$X$76:$X$1505,0)))</f>
        <v/>
      </c>
      <c r="AT19" s="13">
        <f>INDEX($N$76:$N$1505,(MATCH($AC$80,$X$76:$X$1505,0)))</f>
        <v/>
      </c>
    </row>
    <row r="20">
      <c r="A20" s="5" t="inlineStr">
        <is>
          <t>3M</t>
        </is>
      </c>
      <c r="B20" s="18" t="n">
        <v>400</v>
      </c>
      <c r="C20" s="18" t="n">
        <v>20</v>
      </c>
      <c r="F20" s="9" t="n">
        <v>46827</v>
      </c>
      <c r="G20" s="9">
        <f>F20+1</f>
        <v/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P20" s="3" t="inlineStr">
        <is>
          <t>Balanced</t>
        </is>
      </c>
      <c r="Q20" s="21">
        <f>INDEX($E$76:$E$1505,(MATCH($AC$82,$S$76:$S$1505,0)))</f>
        <v/>
      </c>
      <c r="R20" s="22">
        <f>INDEX($F$76:$F$1505,(MATCH($AC$82,$S$76:$S$1505,0)))</f>
        <v/>
      </c>
      <c r="S20" s="11">
        <f>INDEX($N$76:$N$1505,(MATCH($AC$82,$S$76:$S$1505,0)))</f>
        <v/>
      </c>
      <c r="T20" s="20">
        <f>INDEX($O$76:$O$1505,(MATCH($AC$82,$S$76:$S$1505,0)))</f>
        <v/>
      </c>
      <c r="U20" s="11">
        <f>INDEX($P$76:$P$1505,(MATCH($AC$82,$S$76:$S$1505,0)))</f>
        <v/>
      </c>
      <c r="X20" s="12" t="n">
        <v>70</v>
      </c>
      <c r="Y20" s="13">
        <f>Q$6+$X20/100*$B$7*J$71-$C$71</f>
        <v/>
      </c>
      <c r="Z20" s="13">
        <f>R$6+$X20/100*$B$7*Q$71-$C$71</f>
        <v/>
      </c>
      <c r="AA20" s="13">
        <f>S$6+$X20/100*$B$7*X$71-$C$71</f>
        <v/>
      </c>
      <c r="AB20" s="13">
        <f>T$6+$X20/100*$B$7*AE$71-$C$71</f>
        <v/>
      </c>
      <c r="AC20" s="13">
        <f>U$6+$X20/100*$B$7*AL$71-$C$71</f>
        <v/>
      </c>
      <c r="AD20" s="13">
        <f>V$6+$X20/100*$B$7*AS$71-$C$71</f>
        <v/>
      </c>
      <c r="AE20" s="14">
        <f>MAX(Y20:AD20)-MIN(Y20:AD20)</f>
        <v/>
      </c>
      <c r="AG20" s="15">
        <f>A60</f>
        <v/>
      </c>
      <c r="AH20" s="16">
        <f>$B$17*INDEX($A60:$AU60,4+(MATCH($AK$4,$Q$5:$V$5,0)-1)*7+1)/100*$B60/360</f>
        <v/>
      </c>
      <c r="AI20" s="16">
        <f>$B$18*INDEX($A60:$AU60,4+(MATCH($AK$4,$Q$5:$V$5,0)-1)*7+2)/100*$B60/360</f>
        <v/>
      </c>
      <c r="AJ20" s="16">
        <f>$B$19*INDEX($A60:$AU60,4+(MATCH($AK$4,$Q$5:$V$5,0)-1)*7+3)/100*$B60/360</f>
        <v/>
      </c>
      <c r="AK20" s="16">
        <f>$B$20*INDEX($A60:$AU60,4+(MATCH($AK$4,$Q$5:$V$5,0)-1)*7+4)/100*$B60/360</f>
        <v/>
      </c>
      <c r="AL20" s="16">
        <f>$B$13/100*$B$7*INDEX($A60:$AU60,4+(MATCH($AK$4,$Q$5:$V$5,0)-1)*7+6)</f>
        <v/>
      </c>
      <c r="AM20" s="16">
        <f>-$C60</f>
        <v/>
      </c>
      <c r="AN20" s="17">
        <f>SUM(AH20:AM20)</f>
        <v/>
      </c>
      <c r="AS20" s="14">
        <f>INDEX($O$76:$O$1505,(MATCH($AC$82,$S$76:$S$1505,0)))</f>
        <v/>
      </c>
      <c r="AT20" s="13">
        <f>INDEX($N$76:$N$1505,(MATCH($AC$82,$S$76:$S$1505,0)))</f>
        <v/>
      </c>
    </row>
    <row r="21">
      <c r="A21" s="5" t="inlineStr">
        <is>
          <t>Check</t>
        </is>
      </c>
      <c r="B21" s="23">
        <f>IF(SUM(B17:B20)&lt;&gt;B7,"SUM&lt;&gt;CASH",IF(B17&lt;B9,"ON&lt;MIN","OK"))</f>
        <v/>
      </c>
      <c r="F21" s="9" t="n">
        <v>46869</v>
      </c>
      <c r="G21" s="9">
        <f>F21+1</f>
        <v/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P21" s="3" t="inlineStr">
        <is>
          <t>Opportunistic</t>
        </is>
      </c>
      <c r="Q21" s="21">
        <f>INDEX($E$76:$E$1505,(MATCH($AC$81,$Y$76:$Y$1505,0)))</f>
        <v/>
      </c>
      <c r="R21" s="22">
        <f>INDEX($F$76:$F$1505,(MATCH($AC$81,$Y$76:$Y$1505,0)))</f>
        <v/>
      </c>
      <c r="S21" s="11">
        <f>INDEX($N$76:$N$1505,(MATCH($AC$81,$Y$76:$Y$1505,0)))</f>
        <v/>
      </c>
      <c r="T21" s="20">
        <f>INDEX($O$76:$O$1505,(MATCH($AC$81,$Y$76:$Y$1505,0)))</f>
        <v/>
      </c>
      <c r="U21" s="11">
        <f>INDEX($P$76:$P$1505,(MATCH($AC$81,$Y$76:$Y$1505,0)))</f>
        <v/>
      </c>
      <c r="X21" s="12" t="n">
        <v>75</v>
      </c>
      <c r="Y21" s="13">
        <f>Q$6+$X21/100*$B$7*J$71-$C$71</f>
        <v/>
      </c>
      <c r="Z21" s="13">
        <f>R$6+$X21/100*$B$7*Q$71-$C$71</f>
        <v/>
      </c>
      <c r="AA21" s="13">
        <f>S$6+$X21/100*$B$7*X$71-$C$71</f>
        <v/>
      </c>
      <c r="AB21" s="13">
        <f>T$6+$X21/100*$B$7*AE$71-$C$71</f>
        <v/>
      </c>
      <c r="AC21" s="13">
        <f>U$6+$X21/100*$B$7*AL$71-$C$71</f>
        <v/>
      </c>
      <c r="AD21" s="13">
        <f>V$6+$X21/100*$B$7*AS$71-$C$71</f>
        <v/>
      </c>
      <c r="AE21" s="14">
        <f>MAX(Y21:AD21)-MIN(Y21:AD21)</f>
        <v/>
      </c>
      <c r="AG21" s="15">
        <f>A61</f>
        <v/>
      </c>
      <c r="AH21" s="16">
        <f>$B$17*INDEX($A61:$AU61,4+(MATCH($AK$4,$Q$5:$V$5,0)-1)*7+1)/100*$B61/360</f>
        <v/>
      </c>
      <c r="AI21" s="16">
        <f>$B$18*INDEX($A61:$AU61,4+(MATCH($AK$4,$Q$5:$V$5,0)-1)*7+2)/100*$B61/360</f>
        <v/>
      </c>
      <c r="AJ21" s="16">
        <f>$B$19*INDEX($A61:$AU61,4+(MATCH($AK$4,$Q$5:$V$5,0)-1)*7+3)/100*$B61/360</f>
        <v/>
      </c>
      <c r="AK21" s="16">
        <f>$B$20*INDEX($A61:$AU61,4+(MATCH($AK$4,$Q$5:$V$5,0)-1)*7+4)/100*$B61/360</f>
        <v/>
      </c>
      <c r="AL21" s="16">
        <f>$B$13/100*$B$7*INDEX($A61:$AU61,4+(MATCH($AK$4,$Q$5:$V$5,0)-1)*7+6)</f>
        <v/>
      </c>
      <c r="AM21" s="16">
        <f>-$C61</f>
        <v/>
      </c>
      <c r="AN21" s="17">
        <f>SUM(AH21:AM21)</f>
        <v/>
      </c>
      <c r="AS21" s="14">
        <f>INDEX($O$76:$O$1505,(MATCH($AC$81,$Y$76:$Y$1505,0)))</f>
        <v/>
      </c>
      <c r="AT21" s="13">
        <f>INDEX($N$76:$N$1505,(MATCH($AC$81,$Y$76:$Y$1505,0)))</f>
        <v/>
      </c>
    </row>
    <row r="22">
      <c r="F22" s="9" t="n">
        <v>46918</v>
      </c>
      <c r="G22" s="9">
        <f>F22+1</f>
        <v/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X22" s="12" t="n">
        <v>80</v>
      </c>
      <c r="Y22" s="13">
        <f>Q$6+$X22/100*$B$7*J$71-$C$71</f>
        <v/>
      </c>
      <c r="Z22" s="13">
        <f>R$6+$X22/100*$B$7*Q$71-$C$71</f>
        <v/>
      </c>
      <c r="AA22" s="13">
        <f>S$6+$X22/100*$B$7*X$71-$C$71</f>
        <v/>
      </c>
      <c r="AB22" s="13">
        <f>T$6+$X22/100*$B$7*AE$71-$C$71</f>
        <v/>
      </c>
      <c r="AC22" s="13">
        <f>U$6+$X22/100*$B$7*AL$71-$C$71</f>
        <v/>
      </c>
      <c r="AD22" s="13">
        <f>V$6+$X22/100*$B$7*AS$71-$C$71</f>
        <v/>
      </c>
      <c r="AE22" s="14">
        <f>MAX(Y22:AD22)-MIN(Y22:AD22)</f>
        <v/>
      </c>
      <c r="AG22" s="15">
        <f>A62</f>
        <v/>
      </c>
      <c r="AH22" s="16">
        <f>$B$17*INDEX($A62:$AU62,4+(MATCH($AK$4,$Q$5:$V$5,0)-1)*7+1)/100*$B62/360</f>
        <v/>
      </c>
      <c r="AI22" s="16">
        <f>$B$18*INDEX($A62:$AU62,4+(MATCH($AK$4,$Q$5:$V$5,0)-1)*7+2)/100*$B62/360</f>
        <v/>
      </c>
      <c r="AJ22" s="16">
        <f>$B$19*INDEX($A62:$AU62,4+(MATCH($AK$4,$Q$5:$V$5,0)-1)*7+3)/100*$B62/360</f>
        <v/>
      </c>
      <c r="AK22" s="16">
        <f>$B$20*INDEX($A62:$AU62,4+(MATCH($AK$4,$Q$5:$V$5,0)-1)*7+4)/100*$B62/360</f>
        <v/>
      </c>
      <c r="AL22" s="16">
        <f>$B$13/100*$B$7*INDEX($A62:$AU62,4+(MATCH($AK$4,$Q$5:$V$5,0)-1)*7+6)</f>
        <v/>
      </c>
      <c r="AM22" s="16">
        <f>-$C62</f>
        <v/>
      </c>
      <c r="AN22" s="17">
        <f>SUM(AH22:AM22)</f>
        <v/>
      </c>
    </row>
    <row r="23">
      <c r="A23" s="3" t="inlineStr">
        <is>
          <t>FIXED-RATE DEBT (Hasbro, illustrative)</t>
        </is>
      </c>
      <c r="P23" s="3" t="inlineStr">
        <is>
          <t>NII BY SCENARIO × IRS NOTIONAL (input allocation)</t>
        </is>
      </c>
      <c r="X23" s="12" t="n">
        <v>85</v>
      </c>
      <c r="Y23" s="13">
        <f>Q$6+$X23/100*$B$7*J$71-$C$71</f>
        <v/>
      </c>
      <c r="Z23" s="13">
        <f>R$6+$X23/100*$B$7*Q$71-$C$71</f>
        <v/>
      </c>
      <c r="AA23" s="13">
        <f>S$6+$X23/100*$B$7*X$71-$C$71</f>
        <v/>
      </c>
      <c r="AB23" s="13">
        <f>T$6+$X23/100*$B$7*AE$71-$C$71</f>
        <v/>
      </c>
      <c r="AC23" s="13">
        <f>U$6+$X23/100*$B$7*AL$71-$C$71</f>
        <v/>
      </c>
      <c r="AD23" s="13">
        <f>V$6+$X23/100*$B$7*AS$71-$C$71</f>
        <v/>
      </c>
      <c r="AE23" s="14">
        <f>MAX(Y23:AD23)-MIN(Y23:AD23)</f>
        <v/>
      </c>
      <c r="AG23" s="15">
        <f>A63</f>
        <v/>
      </c>
      <c r="AH23" s="16">
        <f>$B$17*INDEX($A63:$AU63,4+(MATCH($AK$4,$Q$5:$V$5,0)-1)*7+1)/100*$B63/360</f>
        <v/>
      </c>
      <c r="AI23" s="16">
        <f>$B$18*INDEX($A63:$AU63,4+(MATCH($AK$4,$Q$5:$V$5,0)-1)*7+2)/100*$B63/360</f>
        <v/>
      </c>
      <c r="AJ23" s="16">
        <f>$B$19*INDEX($A63:$AU63,4+(MATCH($AK$4,$Q$5:$V$5,0)-1)*7+3)/100*$B63/360</f>
        <v/>
      </c>
      <c r="AK23" s="16">
        <f>$B$20*INDEX($A63:$AU63,4+(MATCH($AK$4,$Q$5:$V$5,0)-1)*7+4)/100*$B63/360</f>
        <v/>
      </c>
      <c r="AL23" s="16">
        <f>$B$13/100*$B$7*INDEX($A63:$AU63,4+(MATCH($AK$4,$Q$5:$V$5,0)-1)*7+6)</f>
        <v/>
      </c>
      <c r="AM23" s="16">
        <f>-$C63</f>
        <v/>
      </c>
      <c r="AN23" s="17">
        <f>SUM(AH23:AM23)</f>
        <v/>
      </c>
    </row>
    <row r="24">
      <c r="A24" s="3" t="inlineStr">
        <is>
          <t>Issue</t>
        </is>
      </c>
      <c r="B24" s="3" t="inlineStr">
        <is>
          <t>$mm</t>
        </is>
      </c>
      <c r="C24" s="3" t="inlineStr">
        <is>
          <t>Cpn %</t>
        </is>
      </c>
      <c r="D24" s="3" t="inlineStr">
        <is>
          <t>Maturity</t>
        </is>
      </c>
      <c r="F24" s="3" t="inlineStr">
        <is>
          <t>Scenario weight</t>
        </is>
      </c>
      <c r="H24" s="24" t="n">
        <v>0.1666666666666667</v>
      </c>
      <c r="I24" s="24" t="n">
        <v>0.1666666666666667</v>
      </c>
      <c r="J24" s="24" t="n">
        <v>0.1666666666666667</v>
      </c>
      <c r="K24" s="24" t="n">
        <v>0.1666666666666667</v>
      </c>
      <c r="L24" s="24" t="n">
        <v>0.1666666666666667</v>
      </c>
      <c r="M24" s="24" t="n">
        <v>0.1666666666666667</v>
      </c>
      <c r="P24" s="3" t="inlineStr">
        <is>
          <t>Notional %</t>
        </is>
      </c>
      <c r="Q24" s="7" t="inlineStr">
        <is>
          <t>Flat</t>
        </is>
      </c>
      <c r="R24" s="7" t="inlineStr">
        <is>
          <t>Gradual cuts</t>
        </is>
      </c>
      <c r="S24" s="7" t="inlineStr">
        <is>
          <t>Faster cuts</t>
        </is>
      </c>
      <c r="T24" s="7" t="inlineStr">
        <is>
          <t>Delayed cuts</t>
        </is>
      </c>
      <c r="U24" s="7" t="inlineStr">
        <is>
          <t>Higher for longer</t>
        </is>
      </c>
      <c r="V24" s="7" t="inlineStr">
        <is>
          <t>Hike</t>
        </is>
      </c>
      <c r="X24" s="12" t="n">
        <v>90</v>
      </c>
      <c r="Y24" s="13">
        <f>Q$6+$X24/100*$B$7*J$71-$C$71</f>
        <v/>
      </c>
      <c r="Z24" s="13">
        <f>R$6+$X24/100*$B$7*Q$71-$C$71</f>
        <v/>
      </c>
      <c r="AA24" s="13">
        <f>S$6+$X24/100*$B$7*X$71-$C$71</f>
        <v/>
      </c>
      <c r="AB24" s="13">
        <f>T$6+$X24/100*$B$7*AE$71-$C$71</f>
        <v/>
      </c>
      <c r="AC24" s="13">
        <f>U$6+$X24/100*$B$7*AL$71-$C$71</f>
        <v/>
      </c>
      <c r="AD24" s="13">
        <f>V$6+$X24/100*$B$7*AS$71-$C$71</f>
        <v/>
      </c>
      <c r="AE24" s="14">
        <f>MAX(Y24:AD24)-MIN(Y24:AD24)</f>
        <v/>
      </c>
      <c r="AG24" s="15">
        <f>A64</f>
        <v/>
      </c>
      <c r="AH24" s="16">
        <f>$B$17*INDEX($A64:$AU64,4+(MATCH($AK$4,$Q$5:$V$5,0)-1)*7+1)/100*$B64/360</f>
        <v/>
      </c>
      <c r="AI24" s="16">
        <f>$B$18*INDEX($A64:$AU64,4+(MATCH($AK$4,$Q$5:$V$5,0)-1)*7+2)/100*$B64/360</f>
        <v/>
      </c>
      <c r="AJ24" s="16">
        <f>$B$19*INDEX($A64:$AU64,4+(MATCH($AK$4,$Q$5:$V$5,0)-1)*7+3)/100*$B64/360</f>
        <v/>
      </c>
      <c r="AK24" s="16">
        <f>$B$20*INDEX($A64:$AU64,4+(MATCH($AK$4,$Q$5:$V$5,0)-1)*7+4)/100*$B64/360</f>
        <v/>
      </c>
      <c r="AL24" s="16">
        <f>$B$13/100*$B$7*INDEX($A64:$AU64,4+(MATCH($AK$4,$Q$5:$V$5,0)-1)*7+6)</f>
        <v/>
      </c>
      <c r="AM24" s="16">
        <f>-$C64</f>
        <v/>
      </c>
      <c r="AN24" s="17">
        <f>SUM(AH24:AM24)</f>
        <v/>
      </c>
    </row>
    <row r="25">
      <c r="A25" s="5" t="inlineStr">
        <is>
          <t>3.50% '27</t>
        </is>
      </c>
      <c r="B25" s="18" t="n">
        <v>476.4</v>
      </c>
      <c r="C25" s="8" t="n">
        <v>3.5</v>
      </c>
      <c r="D25" s="6" t="n">
        <v>46645</v>
      </c>
      <c r="P25" s="12" t="n">
        <v>0</v>
      </c>
      <c r="Q25" s="13">
        <f>Q$6+$P25/100*$B$7*J$71-$C$71</f>
        <v/>
      </c>
      <c r="R25" s="13">
        <f>R$6+$P25/100*$B$7*Q$71-$C$71</f>
        <v/>
      </c>
      <c r="S25" s="13">
        <f>S$6+$P25/100*$B$7*X$71-$C$71</f>
        <v/>
      </c>
      <c r="T25" s="13">
        <f>T$6+$P25/100*$B$7*AE$71-$C$71</f>
        <v/>
      </c>
      <c r="U25" s="13">
        <f>U$6+$P25/100*$B$7*AL$71-$C$71</f>
        <v/>
      </c>
      <c r="V25" s="13">
        <f>V$6+$P25/100*$B$7*AS$71-$C$71</f>
        <v/>
      </c>
      <c r="X25" s="12" t="n">
        <v>95</v>
      </c>
      <c r="Y25" s="13">
        <f>Q$6+$X25/100*$B$7*J$71-$C$71</f>
        <v/>
      </c>
      <c r="Z25" s="13">
        <f>R$6+$X25/100*$B$7*Q$71-$C$71</f>
        <v/>
      </c>
      <c r="AA25" s="13">
        <f>S$6+$X25/100*$B$7*X$71-$C$71</f>
        <v/>
      </c>
      <c r="AB25" s="13">
        <f>T$6+$X25/100*$B$7*AE$71-$C$71</f>
        <v/>
      </c>
      <c r="AC25" s="13">
        <f>U$6+$X25/100*$B$7*AL$71-$C$71</f>
        <v/>
      </c>
      <c r="AD25" s="13">
        <f>V$6+$X25/100*$B$7*AS$71-$C$71</f>
        <v/>
      </c>
      <c r="AE25" s="14">
        <f>MAX(Y25:AD25)-MIN(Y25:AD25)</f>
        <v/>
      </c>
      <c r="AG25" s="15">
        <f>A65</f>
        <v/>
      </c>
      <c r="AH25" s="16">
        <f>$B$17*INDEX($A65:$AU65,4+(MATCH($AK$4,$Q$5:$V$5,0)-1)*7+1)/100*$B65/360</f>
        <v/>
      </c>
      <c r="AI25" s="16">
        <f>$B$18*INDEX($A65:$AU65,4+(MATCH($AK$4,$Q$5:$V$5,0)-1)*7+2)/100*$B65/360</f>
        <v/>
      </c>
      <c r="AJ25" s="16">
        <f>$B$19*INDEX($A65:$AU65,4+(MATCH($AK$4,$Q$5:$V$5,0)-1)*7+3)/100*$B65/360</f>
        <v/>
      </c>
      <c r="AK25" s="16">
        <f>$B$20*INDEX($A65:$AU65,4+(MATCH($AK$4,$Q$5:$V$5,0)-1)*7+4)/100*$B65/360</f>
        <v/>
      </c>
      <c r="AL25" s="16">
        <f>$B$13/100*$B$7*INDEX($A65:$AU65,4+(MATCH($AK$4,$Q$5:$V$5,0)-1)*7+6)</f>
        <v/>
      </c>
      <c r="AM25" s="16">
        <f>-$C65</f>
        <v/>
      </c>
      <c r="AN25" s="17">
        <f>SUM(AH25:AM25)</f>
        <v/>
      </c>
    </row>
    <row r="26">
      <c r="A26" s="5" t="inlineStr">
        <is>
          <t>6.60% '28</t>
        </is>
      </c>
      <c r="B26" s="18" t="n">
        <v>109.9</v>
      </c>
      <c r="C26" s="8" t="n">
        <v>6.6</v>
      </c>
      <c r="D26" s="6" t="n">
        <v>46949</v>
      </c>
      <c r="P26" s="12" t="n">
        <v>25</v>
      </c>
      <c r="Q26" s="13">
        <f>Q$6+$P26/100*$B$7*J$71-$C$71</f>
        <v/>
      </c>
      <c r="R26" s="13">
        <f>R$6+$P26/100*$B$7*Q$71-$C$71</f>
        <v/>
      </c>
      <c r="S26" s="13">
        <f>S$6+$P26/100*$B$7*X$71-$C$71</f>
        <v/>
      </c>
      <c r="T26" s="13">
        <f>T$6+$P26/100*$B$7*AE$71-$C$71</f>
        <v/>
      </c>
      <c r="U26" s="13">
        <f>U$6+$P26/100*$B$7*AL$71-$C$71</f>
        <v/>
      </c>
      <c r="V26" s="13">
        <f>V$6+$P26/100*$B$7*AS$71-$C$71</f>
        <v/>
      </c>
      <c r="X26" s="12" t="n">
        <v>100</v>
      </c>
      <c r="Y26" s="13">
        <f>Q$6+$X26/100*$B$7*J$71-$C$71</f>
        <v/>
      </c>
      <c r="Z26" s="13">
        <f>R$6+$X26/100*$B$7*Q$71-$C$71</f>
        <v/>
      </c>
      <c r="AA26" s="13">
        <f>S$6+$X26/100*$B$7*X$71-$C$71</f>
        <v/>
      </c>
      <c r="AB26" s="13">
        <f>T$6+$X26/100*$B$7*AE$71-$C$71</f>
        <v/>
      </c>
      <c r="AC26" s="13">
        <f>U$6+$X26/100*$B$7*AL$71-$C$71</f>
        <v/>
      </c>
      <c r="AD26" s="13">
        <f>V$6+$X26/100*$B$7*AS$71-$C$71</f>
        <v/>
      </c>
      <c r="AE26" s="14">
        <f>MAX(Y26:AD26)-MIN(Y26:AD26)</f>
        <v/>
      </c>
      <c r="AG26" s="15">
        <f>A66</f>
        <v/>
      </c>
      <c r="AH26" s="16">
        <f>$B$17*INDEX($A66:$AU66,4+(MATCH($AK$4,$Q$5:$V$5,0)-1)*7+1)/100*$B66/360</f>
        <v/>
      </c>
      <c r="AI26" s="16">
        <f>$B$18*INDEX($A66:$AU66,4+(MATCH($AK$4,$Q$5:$V$5,0)-1)*7+2)/100*$B66/360</f>
        <v/>
      </c>
      <c r="AJ26" s="16">
        <f>$B$19*INDEX($A66:$AU66,4+(MATCH($AK$4,$Q$5:$V$5,0)-1)*7+3)/100*$B66/360</f>
        <v/>
      </c>
      <c r="AK26" s="16">
        <f>$B$20*INDEX($A66:$AU66,4+(MATCH($AK$4,$Q$5:$V$5,0)-1)*7+4)/100*$B66/360</f>
        <v/>
      </c>
      <c r="AL26" s="16">
        <f>$B$13/100*$B$7*INDEX($A66:$AU66,4+(MATCH($AK$4,$Q$5:$V$5,0)-1)*7+6)</f>
        <v/>
      </c>
      <c r="AM26" s="16">
        <f>-$C66</f>
        <v/>
      </c>
      <c r="AN26" s="17">
        <f>SUM(AH26:AM26)</f>
        <v/>
      </c>
    </row>
    <row r="27">
      <c r="A27" s="5" t="inlineStr">
        <is>
          <t>3.90% '29</t>
        </is>
      </c>
      <c r="B27" s="18" t="n">
        <v>900</v>
      </c>
      <c r="C27" s="8" t="n">
        <v>3.9</v>
      </c>
      <c r="D27" s="6" t="n">
        <v>47441</v>
      </c>
      <c r="P27" s="12" t="n">
        <v>50</v>
      </c>
      <c r="Q27" s="13">
        <f>Q$6+$P27/100*$B$7*J$71-$C$71</f>
        <v/>
      </c>
      <c r="R27" s="13">
        <f>R$6+$P27/100*$B$7*Q$71-$C$71</f>
        <v/>
      </c>
      <c r="S27" s="13">
        <f>S$6+$P27/100*$B$7*X$71-$C$71</f>
        <v/>
      </c>
      <c r="T27" s="13">
        <f>T$6+$P27/100*$B$7*AE$71-$C$71</f>
        <v/>
      </c>
      <c r="U27" s="13">
        <f>U$6+$P27/100*$B$7*AL$71-$C$71</f>
        <v/>
      </c>
      <c r="V27" s="13">
        <f>V$6+$P27/100*$B$7*AS$71-$C$71</f>
        <v/>
      </c>
      <c r="AG27" s="15">
        <f>A67</f>
        <v/>
      </c>
      <c r="AH27" s="16">
        <f>$B$17*INDEX($A67:$AU67,4+(MATCH($AK$4,$Q$5:$V$5,0)-1)*7+1)/100*$B67/360</f>
        <v/>
      </c>
      <c r="AI27" s="16">
        <f>$B$18*INDEX($A67:$AU67,4+(MATCH($AK$4,$Q$5:$V$5,0)-1)*7+2)/100*$B67/360</f>
        <v/>
      </c>
      <c r="AJ27" s="16">
        <f>$B$19*INDEX($A67:$AU67,4+(MATCH($AK$4,$Q$5:$V$5,0)-1)*7+3)/100*$B67/360</f>
        <v/>
      </c>
      <c r="AK27" s="16">
        <f>$B$20*INDEX($A67:$AU67,4+(MATCH($AK$4,$Q$5:$V$5,0)-1)*7+4)/100*$B67/360</f>
        <v/>
      </c>
      <c r="AL27" s="16">
        <f>$B$13/100*$B$7*INDEX($A67:$AU67,4+(MATCH($AK$4,$Q$5:$V$5,0)-1)*7+6)</f>
        <v/>
      </c>
      <c r="AM27" s="16">
        <f>-$C67</f>
        <v/>
      </c>
      <c r="AN27" s="17">
        <f>SUM(AH27:AM27)</f>
        <v/>
      </c>
    </row>
    <row r="28">
      <c r="A28" s="5" t="inlineStr">
        <is>
          <t>4.65% '31</t>
        </is>
      </c>
      <c r="B28" s="18" t="n">
        <v>400</v>
      </c>
      <c r="C28" s="8" t="n">
        <v>4.65</v>
      </c>
      <c r="D28" s="6" t="n">
        <v>47919</v>
      </c>
      <c r="P28" s="12" t="n">
        <v>75</v>
      </c>
      <c r="Q28" s="13">
        <f>Q$6+$P28/100*$B$7*J$71-$C$71</f>
        <v/>
      </c>
      <c r="R28" s="13">
        <f>R$6+$P28/100*$B$7*Q$71-$C$71</f>
        <v/>
      </c>
      <c r="S28" s="13">
        <f>S$6+$P28/100*$B$7*X$71-$C$71</f>
        <v/>
      </c>
      <c r="T28" s="13">
        <f>T$6+$P28/100*$B$7*AE$71-$C$71</f>
        <v/>
      </c>
      <c r="U28" s="13">
        <f>U$6+$P28/100*$B$7*AL$71-$C$71</f>
        <v/>
      </c>
      <c r="V28" s="13">
        <f>V$6+$P28/100*$B$7*AS$71-$C$71</f>
        <v/>
      </c>
      <c r="X28" s="3" t="inlineStr">
        <is>
          <t>Min dispersion @ notional %</t>
        </is>
      </c>
      <c r="Z28" s="22">
        <f>INDEX($X$6:$X$26,MATCH(MIN($AE$6:$AE$26),$AE$6:$AE$26,0))</f>
        <v/>
      </c>
      <c r="AA28" s="20">
        <f>MIN($AE$6:$AE$26)</f>
        <v/>
      </c>
      <c r="AG28" s="15">
        <f>A68</f>
        <v/>
      </c>
      <c r="AH28" s="16">
        <f>$B$17*INDEX($A68:$AU68,4+(MATCH($AK$4,$Q$5:$V$5,0)-1)*7+1)/100*$B68/360</f>
        <v/>
      </c>
      <c r="AI28" s="16">
        <f>$B$18*INDEX($A68:$AU68,4+(MATCH($AK$4,$Q$5:$V$5,0)-1)*7+2)/100*$B68/360</f>
        <v/>
      </c>
      <c r="AJ28" s="16">
        <f>$B$19*INDEX($A68:$AU68,4+(MATCH($AK$4,$Q$5:$V$5,0)-1)*7+3)/100*$B68/360</f>
        <v/>
      </c>
      <c r="AK28" s="16">
        <f>$B$20*INDEX($A68:$AU68,4+(MATCH($AK$4,$Q$5:$V$5,0)-1)*7+4)/100*$B68/360</f>
        <v/>
      </c>
      <c r="AL28" s="16">
        <f>$B$13/100*$B$7*INDEX($A68:$AU68,4+(MATCH($AK$4,$Q$5:$V$5,0)-1)*7+6)</f>
        <v/>
      </c>
      <c r="AM28" s="16">
        <f>-$C68</f>
        <v/>
      </c>
      <c r="AN28" s="17">
        <f>SUM(AH28:AM28)</f>
        <v/>
      </c>
    </row>
    <row r="29">
      <c r="A29" s="5" t="inlineStr">
        <is>
          <t>6.05% '34</t>
        </is>
      </c>
      <c r="B29" s="18" t="n">
        <v>500</v>
      </c>
      <c r="C29" s="8" t="n">
        <v>6.05</v>
      </c>
      <c r="D29" s="6" t="n">
        <v>49078</v>
      </c>
      <c r="P29" s="12" t="n">
        <v>100</v>
      </c>
      <c r="Q29" s="13">
        <f>Q$6+$P29/100*$B$7*J$71-$C$71</f>
        <v/>
      </c>
      <c r="R29" s="13">
        <f>R$6+$P29/100*$B$7*Q$71-$C$71</f>
        <v/>
      </c>
      <c r="S29" s="13">
        <f>S$6+$P29/100*$B$7*X$71-$C$71</f>
        <v/>
      </c>
      <c r="T29" s="13">
        <f>T$6+$P29/100*$B$7*AE$71-$C$71</f>
        <v/>
      </c>
      <c r="U29" s="13">
        <f>U$6+$P29/100*$B$7*AL$71-$C$71</f>
        <v/>
      </c>
      <c r="V29" s="13">
        <f>V$6+$P29/100*$B$7*AS$71-$C$71</f>
        <v/>
      </c>
      <c r="AG29" s="15">
        <f>A69</f>
        <v/>
      </c>
      <c r="AH29" s="16">
        <f>$B$17*INDEX($A69:$AU69,4+(MATCH($AK$4,$Q$5:$V$5,0)-1)*7+1)/100*$B69/360</f>
        <v/>
      </c>
      <c r="AI29" s="16">
        <f>$B$18*INDEX($A69:$AU69,4+(MATCH($AK$4,$Q$5:$V$5,0)-1)*7+2)/100*$B69/360</f>
        <v/>
      </c>
      <c r="AJ29" s="16">
        <f>$B$19*INDEX($A69:$AU69,4+(MATCH($AK$4,$Q$5:$V$5,0)-1)*7+3)/100*$B69/360</f>
        <v/>
      </c>
      <c r="AK29" s="16">
        <f>$B$20*INDEX($A69:$AU69,4+(MATCH($AK$4,$Q$5:$V$5,0)-1)*7+4)/100*$B69/360</f>
        <v/>
      </c>
      <c r="AL29" s="16">
        <f>$B$13/100*$B$7*INDEX($A69:$AU69,4+(MATCH($AK$4,$Q$5:$V$5,0)-1)*7+6)</f>
        <v/>
      </c>
      <c r="AM29" s="16">
        <f>-$C69</f>
        <v/>
      </c>
      <c r="AN29" s="17">
        <f>SUM(AH29:AM29)</f>
        <v/>
      </c>
    </row>
    <row r="30">
      <c r="A30" s="5" t="inlineStr">
        <is>
          <t>6.35% '40</t>
        </is>
      </c>
      <c r="B30" s="18" t="n">
        <v>500</v>
      </c>
      <c r="C30" s="8" t="n">
        <v>6.35</v>
      </c>
      <c r="D30" s="6" t="n">
        <v>51210</v>
      </c>
    </row>
    <row r="31">
      <c r="A31" s="5" t="inlineStr">
        <is>
          <t>5.10% '44</t>
        </is>
      </c>
      <c r="B31" s="18" t="n">
        <v>300</v>
      </c>
      <c r="C31" s="8" t="n">
        <v>5.1</v>
      </c>
      <c r="D31" s="6" t="n">
        <v>52732</v>
      </c>
    </row>
    <row r="33">
      <c r="A33" s="3" t="inlineStr">
        <is>
          <t>SELF-TESTS (recompute on any input change)</t>
        </is>
      </c>
    </row>
    <row r="34">
      <c r="A34" s="5" t="inlineStr">
        <is>
          <t>Weights sum to 100%</t>
        </is>
      </c>
      <c r="B34" s="23">
        <f>IF(ABS(SUM(H24:M24)-1)&lt;0.0001,"OK","FAIL")</f>
        <v/>
      </c>
    </row>
    <row r="35">
      <c r="A35" s="5" t="inlineStr">
        <is>
          <t>Allocation check</t>
        </is>
      </c>
      <c r="B35" s="23">
        <f>IF(B21="OK","OK","FAIL")</f>
        <v/>
      </c>
    </row>
    <row r="36">
      <c r="A36" s="5" t="inlineStr">
        <is>
          <t>NII identity (dep+swap-bond)</t>
        </is>
      </c>
      <c r="B36" s="23">
        <f>IF(SUMPRODUCT(ABS($Q$9:$V$9-($Q$6:$V$6+$Q$7:$V$7-$Q$8:$V$8)))&lt;0.001,"OK","FAIL")</f>
        <v/>
      </c>
    </row>
    <row r="37">
      <c r="A37" s="5" t="inlineStr">
        <is>
          <t>Timeline reconciles to NII</t>
        </is>
      </c>
      <c r="B37" s="23">
        <f>IF(ABS(SUM(AN6:AN29)-INDEX($Q$9:$V$9,MATCH($AK$4,$Q$5:$V$5,0)))&lt;0.01,"OK","FAIL")</f>
        <v/>
      </c>
    </row>
    <row r="38">
      <c r="A38" s="5" t="inlineStr">
        <is>
          <t>Frontier non-empty</t>
        </is>
      </c>
      <c r="B38" s="23">
        <f>IF(COUNTIF($R$76:$R$1505,TRUE)&gt;0,"OK","FAIL")</f>
        <v/>
      </c>
    </row>
    <row r="39">
      <c r="A39" s="5" t="inlineStr">
        <is>
          <t>Cone pinch in range</t>
        </is>
      </c>
      <c r="B39" s="23">
        <f>IF(AND($Z$28&gt;=0,$Z$28&lt;=100),"OK","FAIL")</f>
        <v/>
      </c>
    </row>
    <row r="40">
      <c r="A40" s="3" t="inlineStr">
        <is>
          <t>MODEL STATUS</t>
        </is>
      </c>
      <c r="B40" s="25">
        <f>IF(COUNTIF(B34:B39,"FAIL")=0,"OK — ALL TESTS PASS","CHECK FAILED TESTS")</f>
        <v/>
      </c>
    </row>
    <row r="41">
      <c r="A41" s="3" t="inlineStr">
        <is>
          <t>Model version</t>
        </is>
      </c>
      <c r="B41" s="3" t="inlineStr">
        <is>
          <t>v2.1</t>
        </is>
      </c>
    </row>
    <row r="44">
      <c r="A44" s="3" t="inlineStr">
        <is>
          <t>CALCULATION GRID — monthly, per scenario (do not edit)</t>
        </is>
      </c>
    </row>
    <row r="45">
      <c r="A45" s="26" t="inlineStr">
        <is>
          <t>Month</t>
        </is>
      </c>
      <c r="B45" s="26" t="inlineStr">
        <is>
          <t>Days</t>
        </is>
      </c>
      <c r="C45" s="26" t="inlineStr">
        <is>
          <t>Bond cost</t>
        </is>
      </c>
      <c r="D45" s="26" t="inlineStr">
        <is>
          <t>Flat|SOFR</t>
        </is>
      </c>
      <c r="E45" s="26" t="inlineStr">
        <is>
          <t>ON%</t>
        </is>
      </c>
      <c r="F45" s="26" t="inlineStr">
        <is>
          <t>1M%</t>
        </is>
      </c>
      <c r="G45" s="26" t="inlineStr">
        <is>
          <t>2M%</t>
        </is>
      </c>
      <c r="H45" s="26" t="inlineStr">
        <is>
          <t>3M%</t>
        </is>
      </c>
      <c r="I45" s="26" t="inlineStr">
        <is>
          <t>Dep inc</t>
        </is>
      </c>
      <c r="J45" s="26" t="inlineStr">
        <is>
          <t>Swap/$</t>
        </is>
      </c>
      <c r="K45" s="26" t="inlineStr">
        <is>
          <t>Gradual cuts|SOFR</t>
        </is>
      </c>
      <c r="L45" s="26" t="inlineStr">
        <is>
          <t>ON%</t>
        </is>
      </c>
      <c r="M45" s="26" t="inlineStr">
        <is>
          <t>1M%</t>
        </is>
      </c>
      <c r="N45" s="26" t="inlineStr">
        <is>
          <t>2M%</t>
        </is>
      </c>
      <c r="O45" s="26" t="inlineStr">
        <is>
          <t>3M%</t>
        </is>
      </c>
      <c r="P45" s="26" t="inlineStr">
        <is>
          <t>Dep inc</t>
        </is>
      </c>
      <c r="Q45" s="26" t="inlineStr">
        <is>
          <t>Swap/$</t>
        </is>
      </c>
      <c r="R45" s="26" t="inlineStr">
        <is>
          <t>Faster cuts|SOFR</t>
        </is>
      </c>
      <c r="S45" s="26" t="inlineStr">
        <is>
          <t>ON%</t>
        </is>
      </c>
      <c r="T45" s="26" t="inlineStr">
        <is>
          <t>1M%</t>
        </is>
      </c>
      <c r="U45" s="26" t="inlineStr">
        <is>
          <t>2M%</t>
        </is>
      </c>
      <c r="V45" s="26" t="inlineStr">
        <is>
          <t>3M%</t>
        </is>
      </c>
      <c r="W45" s="26" t="inlineStr">
        <is>
          <t>Dep inc</t>
        </is>
      </c>
      <c r="X45" s="26" t="inlineStr">
        <is>
          <t>Swap/$</t>
        </is>
      </c>
      <c r="Y45" s="26" t="inlineStr">
        <is>
          <t>Delayed cuts|SOFR</t>
        </is>
      </c>
      <c r="Z45" s="26" t="inlineStr">
        <is>
          <t>ON%</t>
        </is>
      </c>
      <c r="AA45" s="26" t="inlineStr">
        <is>
          <t>1M%</t>
        </is>
      </c>
      <c r="AB45" s="26" t="inlineStr">
        <is>
          <t>2M%</t>
        </is>
      </c>
      <c r="AC45" s="26" t="inlineStr">
        <is>
          <t>3M%</t>
        </is>
      </c>
      <c r="AD45" s="26" t="inlineStr">
        <is>
          <t>Dep inc</t>
        </is>
      </c>
      <c r="AE45" s="26" t="inlineStr">
        <is>
          <t>Swap/$</t>
        </is>
      </c>
      <c r="AF45" s="26" t="inlineStr">
        <is>
          <t>Higher for longer|SOFR</t>
        </is>
      </c>
      <c r="AG45" s="26" t="inlineStr">
        <is>
          <t>ON%</t>
        </is>
      </c>
      <c r="AH45" s="26" t="inlineStr">
        <is>
          <t>1M%</t>
        </is>
      </c>
      <c r="AI45" s="26" t="inlineStr">
        <is>
          <t>2M%</t>
        </is>
      </c>
      <c r="AJ45" s="26" t="inlineStr">
        <is>
          <t>3M%</t>
        </is>
      </c>
      <c r="AK45" s="26" t="inlineStr">
        <is>
          <t>Dep inc</t>
        </is>
      </c>
      <c r="AL45" s="26" t="inlineStr">
        <is>
          <t>Swap/$</t>
        </is>
      </c>
      <c r="AM45" s="26" t="inlineStr">
        <is>
          <t>Hike|SOFR</t>
        </is>
      </c>
      <c r="AN45" s="26" t="inlineStr">
        <is>
          <t>ON%</t>
        </is>
      </c>
      <c r="AO45" s="26" t="inlineStr">
        <is>
          <t>1M%</t>
        </is>
      </c>
      <c r="AP45" s="26" t="inlineStr">
        <is>
          <t>2M%</t>
        </is>
      </c>
      <c r="AQ45" s="26" t="inlineStr">
        <is>
          <t>3M%</t>
        </is>
      </c>
      <c r="AR45" s="26" t="inlineStr">
        <is>
          <t>Dep inc</t>
        </is>
      </c>
      <c r="AS45" s="26" t="inlineStr">
        <is>
          <t>Swap/$</t>
        </is>
      </c>
    </row>
    <row r="46">
      <c r="A46" s="15">
        <f>EDATE($B$5,0)</f>
        <v/>
      </c>
      <c r="B46" s="27">
        <f>EDATE(A46,1)-A46</f>
        <v/>
      </c>
      <c r="C46" s="14">
        <f>SUMPRODUCT(($D$25:$D$31&gt;A46)*$B$25:$B$31*$C$25:$C$31)/100/12</f>
        <v/>
      </c>
      <c r="D46" s="14">
        <f>$B$6+SUMIFS(H$6:H$22,$G$6:$G$22,"&lt;="&amp;A46)/100</f>
        <v/>
      </c>
      <c r="E46" s="14">
        <f>$B$6+$B$8*(D46-$B$6)+$C$17/100</f>
        <v/>
      </c>
      <c r="F46" s="14">
        <f>$B$6+$B$8*(D46-$B$6)+$C$18/100</f>
        <v/>
      </c>
      <c r="G46" s="14">
        <f>$B$6+$B$8*(AVERAGE(INDEX(D$46:D$69,MAX(1,0)):INDEX(D$46:D$69,1))-$B$6)+$C$19/100</f>
        <v/>
      </c>
      <c r="H46" s="14">
        <f>$B$6+$B$8*(AVERAGE(INDEX(D$46:D$69,MAX(1,-1)):INDEX(D$46:D$69,1))-$B$6)+$C$20/100</f>
        <v/>
      </c>
      <c r="I46" s="28">
        <f>($B$17*E46+$B$18*F46+$B$19*G46+$B$20*H46)/100*B46/360</f>
        <v/>
      </c>
      <c r="J46" s="29">
        <f>IF($B$10="RCV",1,-1)*(($B$11/100)-(D46/100+$B$12/10000))*B46/360</f>
        <v/>
      </c>
      <c r="K46" s="14">
        <f>$B$6+SUMIFS(I$6:I$22,$G$6:$G$22,"&lt;="&amp;A46)/100</f>
        <v/>
      </c>
      <c r="L46" s="14">
        <f>$B$6+$B$8*(K46-$B$6)+$C$17/100</f>
        <v/>
      </c>
      <c r="M46" s="14">
        <f>$B$6+$B$8*(K46-$B$6)+$C$18/100</f>
        <v/>
      </c>
      <c r="N46" s="14">
        <f>$B$6+$B$8*(AVERAGE(INDEX(K$46:K$69,MAX(1,0)):INDEX(K$46:K$69,1))-$B$6)+$C$19/100</f>
        <v/>
      </c>
      <c r="O46" s="14">
        <f>$B$6+$B$8*(AVERAGE(INDEX(K$46:K$69,MAX(1,-1)):INDEX(K$46:K$69,1))-$B$6)+$C$20/100</f>
        <v/>
      </c>
      <c r="P46" s="28">
        <f>($B$17*L46+$B$18*M46+$B$19*N46+$B$20*O46)/100*B46/360</f>
        <v/>
      </c>
      <c r="Q46" s="29">
        <f>IF($B$10="RCV",1,-1)*(($B$11/100)-(K46/100+$B$12/10000))*B46/360</f>
        <v/>
      </c>
      <c r="R46" s="14">
        <f>$B$6+SUMIFS(J$6:J$22,$G$6:$G$22,"&lt;="&amp;A46)/100</f>
        <v/>
      </c>
      <c r="S46" s="14">
        <f>$B$6+$B$8*(R46-$B$6)+$C$17/100</f>
        <v/>
      </c>
      <c r="T46" s="14">
        <f>$B$6+$B$8*(R46-$B$6)+$C$18/100</f>
        <v/>
      </c>
      <c r="U46" s="14">
        <f>$B$6+$B$8*(AVERAGE(INDEX(R$46:R$69,MAX(1,0)):INDEX(R$46:R$69,1))-$B$6)+$C$19/100</f>
        <v/>
      </c>
      <c r="V46" s="14">
        <f>$B$6+$B$8*(AVERAGE(INDEX(R$46:R$69,MAX(1,-1)):INDEX(R$46:R$69,1))-$B$6)+$C$20/100</f>
        <v/>
      </c>
      <c r="W46" s="28">
        <f>($B$17*S46+$B$18*T46+$B$19*U46+$B$20*V46)/100*B46/360</f>
        <v/>
      </c>
      <c r="X46" s="29">
        <f>IF($B$10="RCV",1,-1)*(($B$11/100)-(R46/100+$B$12/10000))*B46/360</f>
        <v/>
      </c>
      <c r="Y46" s="14">
        <f>$B$6+SUMIFS(K$6:K$22,$G$6:$G$22,"&lt;="&amp;A46)/100</f>
        <v/>
      </c>
      <c r="Z46" s="14">
        <f>$B$6+$B$8*(Y46-$B$6)+$C$17/100</f>
        <v/>
      </c>
      <c r="AA46" s="14">
        <f>$B$6+$B$8*(Y46-$B$6)+$C$18/100</f>
        <v/>
      </c>
      <c r="AB46" s="14">
        <f>$B$6+$B$8*(AVERAGE(INDEX(Y$46:Y$69,MAX(1,0)):INDEX(Y$46:Y$69,1))-$B$6)+$C$19/100</f>
        <v/>
      </c>
      <c r="AC46" s="14">
        <f>$B$6+$B$8*(AVERAGE(INDEX(Y$46:Y$69,MAX(1,-1)):INDEX(Y$46:Y$69,1))-$B$6)+$C$20/100</f>
        <v/>
      </c>
      <c r="AD46" s="28">
        <f>($B$17*Z46+$B$18*AA46+$B$19*AB46+$B$20*AC46)/100*B46/360</f>
        <v/>
      </c>
      <c r="AE46" s="29">
        <f>IF($B$10="RCV",1,-1)*(($B$11/100)-(Y46/100+$B$12/10000))*B46/360</f>
        <v/>
      </c>
      <c r="AF46" s="14">
        <f>$B$6+SUMIFS(L$6:L$22,$G$6:$G$22,"&lt;="&amp;A46)/100</f>
        <v/>
      </c>
      <c r="AG46" s="14">
        <f>$B$6+$B$8*(AF46-$B$6)+$C$17/100</f>
        <v/>
      </c>
      <c r="AH46" s="14">
        <f>$B$6+$B$8*(AF46-$B$6)+$C$18/100</f>
        <v/>
      </c>
      <c r="AI46" s="14">
        <f>$B$6+$B$8*(AVERAGE(INDEX(AF$46:AF$69,MAX(1,0)):INDEX(AF$46:AF$69,1))-$B$6)+$C$19/100</f>
        <v/>
      </c>
      <c r="AJ46" s="14">
        <f>$B$6+$B$8*(AVERAGE(INDEX(AF$46:AF$69,MAX(1,-1)):INDEX(AF$46:AF$69,1))-$B$6)+$C$20/100</f>
        <v/>
      </c>
      <c r="AK46" s="28">
        <f>($B$17*AG46+$B$18*AH46+$B$19*AI46+$B$20*AJ46)/100*B46/360</f>
        <v/>
      </c>
      <c r="AL46" s="29">
        <f>IF($B$10="RCV",1,-1)*(($B$11/100)-(AF46/100+$B$12/10000))*B46/360</f>
        <v/>
      </c>
      <c r="AM46" s="14">
        <f>$B$6+SUMIFS(M$6:M$22,$G$6:$G$22,"&lt;="&amp;A46)/100</f>
        <v/>
      </c>
      <c r="AN46" s="14">
        <f>$B$6+$B$8*(AM46-$B$6)+$C$17/100</f>
        <v/>
      </c>
      <c r="AO46" s="14">
        <f>$B$6+$B$8*(AM46-$B$6)+$C$18/100</f>
        <v/>
      </c>
      <c r="AP46" s="14">
        <f>$B$6+$B$8*(AVERAGE(INDEX(AM$46:AM$69,MAX(1,0)):INDEX(AM$46:AM$69,1))-$B$6)+$C$19/100</f>
        <v/>
      </c>
      <c r="AQ46" s="14">
        <f>$B$6+$B$8*(AVERAGE(INDEX(AM$46:AM$69,MAX(1,-1)):INDEX(AM$46:AM$69,1))-$B$6)+$C$20/100</f>
        <v/>
      </c>
      <c r="AR46" s="28">
        <f>($B$17*AN46+$B$18*AO46+$B$19*AP46+$B$20*AQ46)/100*B46/360</f>
        <v/>
      </c>
      <c r="AS46" s="29">
        <f>IF($B$10="RCV",1,-1)*(($B$11/100)-(AM46/100+$B$12/10000))*B46/360</f>
        <v/>
      </c>
    </row>
    <row r="47">
      <c r="A47" s="15">
        <f>EDATE($B$5,1)</f>
        <v/>
      </c>
      <c r="B47" s="27">
        <f>EDATE(A47,1)-A47</f>
        <v/>
      </c>
      <c r="C47" s="14">
        <f>SUMPRODUCT(($D$25:$D$31&gt;A47)*$B$25:$B$31*$C$25:$C$31)/100/12</f>
        <v/>
      </c>
      <c r="D47" s="14">
        <f>$B$6+SUMIFS(H$6:H$22,$G$6:$G$22,"&lt;="&amp;A47)/100</f>
        <v/>
      </c>
      <c r="E47" s="14">
        <f>$B$6+$B$8*(D47-$B$6)+$C$17/100</f>
        <v/>
      </c>
      <c r="F47" s="14">
        <f>$B$6+$B$8*(D47-$B$6)+$C$18/100</f>
        <v/>
      </c>
      <c r="G47" s="14">
        <f>$B$6+$B$8*(AVERAGE(INDEX(D$46:D$69,MAX(1,1)):INDEX(D$46:D$69,2))-$B$6)+$C$19/100</f>
        <v/>
      </c>
      <c r="H47" s="14">
        <f>$B$6+$B$8*(AVERAGE(INDEX(D$46:D$69,MAX(1,0)):INDEX(D$46:D$69,2))-$B$6)+$C$20/100</f>
        <v/>
      </c>
      <c r="I47" s="28">
        <f>($B$17*E47+$B$18*F47+$B$19*G47+$B$20*H47)/100*B47/360</f>
        <v/>
      </c>
      <c r="J47" s="29">
        <f>IF($B$10="RCV",1,-1)*(($B$11/100)-(D47/100+$B$12/10000))*B47/360</f>
        <v/>
      </c>
      <c r="K47" s="14">
        <f>$B$6+SUMIFS(I$6:I$22,$G$6:$G$22,"&lt;="&amp;A47)/100</f>
        <v/>
      </c>
      <c r="L47" s="14">
        <f>$B$6+$B$8*(K47-$B$6)+$C$17/100</f>
        <v/>
      </c>
      <c r="M47" s="14">
        <f>$B$6+$B$8*(K47-$B$6)+$C$18/100</f>
        <v/>
      </c>
      <c r="N47" s="14">
        <f>$B$6+$B$8*(AVERAGE(INDEX(K$46:K$69,MAX(1,1)):INDEX(K$46:K$69,2))-$B$6)+$C$19/100</f>
        <v/>
      </c>
      <c r="O47" s="14">
        <f>$B$6+$B$8*(AVERAGE(INDEX(K$46:K$69,MAX(1,0)):INDEX(K$46:K$69,2))-$B$6)+$C$20/100</f>
        <v/>
      </c>
      <c r="P47" s="28">
        <f>($B$17*L47+$B$18*M47+$B$19*N47+$B$20*O47)/100*B47/360</f>
        <v/>
      </c>
      <c r="Q47" s="29">
        <f>IF($B$10="RCV",1,-1)*(($B$11/100)-(K47/100+$B$12/10000))*B47/360</f>
        <v/>
      </c>
      <c r="R47" s="14">
        <f>$B$6+SUMIFS(J$6:J$22,$G$6:$G$22,"&lt;="&amp;A47)/100</f>
        <v/>
      </c>
      <c r="S47" s="14">
        <f>$B$6+$B$8*(R47-$B$6)+$C$17/100</f>
        <v/>
      </c>
      <c r="T47" s="14">
        <f>$B$6+$B$8*(R47-$B$6)+$C$18/100</f>
        <v/>
      </c>
      <c r="U47" s="14">
        <f>$B$6+$B$8*(AVERAGE(INDEX(R$46:R$69,MAX(1,1)):INDEX(R$46:R$69,2))-$B$6)+$C$19/100</f>
        <v/>
      </c>
      <c r="V47" s="14">
        <f>$B$6+$B$8*(AVERAGE(INDEX(R$46:R$69,MAX(1,0)):INDEX(R$46:R$69,2))-$B$6)+$C$20/100</f>
        <v/>
      </c>
      <c r="W47" s="28">
        <f>($B$17*S47+$B$18*T47+$B$19*U47+$B$20*V47)/100*B47/360</f>
        <v/>
      </c>
      <c r="X47" s="29">
        <f>IF($B$10="RCV",1,-1)*(($B$11/100)-(R47/100+$B$12/10000))*B47/360</f>
        <v/>
      </c>
      <c r="Y47" s="14">
        <f>$B$6+SUMIFS(K$6:K$22,$G$6:$G$22,"&lt;="&amp;A47)/100</f>
        <v/>
      </c>
      <c r="Z47" s="14">
        <f>$B$6+$B$8*(Y47-$B$6)+$C$17/100</f>
        <v/>
      </c>
      <c r="AA47" s="14">
        <f>$B$6+$B$8*(Y47-$B$6)+$C$18/100</f>
        <v/>
      </c>
      <c r="AB47" s="14">
        <f>$B$6+$B$8*(AVERAGE(INDEX(Y$46:Y$69,MAX(1,1)):INDEX(Y$46:Y$69,2))-$B$6)+$C$19/100</f>
        <v/>
      </c>
      <c r="AC47" s="14">
        <f>$B$6+$B$8*(AVERAGE(INDEX(Y$46:Y$69,MAX(1,0)):INDEX(Y$46:Y$69,2))-$B$6)+$C$20/100</f>
        <v/>
      </c>
      <c r="AD47" s="28">
        <f>($B$17*Z47+$B$18*AA47+$B$19*AB47+$B$20*AC47)/100*B47/360</f>
        <v/>
      </c>
      <c r="AE47" s="29">
        <f>IF($B$10="RCV",1,-1)*(($B$11/100)-(Y47/100+$B$12/10000))*B47/360</f>
        <v/>
      </c>
      <c r="AF47" s="14">
        <f>$B$6+SUMIFS(L$6:L$22,$G$6:$G$22,"&lt;="&amp;A47)/100</f>
        <v/>
      </c>
      <c r="AG47" s="14">
        <f>$B$6+$B$8*(AF47-$B$6)+$C$17/100</f>
        <v/>
      </c>
      <c r="AH47" s="14">
        <f>$B$6+$B$8*(AF47-$B$6)+$C$18/100</f>
        <v/>
      </c>
      <c r="AI47" s="14">
        <f>$B$6+$B$8*(AVERAGE(INDEX(AF$46:AF$69,MAX(1,1)):INDEX(AF$46:AF$69,2))-$B$6)+$C$19/100</f>
        <v/>
      </c>
      <c r="AJ47" s="14">
        <f>$B$6+$B$8*(AVERAGE(INDEX(AF$46:AF$69,MAX(1,0)):INDEX(AF$46:AF$69,2))-$B$6)+$C$20/100</f>
        <v/>
      </c>
      <c r="AK47" s="28">
        <f>($B$17*AG47+$B$18*AH47+$B$19*AI47+$B$20*AJ47)/100*B47/360</f>
        <v/>
      </c>
      <c r="AL47" s="29">
        <f>IF($B$10="RCV",1,-1)*(($B$11/100)-(AF47/100+$B$12/10000))*B47/360</f>
        <v/>
      </c>
      <c r="AM47" s="14">
        <f>$B$6+SUMIFS(M$6:M$22,$G$6:$G$22,"&lt;="&amp;A47)/100</f>
        <v/>
      </c>
      <c r="AN47" s="14">
        <f>$B$6+$B$8*(AM47-$B$6)+$C$17/100</f>
        <v/>
      </c>
      <c r="AO47" s="14">
        <f>$B$6+$B$8*(AM47-$B$6)+$C$18/100</f>
        <v/>
      </c>
      <c r="AP47" s="14">
        <f>$B$6+$B$8*(AVERAGE(INDEX(AM$46:AM$69,MAX(1,1)):INDEX(AM$46:AM$69,2))-$B$6)+$C$19/100</f>
        <v/>
      </c>
      <c r="AQ47" s="14">
        <f>$B$6+$B$8*(AVERAGE(INDEX(AM$46:AM$69,MAX(1,0)):INDEX(AM$46:AM$69,2))-$B$6)+$C$20/100</f>
        <v/>
      </c>
      <c r="AR47" s="28">
        <f>($B$17*AN47+$B$18*AO47+$B$19*AP47+$B$20*AQ47)/100*B47/360</f>
        <v/>
      </c>
      <c r="AS47" s="29">
        <f>IF($B$10="RCV",1,-1)*(($B$11/100)-(AM47/100+$B$12/10000))*B47/360</f>
        <v/>
      </c>
    </row>
    <row r="48">
      <c r="A48" s="15">
        <f>EDATE($B$5,2)</f>
        <v/>
      </c>
      <c r="B48" s="27">
        <f>EDATE(A48,1)-A48</f>
        <v/>
      </c>
      <c r="C48" s="14">
        <f>SUMPRODUCT(($D$25:$D$31&gt;A48)*$B$25:$B$31*$C$25:$C$31)/100/12</f>
        <v/>
      </c>
      <c r="D48" s="14">
        <f>$B$6+SUMIFS(H$6:H$22,$G$6:$G$22,"&lt;="&amp;A48)/100</f>
        <v/>
      </c>
      <c r="E48" s="14">
        <f>$B$6+$B$8*(D48-$B$6)+$C$17/100</f>
        <v/>
      </c>
      <c r="F48" s="14">
        <f>$B$6+$B$8*(D48-$B$6)+$C$18/100</f>
        <v/>
      </c>
      <c r="G48" s="14">
        <f>$B$6+$B$8*(AVERAGE(INDEX(D$46:D$69,MAX(1,2)):INDEX(D$46:D$69,3))-$B$6)+$C$19/100</f>
        <v/>
      </c>
      <c r="H48" s="14">
        <f>$B$6+$B$8*(AVERAGE(INDEX(D$46:D$69,MAX(1,1)):INDEX(D$46:D$69,3))-$B$6)+$C$20/100</f>
        <v/>
      </c>
      <c r="I48" s="28">
        <f>($B$17*E48+$B$18*F48+$B$19*G48+$B$20*H48)/100*B48/360</f>
        <v/>
      </c>
      <c r="J48" s="29">
        <f>IF($B$10="RCV",1,-1)*(($B$11/100)-(D48/100+$B$12/10000))*B48/360</f>
        <v/>
      </c>
      <c r="K48" s="14">
        <f>$B$6+SUMIFS(I$6:I$22,$G$6:$G$22,"&lt;="&amp;A48)/100</f>
        <v/>
      </c>
      <c r="L48" s="14">
        <f>$B$6+$B$8*(K48-$B$6)+$C$17/100</f>
        <v/>
      </c>
      <c r="M48" s="14">
        <f>$B$6+$B$8*(K48-$B$6)+$C$18/100</f>
        <v/>
      </c>
      <c r="N48" s="14">
        <f>$B$6+$B$8*(AVERAGE(INDEX(K$46:K$69,MAX(1,2)):INDEX(K$46:K$69,3))-$B$6)+$C$19/100</f>
        <v/>
      </c>
      <c r="O48" s="14">
        <f>$B$6+$B$8*(AVERAGE(INDEX(K$46:K$69,MAX(1,1)):INDEX(K$46:K$69,3))-$B$6)+$C$20/100</f>
        <v/>
      </c>
      <c r="P48" s="28">
        <f>($B$17*L48+$B$18*M48+$B$19*N48+$B$20*O48)/100*B48/360</f>
        <v/>
      </c>
      <c r="Q48" s="29">
        <f>IF($B$10="RCV",1,-1)*(($B$11/100)-(K48/100+$B$12/10000))*B48/360</f>
        <v/>
      </c>
      <c r="R48" s="14">
        <f>$B$6+SUMIFS(J$6:J$22,$G$6:$G$22,"&lt;="&amp;A48)/100</f>
        <v/>
      </c>
      <c r="S48" s="14">
        <f>$B$6+$B$8*(R48-$B$6)+$C$17/100</f>
        <v/>
      </c>
      <c r="T48" s="14">
        <f>$B$6+$B$8*(R48-$B$6)+$C$18/100</f>
        <v/>
      </c>
      <c r="U48" s="14">
        <f>$B$6+$B$8*(AVERAGE(INDEX(R$46:R$69,MAX(1,2)):INDEX(R$46:R$69,3))-$B$6)+$C$19/100</f>
        <v/>
      </c>
      <c r="V48" s="14">
        <f>$B$6+$B$8*(AVERAGE(INDEX(R$46:R$69,MAX(1,1)):INDEX(R$46:R$69,3))-$B$6)+$C$20/100</f>
        <v/>
      </c>
      <c r="W48" s="28">
        <f>($B$17*S48+$B$18*T48+$B$19*U48+$B$20*V48)/100*B48/360</f>
        <v/>
      </c>
      <c r="X48" s="29">
        <f>IF($B$10="RCV",1,-1)*(($B$11/100)-(R48/100+$B$12/10000))*B48/360</f>
        <v/>
      </c>
      <c r="Y48" s="14">
        <f>$B$6+SUMIFS(K$6:K$22,$G$6:$G$22,"&lt;="&amp;A48)/100</f>
        <v/>
      </c>
      <c r="Z48" s="14">
        <f>$B$6+$B$8*(Y48-$B$6)+$C$17/100</f>
        <v/>
      </c>
      <c r="AA48" s="14">
        <f>$B$6+$B$8*(Y48-$B$6)+$C$18/100</f>
        <v/>
      </c>
      <c r="AB48" s="14">
        <f>$B$6+$B$8*(AVERAGE(INDEX(Y$46:Y$69,MAX(1,2)):INDEX(Y$46:Y$69,3))-$B$6)+$C$19/100</f>
        <v/>
      </c>
      <c r="AC48" s="14">
        <f>$B$6+$B$8*(AVERAGE(INDEX(Y$46:Y$69,MAX(1,1)):INDEX(Y$46:Y$69,3))-$B$6)+$C$20/100</f>
        <v/>
      </c>
      <c r="AD48" s="28">
        <f>($B$17*Z48+$B$18*AA48+$B$19*AB48+$B$20*AC48)/100*B48/360</f>
        <v/>
      </c>
      <c r="AE48" s="29">
        <f>IF($B$10="RCV",1,-1)*(($B$11/100)-(Y48/100+$B$12/10000))*B48/360</f>
        <v/>
      </c>
      <c r="AF48" s="14">
        <f>$B$6+SUMIFS(L$6:L$22,$G$6:$G$22,"&lt;="&amp;A48)/100</f>
        <v/>
      </c>
      <c r="AG48" s="14">
        <f>$B$6+$B$8*(AF48-$B$6)+$C$17/100</f>
        <v/>
      </c>
      <c r="AH48" s="14">
        <f>$B$6+$B$8*(AF48-$B$6)+$C$18/100</f>
        <v/>
      </c>
      <c r="AI48" s="14">
        <f>$B$6+$B$8*(AVERAGE(INDEX(AF$46:AF$69,MAX(1,2)):INDEX(AF$46:AF$69,3))-$B$6)+$C$19/100</f>
        <v/>
      </c>
      <c r="AJ48" s="14">
        <f>$B$6+$B$8*(AVERAGE(INDEX(AF$46:AF$69,MAX(1,1)):INDEX(AF$46:AF$69,3))-$B$6)+$C$20/100</f>
        <v/>
      </c>
      <c r="AK48" s="28">
        <f>($B$17*AG48+$B$18*AH48+$B$19*AI48+$B$20*AJ48)/100*B48/360</f>
        <v/>
      </c>
      <c r="AL48" s="29">
        <f>IF($B$10="RCV",1,-1)*(($B$11/100)-(AF48/100+$B$12/10000))*B48/360</f>
        <v/>
      </c>
      <c r="AM48" s="14">
        <f>$B$6+SUMIFS(M$6:M$22,$G$6:$G$22,"&lt;="&amp;A48)/100</f>
        <v/>
      </c>
      <c r="AN48" s="14">
        <f>$B$6+$B$8*(AM48-$B$6)+$C$17/100</f>
        <v/>
      </c>
      <c r="AO48" s="14">
        <f>$B$6+$B$8*(AM48-$B$6)+$C$18/100</f>
        <v/>
      </c>
      <c r="AP48" s="14">
        <f>$B$6+$B$8*(AVERAGE(INDEX(AM$46:AM$69,MAX(1,2)):INDEX(AM$46:AM$69,3))-$B$6)+$C$19/100</f>
        <v/>
      </c>
      <c r="AQ48" s="14">
        <f>$B$6+$B$8*(AVERAGE(INDEX(AM$46:AM$69,MAX(1,1)):INDEX(AM$46:AM$69,3))-$B$6)+$C$20/100</f>
        <v/>
      </c>
      <c r="AR48" s="28">
        <f>($B$17*AN48+$B$18*AO48+$B$19*AP48+$B$20*AQ48)/100*B48/360</f>
        <v/>
      </c>
      <c r="AS48" s="29">
        <f>IF($B$10="RCV",1,-1)*(($B$11/100)-(AM48/100+$B$12/10000))*B48/360</f>
        <v/>
      </c>
    </row>
    <row r="49">
      <c r="A49" s="15">
        <f>EDATE($B$5,3)</f>
        <v/>
      </c>
      <c r="B49" s="27">
        <f>EDATE(A49,1)-A49</f>
        <v/>
      </c>
      <c r="C49" s="14">
        <f>SUMPRODUCT(($D$25:$D$31&gt;A49)*$B$25:$B$31*$C$25:$C$31)/100/12</f>
        <v/>
      </c>
      <c r="D49" s="14">
        <f>$B$6+SUMIFS(H$6:H$22,$G$6:$G$22,"&lt;="&amp;A49)/100</f>
        <v/>
      </c>
      <c r="E49" s="14">
        <f>$B$6+$B$8*(D49-$B$6)+$C$17/100</f>
        <v/>
      </c>
      <c r="F49" s="14">
        <f>$B$6+$B$8*(D49-$B$6)+$C$18/100</f>
        <v/>
      </c>
      <c r="G49" s="14">
        <f>$B$6+$B$8*(AVERAGE(INDEX(D$46:D$69,MAX(1,3)):INDEX(D$46:D$69,4))-$B$6)+$C$19/100</f>
        <v/>
      </c>
      <c r="H49" s="14">
        <f>$B$6+$B$8*(AVERAGE(INDEX(D$46:D$69,MAX(1,2)):INDEX(D$46:D$69,4))-$B$6)+$C$20/100</f>
        <v/>
      </c>
      <c r="I49" s="28">
        <f>($B$17*E49+$B$18*F49+$B$19*G49+$B$20*H49)/100*B49/360</f>
        <v/>
      </c>
      <c r="J49" s="29">
        <f>IF($B$10="RCV",1,-1)*(($B$11/100)-(D49/100+$B$12/10000))*B49/360</f>
        <v/>
      </c>
      <c r="K49" s="14">
        <f>$B$6+SUMIFS(I$6:I$22,$G$6:$G$22,"&lt;="&amp;A49)/100</f>
        <v/>
      </c>
      <c r="L49" s="14">
        <f>$B$6+$B$8*(K49-$B$6)+$C$17/100</f>
        <v/>
      </c>
      <c r="M49" s="14">
        <f>$B$6+$B$8*(K49-$B$6)+$C$18/100</f>
        <v/>
      </c>
      <c r="N49" s="14">
        <f>$B$6+$B$8*(AVERAGE(INDEX(K$46:K$69,MAX(1,3)):INDEX(K$46:K$69,4))-$B$6)+$C$19/100</f>
        <v/>
      </c>
      <c r="O49" s="14">
        <f>$B$6+$B$8*(AVERAGE(INDEX(K$46:K$69,MAX(1,2)):INDEX(K$46:K$69,4))-$B$6)+$C$20/100</f>
        <v/>
      </c>
      <c r="P49" s="28">
        <f>($B$17*L49+$B$18*M49+$B$19*N49+$B$20*O49)/100*B49/360</f>
        <v/>
      </c>
      <c r="Q49" s="29">
        <f>IF($B$10="RCV",1,-1)*(($B$11/100)-(K49/100+$B$12/10000))*B49/360</f>
        <v/>
      </c>
      <c r="R49" s="14">
        <f>$B$6+SUMIFS(J$6:J$22,$G$6:$G$22,"&lt;="&amp;A49)/100</f>
        <v/>
      </c>
      <c r="S49" s="14">
        <f>$B$6+$B$8*(R49-$B$6)+$C$17/100</f>
        <v/>
      </c>
      <c r="T49" s="14">
        <f>$B$6+$B$8*(R49-$B$6)+$C$18/100</f>
        <v/>
      </c>
      <c r="U49" s="14">
        <f>$B$6+$B$8*(AVERAGE(INDEX(R$46:R$69,MAX(1,3)):INDEX(R$46:R$69,4))-$B$6)+$C$19/100</f>
        <v/>
      </c>
      <c r="V49" s="14">
        <f>$B$6+$B$8*(AVERAGE(INDEX(R$46:R$69,MAX(1,2)):INDEX(R$46:R$69,4))-$B$6)+$C$20/100</f>
        <v/>
      </c>
      <c r="W49" s="28">
        <f>($B$17*S49+$B$18*T49+$B$19*U49+$B$20*V49)/100*B49/360</f>
        <v/>
      </c>
      <c r="X49" s="29">
        <f>IF($B$10="RCV",1,-1)*(($B$11/100)-(R49/100+$B$12/10000))*B49/360</f>
        <v/>
      </c>
      <c r="Y49" s="14">
        <f>$B$6+SUMIFS(K$6:K$22,$G$6:$G$22,"&lt;="&amp;A49)/100</f>
        <v/>
      </c>
      <c r="Z49" s="14">
        <f>$B$6+$B$8*(Y49-$B$6)+$C$17/100</f>
        <v/>
      </c>
      <c r="AA49" s="14">
        <f>$B$6+$B$8*(Y49-$B$6)+$C$18/100</f>
        <v/>
      </c>
      <c r="AB49" s="14">
        <f>$B$6+$B$8*(AVERAGE(INDEX(Y$46:Y$69,MAX(1,3)):INDEX(Y$46:Y$69,4))-$B$6)+$C$19/100</f>
        <v/>
      </c>
      <c r="AC49" s="14">
        <f>$B$6+$B$8*(AVERAGE(INDEX(Y$46:Y$69,MAX(1,2)):INDEX(Y$46:Y$69,4))-$B$6)+$C$20/100</f>
        <v/>
      </c>
      <c r="AD49" s="28">
        <f>($B$17*Z49+$B$18*AA49+$B$19*AB49+$B$20*AC49)/100*B49/360</f>
        <v/>
      </c>
      <c r="AE49" s="29">
        <f>IF($B$10="RCV",1,-1)*(($B$11/100)-(Y49/100+$B$12/10000))*B49/360</f>
        <v/>
      </c>
      <c r="AF49" s="14">
        <f>$B$6+SUMIFS(L$6:L$22,$G$6:$G$22,"&lt;="&amp;A49)/100</f>
        <v/>
      </c>
      <c r="AG49" s="14">
        <f>$B$6+$B$8*(AF49-$B$6)+$C$17/100</f>
        <v/>
      </c>
      <c r="AH49" s="14">
        <f>$B$6+$B$8*(AF49-$B$6)+$C$18/100</f>
        <v/>
      </c>
      <c r="AI49" s="14">
        <f>$B$6+$B$8*(AVERAGE(INDEX(AF$46:AF$69,MAX(1,3)):INDEX(AF$46:AF$69,4))-$B$6)+$C$19/100</f>
        <v/>
      </c>
      <c r="AJ49" s="14">
        <f>$B$6+$B$8*(AVERAGE(INDEX(AF$46:AF$69,MAX(1,2)):INDEX(AF$46:AF$69,4))-$B$6)+$C$20/100</f>
        <v/>
      </c>
      <c r="AK49" s="28">
        <f>($B$17*AG49+$B$18*AH49+$B$19*AI49+$B$20*AJ49)/100*B49/360</f>
        <v/>
      </c>
      <c r="AL49" s="29">
        <f>IF($B$10="RCV",1,-1)*(($B$11/100)-(AF49/100+$B$12/10000))*B49/360</f>
        <v/>
      </c>
      <c r="AM49" s="14">
        <f>$B$6+SUMIFS(M$6:M$22,$G$6:$G$22,"&lt;="&amp;A49)/100</f>
        <v/>
      </c>
      <c r="AN49" s="14">
        <f>$B$6+$B$8*(AM49-$B$6)+$C$17/100</f>
        <v/>
      </c>
      <c r="AO49" s="14">
        <f>$B$6+$B$8*(AM49-$B$6)+$C$18/100</f>
        <v/>
      </c>
      <c r="AP49" s="14">
        <f>$B$6+$B$8*(AVERAGE(INDEX(AM$46:AM$69,MAX(1,3)):INDEX(AM$46:AM$69,4))-$B$6)+$C$19/100</f>
        <v/>
      </c>
      <c r="AQ49" s="14">
        <f>$B$6+$B$8*(AVERAGE(INDEX(AM$46:AM$69,MAX(1,2)):INDEX(AM$46:AM$69,4))-$B$6)+$C$20/100</f>
        <v/>
      </c>
      <c r="AR49" s="28">
        <f>($B$17*AN49+$B$18*AO49+$B$19*AP49+$B$20*AQ49)/100*B49/360</f>
        <v/>
      </c>
      <c r="AS49" s="29">
        <f>IF($B$10="RCV",1,-1)*(($B$11/100)-(AM49/100+$B$12/10000))*B49/360</f>
        <v/>
      </c>
    </row>
    <row r="50">
      <c r="A50" s="15">
        <f>EDATE($B$5,4)</f>
        <v/>
      </c>
      <c r="B50" s="27">
        <f>EDATE(A50,1)-A50</f>
        <v/>
      </c>
      <c r="C50" s="14">
        <f>SUMPRODUCT(($D$25:$D$31&gt;A50)*$B$25:$B$31*$C$25:$C$31)/100/12</f>
        <v/>
      </c>
      <c r="D50" s="14">
        <f>$B$6+SUMIFS(H$6:H$22,$G$6:$G$22,"&lt;="&amp;A50)/100</f>
        <v/>
      </c>
      <c r="E50" s="14">
        <f>$B$6+$B$8*(D50-$B$6)+$C$17/100</f>
        <v/>
      </c>
      <c r="F50" s="14">
        <f>$B$6+$B$8*(D50-$B$6)+$C$18/100</f>
        <v/>
      </c>
      <c r="G50" s="14">
        <f>$B$6+$B$8*(AVERAGE(INDEX(D$46:D$69,MAX(1,4)):INDEX(D$46:D$69,5))-$B$6)+$C$19/100</f>
        <v/>
      </c>
      <c r="H50" s="14">
        <f>$B$6+$B$8*(AVERAGE(INDEX(D$46:D$69,MAX(1,3)):INDEX(D$46:D$69,5))-$B$6)+$C$20/100</f>
        <v/>
      </c>
      <c r="I50" s="28">
        <f>($B$17*E50+$B$18*F50+$B$19*G50+$B$20*H50)/100*B50/360</f>
        <v/>
      </c>
      <c r="J50" s="29">
        <f>IF($B$10="RCV",1,-1)*(($B$11/100)-(D50/100+$B$12/10000))*B50/360</f>
        <v/>
      </c>
      <c r="K50" s="14">
        <f>$B$6+SUMIFS(I$6:I$22,$G$6:$G$22,"&lt;="&amp;A50)/100</f>
        <v/>
      </c>
      <c r="L50" s="14">
        <f>$B$6+$B$8*(K50-$B$6)+$C$17/100</f>
        <v/>
      </c>
      <c r="M50" s="14">
        <f>$B$6+$B$8*(K50-$B$6)+$C$18/100</f>
        <v/>
      </c>
      <c r="N50" s="14">
        <f>$B$6+$B$8*(AVERAGE(INDEX(K$46:K$69,MAX(1,4)):INDEX(K$46:K$69,5))-$B$6)+$C$19/100</f>
        <v/>
      </c>
      <c r="O50" s="14">
        <f>$B$6+$B$8*(AVERAGE(INDEX(K$46:K$69,MAX(1,3)):INDEX(K$46:K$69,5))-$B$6)+$C$20/100</f>
        <v/>
      </c>
      <c r="P50" s="28">
        <f>($B$17*L50+$B$18*M50+$B$19*N50+$B$20*O50)/100*B50/360</f>
        <v/>
      </c>
      <c r="Q50" s="29">
        <f>IF($B$10="RCV",1,-1)*(($B$11/100)-(K50/100+$B$12/10000))*B50/360</f>
        <v/>
      </c>
      <c r="R50" s="14">
        <f>$B$6+SUMIFS(J$6:J$22,$G$6:$G$22,"&lt;="&amp;A50)/100</f>
        <v/>
      </c>
      <c r="S50" s="14">
        <f>$B$6+$B$8*(R50-$B$6)+$C$17/100</f>
        <v/>
      </c>
      <c r="T50" s="14">
        <f>$B$6+$B$8*(R50-$B$6)+$C$18/100</f>
        <v/>
      </c>
      <c r="U50" s="14">
        <f>$B$6+$B$8*(AVERAGE(INDEX(R$46:R$69,MAX(1,4)):INDEX(R$46:R$69,5))-$B$6)+$C$19/100</f>
        <v/>
      </c>
      <c r="V50" s="14">
        <f>$B$6+$B$8*(AVERAGE(INDEX(R$46:R$69,MAX(1,3)):INDEX(R$46:R$69,5))-$B$6)+$C$20/100</f>
        <v/>
      </c>
      <c r="W50" s="28">
        <f>($B$17*S50+$B$18*T50+$B$19*U50+$B$20*V50)/100*B50/360</f>
        <v/>
      </c>
      <c r="X50" s="29">
        <f>IF($B$10="RCV",1,-1)*(($B$11/100)-(R50/100+$B$12/10000))*B50/360</f>
        <v/>
      </c>
      <c r="Y50" s="14">
        <f>$B$6+SUMIFS(K$6:K$22,$G$6:$G$22,"&lt;="&amp;A50)/100</f>
        <v/>
      </c>
      <c r="Z50" s="14">
        <f>$B$6+$B$8*(Y50-$B$6)+$C$17/100</f>
        <v/>
      </c>
      <c r="AA50" s="14">
        <f>$B$6+$B$8*(Y50-$B$6)+$C$18/100</f>
        <v/>
      </c>
      <c r="AB50" s="14">
        <f>$B$6+$B$8*(AVERAGE(INDEX(Y$46:Y$69,MAX(1,4)):INDEX(Y$46:Y$69,5))-$B$6)+$C$19/100</f>
        <v/>
      </c>
      <c r="AC50" s="14">
        <f>$B$6+$B$8*(AVERAGE(INDEX(Y$46:Y$69,MAX(1,3)):INDEX(Y$46:Y$69,5))-$B$6)+$C$20/100</f>
        <v/>
      </c>
      <c r="AD50" s="28">
        <f>($B$17*Z50+$B$18*AA50+$B$19*AB50+$B$20*AC50)/100*B50/360</f>
        <v/>
      </c>
      <c r="AE50" s="29">
        <f>IF($B$10="RCV",1,-1)*(($B$11/100)-(Y50/100+$B$12/10000))*B50/360</f>
        <v/>
      </c>
      <c r="AF50" s="14">
        <f>$B$6+SUMIFS(L$6:L$22,$G$6:$G$22,"&lt;="&amp;A50)/100</f>
        <v/>
      </c>
      <c r="AG50" s="14">
        <f>$B$6+$B$8*(AF50-$B$6)+$C$17/100</f>
        <v/>
      </c>
      <c r="AH50" s="14">
        <f>$B$6+$B$8*(AF50-$B$6)+$C$18/100</f>
        <v/>
      </c>
      <c r="AI50" s="14">
        <f>$B$6+$B$8*(AVERAGE(INDEX(AF$46:AF$69,MAX(1,4)):INDEX(AF$46:AF$69,5))-$B$6)+$C$19/100</f>
        <v/>
      </c>
      <c r="AJ50" s="14">
        <f>$B$6+$B$8*(AVERAGE(INDEX(AF$46:AF$69,MAX(1,3)):INDEX(AF$46:AF$69,5))-$B$6)+$C$20/100</f>
        <v/>
      </c>
      <c r="AK50" s="28">
        <f>($B$17*AG50+$B$18*AH50+$B$19*AI50+$B$20*AJ50)/100*B50/360</f>
        <v/>
      </c>
      <c r="AL50" s="29">
        <f>IF($B$10="RCV",1,-1)*(($B$11/100)-(AF50/100+$B$12/10000))*B50/360</f>
        <v/>
      </c>
      <c r="AM50" s="14">
        <f>$B$6+SUMIFS(M$6:M$22,$G$6:$G$22,"&lt;="&amp;A50)/100</f>
        <v/>
      </c>
      <c r="AN50" s="14">
        <f>$B$6+$B$8*(AM50-$B$6)+$C$17/100</f>
        <v/>
      </c>
      <c r="AO50" s="14">
        <f>$B$6+$B$8*(AM50-$B$6)+$C$18/100</f>
        <v/>
      </c>
      <c r="AP50" s="14">
        <f>$B$6+$B$8*(AVERAGE(INDEX(AM$46:AM$69,MAX(1,4)):INDEX(AM$46:AM$69,5))-$B$6)+$C$19/100</f>
        <v/>
      </c>
      <c r="AQ50" s="14">
        <f>$B$6+$B$8*(AVERAGE(INDEX(AM$46:AM$69,MAX(1,3)):INDEX(AM$46:AM$69,5))-$B$6)+$C$20/100</f>
        <v/>
      </c>
      <c r="AR50" s="28">
        <f>($B$17*AN50+$B$18*AO50+$B$19*AP50+$B$20*AQ50)/100*B50/360</f>
        <v/>
      </c>
      <c r="AS50" s="29">
        <f>IF($B$10="RCV",1,-1)*(($B$11/100)-(AM50/100+$B$12/10000))*B50/360</f>
        <v/>
      </c>
    </row>
    <row r="51">
      <c r="A51" s="15">
        <f>EDATE($B$5,5)</f>
        <v/>
      </c>
      <c r="B51" s="27">
        <f>EDATE(A51,1)-A51</f>
        <v/>
      </c>
      <c r="C51" s="14">
        <f>SUMPRODUCT(($D$25:$D$31&gt;A51)*$B$25:$B$31*$C$25:$C$31)/100/12</f>
        <v/>
      </c>
      <c r="D51" s="14">
        <f>$B$6+SUMIFS(H$6:H$22,$G$6:$G$22,"&lt;="&amp;A51)/100</f>
        <v/>
      </c>
      <c r="E51" s="14">
        <f>$B$6+$B$8*(D51-$B$6)+$C$17/100</f>
        <v/>
      </c>
      <c r="F51" s="14">
        <f>$B$6+$B$8*(D51-$B$6)+$C$18/100</f>
        <v/>
      </c>
      <c r="G51" s="14">
        <f>$B$6+$B$8*(AVERAGE(INDEX(D$46:D$69,MAX(1,5)):INDEX(D$46:D$69,6))-$B$6)+$C$19/100</f>
        <v/>
      </c>
      <c r="H51" s="14">
        <f>$B$6+$B$8*(AVERAGE(INDEX(D$46:D$69,MAX(1,4)):INDEX(D$46:D$69,6))-$B$6)+$C$20/100</f>
        <v/>
      </c>
      <c r="I51" s="28">
        <f>($B$17*E51+$B$18*F51+$B$19*G51+$B$20*H51)/100*B51/360</f>
        <v/>
      </c>
      <c r="J51" s="29">
        <f>IF($B$10="RCV",1,-1)*(($B$11/100)-(D51/100+$B$12/10000))*B51/360</f>
        <v/>
      </c>
      <c r="K51" s="14">
        <f>$B$6+SUMIFS(I$6:I$22,$G$6:$G$22,"&lt;="&amp;A51)/100</f>
        <v/>
      </c>
      <c r="L51" s="14">
        <f>$B$6+$B$8*(K51-$B$6)+$C$17/100</f>
        <v/>
      </c>
      <c r="M51" s="14">
        <f>$B$6+$B$8*(K51-$B$6)+$C$18/100</f>
        <v/>
      </c>
      <c r="N51" s="14">
        <f>$B$6+$B$8*(AVERAGE(INDEX(K$46:K$69,MAX(1,5)):INDEX(K$46:K$69,6))-$B$6)+$C$19/100</f>
        <v/>
      </c>
      <c r="O51" s="14">
        <f>$B$6+$B$8*(AVERAGE(INDEX(K$46:K$69,MAX(1,4)):INDEX(K$46:K$69,6))-$B$6)+$C$20/100</f>
        <v/>
      </c>
      <c r="P51" s="28">
        <f>($B$17*L51+$B$18*M51+$B$19*N51+$B$20*O51)/100*B51/360</f>
        <v/>
      </c>
      <c r="Q51" s="29">
        <f>IF($B$10="RCV",1,-1)*(($B$11/100)-(K51/100+$B$12/10000))*B51/360</f>
        <v/>
      </c>
      <c r="R51" s="14">
        <f>$B$6+SUMIFS(J$6:J$22,$G$6:$G$22,"&lt;="&amp;A51)/100</f>
        <v/>
      </c>
      <c r="S51" s="14">
        <f>$B$6+$B$8*(R51-$B$6)+$C$17/100</f>
        <v/>
      </c>
      <c r="T51" s="14">
        <f>$B$6+$B$8*(R51-$B$6)+$C$18/100</f>
        <v/>
      </c>
      <c r="U51" s="14">
        <f>$B$6+$B$8*(AVERAGE(INDEX(R$46:R$69,MAX(1,5)):INDEX(R$46:R$69,6))-$B$6)+$C$19/100</f>
        <v/>
      </c>
      <c r="V51" s="14">
        <f>$B$6+$B$8*(AVERAGE(INDEX(R$46:R$69,MAX(1,4)):INDEX(R$46:R$69,6))-$B$6)+$C$20/100</f>
        <v/>
      </c>
      <c r="W51" s="28">
        <f>($B$17*S51+$B$18*T51+$B$19*U51+$B$20*V51)/100*B51/360</f>
        <v/>
      </c>
      <c r="X51" s="29">
        <f>IF($B$10="RCV",1,-1)*(($B$11/100)-(R51/100+$B$12/10000))*B51/360</f>
        <v/>
      </c>
      <c r="Y51" s="14">
        <f>$B$6+SUMIFS(K$6:K$22,$G$6:$G$22,"&lt;="&amp;A51)/100</f>
        <v/>
      </c>
      <c r="Z51" s="14">
        <f>$B$6+$B$8*(Y51-$B$6)+$C$17/100</f>
        <v/>
      </c>
      <c r="AA51" s="14">
        <f>$B$6+$B$8*(Y51-$B$6)+$C$18/100</f>
        <v/>
      </c>
      <c r="AB51" s="14">
        <f>$B$6+$B$8*(AVERAGE(INDEX(Y$46:Y$69,MAX(1,5)):INDEX(Y$46:Y$69,6))-$B$6)+$C$19/100</f>
        <v/>
      </c>
      <c r="AC51" s="14">
        <f>$B$6+$B$8*(AVERAGE(INDEX(Y$46:Y$69,MAX(1,4)):INDEX(Y$46:Y$69,6))-$B$6)+$C$20/100</f>
        <v/>
      </c>
      <c r="AD51" s="28">
        <f>($B$17*Z51+$B$18*AA51+$B$19*AB51+$B$20*AC51)/100*B51/360</f>
        <v/>
      </c>
      <c r="AE51" s="29">
        <f>IF($B$10="RCV",1,-1)*(($B$11/100)-(Y51/100+$B$12/10000))*B51/360</f>
        <v/>
      </c>
      <c r="AF51" s="14">
        <f>$B$6+SUMIFS(L$6:L$22,$G$6:$G$22,"&lt;="&amp;A51)/100</f>
        <v/>
      </c>
      <c r="AG51" s="14">
        <f>$B$6+$B$8*(AF51-$B$6)+$C$17/100</f>
        <v/>
      </c>
      <c r="AH51" s="14">
        <f>$B$6+$B$8*(AF51-$B$6)+$C$18/100</f>
        <v/>
      </c>
      <c r="AI51" s="14">
        <f>$B$6+$B$8*(AVERAGE(INDEX(AF$46:AF$69,MAX(1,5)):INDEX(AF$46:AF$69,6))-$B$6)+$C$19/100</f>
        <v/>
      </c>
      <c r="AJ51" s="14">
        <f>$B$6+$B$8*(AVERAGE(INDEX(AF$46:AF$69,MAX(1,4)):INDEX(AF$46:AF$69,6))-$B$6)+$C$20/100</f>
        <v/>
      </c>
      <c r="AK51" s="28">
        <f>($B$17*AG51+$B$18*AH51+$B$19*AI51+$B$20*AJ51)/100*B51/360</f>
        <v/>
      </c>
      <c r="AL51" s="29">
        <f>IF($B$10="RCV",1,-1)*(($B$11/100)-(AF51/100+$B$12/10000))*B51/360</f>
        <v/>
      </c>
      <c r="AM51" s="14">
        <f>$B$6+SUMIFS(M$6:M$22,$G$6:$G$22,"&lt;="&amp;A51)/100</f>
        <v/>
      </c>
      <c r="AN51" s="14">
        <f>$B$6+$B$8*(AM51-$B$6)+$C$17/100</f>
        <v/>
      </c>
      <c r="AO51" s="14">
        <f>$B$6+$B$8*(AM51-$B$6)+$C$18/100</f>
        <v/>
      </c>
      <c r="AP51" s="14">
        <f>$B$6+$B$8*(AVERAGE(INDEX(AM$46:AM$69,MAX(1,5)):INDEX(AM$46:AM$69,6))-$B$6)+$C$19/100</f>
        <v/>
      </c>
      <c r="AQ51" s="14">
        <f>$B$6+$B$8*(AVERAGE(INDEX(AM$46:AM$69,MAX(1,4)):INDEX(AM$46:AM$69,6))-$B$6)+$C$20/100</f>
        <v/>
      </c>
      <c r="AR51" s="28">
        <f>($B$17*AN51+$B$18*AO51+$B$19*AP51+$B$20*AQ51)/100*B51/360</f>
        <v/>
      </c>
      <c r="AS51" s="29">
        <f>IF($B$10="RCV",1,-1)*(($B$11/100)-(AM51/100+$B$12/10000))*B51/360</f>
        <v/>
      </c>
    </row>
    <row r="52">
      <c r="A52" s="15">
        <f>EDATE($B$5,6)</f>
        <v/>
      </c>
      <c r="B52" s="27">
        <f>EDATE(A52,1)-A52</f>
        <v/>
      </c>
      <c r="C52" s="14">
        <f>SUMPRODUCT(($D$25:$D$31&gt;A52)*$B$25:$B$31*$C$25:$C$31)/100/12</f>
        <v/>
      </c>
      <c r="D52" s="14">
        <f>$B$6+SUMIFS(H$6:H$22,$G$6:$G$22,"&lt;="&amp;A52)/100</f>
        <v/>
      </c>
      <c r="E52" s="14">
        <f>$B$6+$B$8*(D52-$B$6)+$C$17/100</f>
        <v/>
      </c>
      <c r="F52" s="14">
        <f>$B$6+$B$8*(D52-$B$6)+$C$18/100</f>
        <v/>
      </c>
      <c r="G52" s="14">
        <f>$B$6+$B$8*(AVERAGE(INDEX(D$46:D$69,MAX(1,6)):INDEX(D$46:D$69,7))-$B$6)+$C$19/100</f>
        <v/>
      </c>
      <c r="H52" s="14">
        <f>$B$6+$B$8*(AVERAGE(INDEX(D$46:D$69,MAX(1,5)):INDEX(D$46:D$69,7))-$B$6)+$C$20/100</f>
        <v/>
      </c>
      <c r="I52" s="28">
        <f>($B$17*E52+$B$18*F52+$B$19*G52+$B$20*H52)/100*B52/360</f>
        <v/>
      </c>
      <c r="J52" s="29">
        <f>IF($B$10="RCV",1,-1)*(($B$11/100)-(D52/100+$B$12/10000))*B52/360</f>
        <v/>
      </c>
      <c r="K52" s="14">
        <f>$B$6+SUMIFS(I$6:I$22,$G$6:$G$22,"&lt;="&amp;A52)/100</f>
        <v/>
      </c>
      <c r="L52" s="14">
        <f>$B$6+$B$8*(K52-$B$6)+$C$17/100</f>
        <v/>
      </c>
      <c r="M52" s="14">
        <f>$B$6+$B$8*(K52-$B$6)+$C$18/100</f>
        <v/>
      </c>
      <c r="N52" s="14">
        <f>$B$6+$B$8*(AVERAGE(INDEX(K$46:K$69,MAX(1,6)):INDEX(K$46:K$69,7))-$B$6)+$C$19/100</f>
        <v/>
      </c>
      <c r="O52" s="14">
        <f>$B$6+$B$8*(AVERAGE(INDEX(K$46:K$69,MAX(1,5)):INDEX(K$46:K$69,7))-$B$6)+$C$20/100</f>
        <v/>
      </c>
      <c r="P52" s="28">
        <f>($B$17*L52+$B$18*M52+$B$19*N52+$B$20*O52)/100*B52/360</f>
        <v/>
      </c>
      <c r="Q52" s="29">
        <f>IF($B$10="RCV",1,-1)*(($B$11/100)-(K52/100+$B$12/10000))*B52/360</f>
        <v/>
      </c>
      <c r="R52" s="14">
        <f>$B$6+SUMIFS(J$6:J$22,$G$6:$G$22,"&lt;="&amp;A52)/100</f>
        <v/>
      </c>
      <c r="S52" s="14">
        <f>$B$6+$B$8*(R52-$B$6)+$C$17/100</f>
        <v/>
      </c>
      <c r="T52" s="14">
        <f>$B$6+$B$8*(R52-$B$6)+$C$18/100</f>
        <v/>
      </c>
      <c r="U52" s="14">
        <f>$B$6+$B$8*(AVERAGE(INDEX(R$46:R$69,MAX(1,6)):INDEX(R$46:R$69,7))-$B$6)+$C$19/100</f>
        <v/>
      </c>
      <c r="V52" s="14">
        <f>$B$6+$B$8*(AVERAGE(INDEX(R$46:R$69,MAX(1,5)):INDEX(R$46:R$69,7))-$B$6)+$C$20/100</f>
        <v/>
      </c>
      <c r="W52" s="28">
        <f>($B$17*S52+$B$18*T52+$B$19*U52+$B$20*V52)/100*B52/360</f>
        <v/>
      </c>
      <c r="X52" s="29">
        <f>IF($B$10="RCV",1,-1)*(($B$11/100)-(R52/100+$B$12/10000))*B52/360</f>
        <v/>
      </c>
      <c r="Y52" s="14">
        <f>$B$6+SUMIFS(K$6:K$22,$G$6:$G$22,"&lt;="&amp;A52)/100</f>
        <v/>
      </c>
      <c r="Z52" s="14">
        <f>$B$6+$B$8*(Y52-$B$6)+$C$17/100</f>
        <v/>
      </c>
      <c r="AA52" s="14">
        <f>$B$6+$B$8*(Y52-$B$6)+$C$18/100</f>
        <v/>
      </c>
      <c r="AB52" s="14">
        <f>$B$6+$B$8*(AVERAGE(INDEX(Y$46:Y$69,MAX(1,6)):INDEX(Y$46:Y$69,7))-$B$6)+$C$19/100</f>
        <v/>
      </c>
      <c r="AC52" s="14">
        <f>$B$6+$B$8*(AVERAGE(INDEX(Y$46:Y$69,MAX(1,5)):INDEX(Y$46:Y$69,7))-$B$6)+$C$20/100</f>
        <v/>
      </c>
      <c r="AD52" s="28">
        <f>($B$17*Z52+$B$18*AA52+$B$19*AB52+$B$20*AC52)/100*B52/360</f>
        <v/>
      </c>
      <c r="AE52" s="29">
        <f>IF($B$10="RCV",1,-1)*(($B$11/100)-(Y52/100+$B$12/10000))*B52/360</f>
        <v/>
      </c>
      <c r="AF52" s="14">
        <f>$B$6+SUMIFS(L$6:L$22,$G$6:$G$22,"&lt;="&amp;A52)/100</f>
        <v/>
      </c>
      <c r="AG52" s="14">
        <f>$B$6+$B$8*(AF52-$B$6)+$C$17/100</f>
        <v/>
      </c>
      <c r="AH52" s="14">
        <f>$B$6+$B$8*(AF52-$B$6)+$C$18/100</f>
        <v/>
      </c>
      <c r="AI52" s="14">
        <f>$B$6+$B$8*(AVERAGE(INDEX(AF$46:AF$69,MAX(1,6)):INDEX(AF$46:AF$69,7))-$B$6)+$C$19/100</f>
        <v/>
      </c>
      <c r="AJ52" s="14">
        <f>$B$6+$B$8*(AVERAGE(INDEX(AF$46:AF$69,MAX(1,5)):INDEX(AF$46:AF$69,7))-$B$6)+$C$20/100</f>
        <v/>
      </c>
      <c r="AK52" s="28">
        <f>($B$17*AG52+$B$18*AH52+$B$19*AI52+$B$20*AJ52)/100*B52/360</f>
        <v/>
      </c>
      <c r="AL52" s="29">
        <f>IF($B$10="RCV",1,-1)*(($B$11/100)-(AF52/100+$B$12/10000))*B52/360</f>
        <v/>
      </c>
      <c r="AM52" s="14">
        <f>$B$6+SUMIFS(M$6:M$22,$G$6:$G$22,"&lt;="&amp;A52)/100</f>
        <v/>
      </c>
      <c r="AN52" s="14">
        <f>$B$6+$B$8*(AM52-$B$6)+$C$17/100</f>
        <v/>
      </c>
      <c r="AO52" s="14">
        <f>$B$6+$B$8*(AM52-$B$6)+$C$18/100</f>
        <v/>
      </c>
      <c r="AP52" s="14">
        <f>$B$6+$B$8*(AVERAGE(INDEX(AM$46:AM$69,MAX(1,6)):INDEX(AM$46:AM$69,7))-$B$6)+$C$19/100</f>
        <v/>
      </c>
      <c r="AQ52" s="14">
        <f>$B$6+$B$8*(AVERAGE(INDEX(AM$46:AM$69,MAX(1,5)):INDEX(AM$46:AM$69,7))-$B$6)+$C$20/100</f>
        <v/>
      </c>
      <c r="AR52" s="28">
        <f>($B$17*AN52+$B$18*AO52+$B$19*AP52+$B$20*AQ52)/100*B52/360</f>
        <v/>
      </c>
      <c r="AS52" s="29">
        <f>IF($B$10="RCV",1,-1)*(($B$11/100)-(AM52/100+$B$12/10000))*B52/360</f>
        <v/>
      </c>
    </row>
    <row r="53">
      <c r="A53" s="15">
        <f>EDATE($B$5,7)</f>
        <v/>
      </c>
      <c r="B53" s="27">
        <f>EDATE(A53,1)-A53</f>
        <v/>
      </c>
      <c r="C53" s="14">
        <f>SUMPRODUCT(($D$25:$D$31&gt;A53)*$B$25:$B$31*$C$25:$C$31)/100/12</f>
        <v/>
      </c>
      <c r="D53" s="14">
        <f>$B$6+SUMIFS(H$6:H$22,$G$6:$G$22,"&lt;="&amp;A53)/100</f>
        <v/>
      </c>
      <c r="E53" s="14">
        <f>$B$6+$B$8*(D53-$B$6)+$C$17/100</f>
        <v/>
      </c>
      <c r="F53" s="14">
        <f>$B$6+$B$8*(D53-$B$6)+$C$18/100</f>
        <v/>
      </c>
      <c r="G53" s="14">
        <f>$B$6+$B$8*(AVERAGE(INDEX(D$46:D$69,MAX(1,7)):INDEX(D$46:D$69,8))-$B$6)+$C$19/100</f>
        <v/>
      </c>
      <c r="H53" s="14">
        <f>$B$6+$B$8*(AVERAGE(INDEX(D$46:D$69,MAX(1,6)):INDEX(D$46:D$69,8))-$B$6)+$C$20/100</f>
        <v/>
      </c>
      <c r="I53" s="28">
        <f>($B$17*E53+$B$18*F53+$B$19*G53+$B$20*H53)/100*B53/360</f>
        <v/>
      </c>
      <c r="J53" s="29">
        <f>IF($B$10="RCV",1,-1)*(($B$11/100)-(D53/100+$B$12/10000))*B53/360</f>
        <v/>
      </c>
      <c r="K53" s="14">
        <f>$B$6+SUMIFS(I$6:I$22,$G$6:$G$22,"&lt;="&amp;A53)/100</f>
        <v/>
      </c>
      <c r="L53" s="14">
        <f>$B$6+$B$8*(K53-$B$6)+$C$17/100</f>
        <v/>
      </c>
      <c r="M53" s="14">
        <f>$B$6+$B$8*(K53-$B$6)+$C$18/100</f>
        <v/>
      </c>
      <c r="N53" s="14">
        <f>$B$6+$B$8*(AVERAGE(INDEX(K$46:K$69,MAX(1,7)):INDEX(K$46:K$69,8))-$B$6)+$C$19/100</f>
        <v/>
      </c>
      <c r="O53" s="14">
        <f>$B$6+$B$8*(AVERAGE(INDEX(K$46:K$69,MAX(1,6)):INDEX(K$46:K$69,8))-$B$6)+$C$20/100</f>
        <v/>
      </c>
      <c r="P53" s="28">
        <f>($B$17*L53+$B$18*M53+$B$19*N53+$B$20*O53)/100*B53/360</f>
        <v/>
      </c>
      <c r="Q53" s="29">
        <f>IF($B$10="RCV",1,-1)*(($B$11/100)-(K53/100+$B$12/10000))*B53/360</f>
        <v/>
      </c>
      <c r="R53" s="14">
        <f>$B$6+SUMIFS(J$6:J$22,$G$6:$G$22,"&lt;="&amp;A53)/100</f>
        <v/>
      </c>
      <c r="S53" s="14">
        <f>$B$6+$B$8*(R53-$B$6)+$C$17/100</f>
        <v/>
      </c>
      <c r="T53" s="14">
        <f>$B$6+$B$8*(R53-$B$6)+$C$18/100</f>
        <v/>
      </c>
      <c r="U53" s="14">
        <f>$B$6+$B$8*(AVERAGE(INDEX(R$46:R$69,MAX(1,7)):INDEX(R$46:R$69,8))-$B$6)+$C$19/100</f>
        <v/>
      </c>
      <c r="V53" s="14">
        <f>$B$6+$B$8*(AVERAGE(INDEX(R$46:R$69,MAX(1,6)):INDEX(R$46:R$69,8))-$B$6)+$C$20/100</f>
        <v/>
      </c>
      <c r="W53" s="28">
        <f>($B$17*S53+$B$18*T53+$B$19*U53+$B$20*V53)/100*B53/360</f>
        <v/>
      </c>
      <c r="X53" s="29">
        <f>IF($B$10="RCV",1,-1)*(($B$11/100)-(R53/100+$B$12/10000))*B53/360</f>
        <v/>
      </c>
      <c r="Y53" s="14">
        <f>$B$6+SUMIFS(K$6:K$22,$G$6:$G$22,"&lt;="&amp;A53)/100</f>
        <v/>
      </c>
      <c r="Z53" s="14">
        <f>$B$6+$B$8*(Y53-$B$6)+$C$17/100</f>
        <v/>
      </c>
      <c r="AA53" s="14">
        <f>$B$6+$B$8*(Y53-$B$6)+$C$18/100</f>
        <v/>
      </c>
      <c r="AB53" s="14">
        <f>$B$6+$B$8*(AVERAGE(INDEX(Y$46:Y$69,MAX(1,7)):INDEX(Y$46:Y$69,8))-$B$6)+$C$19/100</f>
        <v/>
      </c>
      <c r="AC53" s="14">
        <f>$B$6+$B$8*(AVERAGE(INDEX(Y$46:Y$69,MAX(1,6)):INDEX(Y$46:Y$69,8))-$B$6)+$C$20/100</f>
        <v/>
      </c>
      <c r="AD53" s="28">
        <f>($B$17*Z53+$B$18*AA53+$B$19*AB53+$B$20*AC53)/100*B53/360</f>
        <v/>
      </c>
      <c r="AE53" s="29">
        <f>IF($B$10="RCV",1,-1)*(($B$11/100)-(Y53/100+$B$12/10000))*B53/360</f>
        <v/>
      </c>
      <c r="AF53" s="14">
        <f>$B$6+SUMIFS(L$6:L$22,$G$6:$G$22,"&lt;="&amp;A53)/100</f>
        <v/>
      </c>
      <c r="AG53" s="14">
        <f>$B$6+$B$8*(AF53-$B$6)+$C$17/100</f>
        <v/>
      </c>
      <c r="AH53" s="14">
        <f>$B$6+$B$8*(AF53-$B$6)+$C$18/100</f>
        <v/>
      </c>
      <c r="AI53" s="14">
        <f>$B$6+$B$8*(AVERAGE(INDEX(AF$46:AF$69,MAX(1,7)):INDEX(AF$46:AF$69,8))-$B$6)+$C$19/100</f>
        <v/>
      </c>
      <c r="AJ53" s="14">
        <f>$B$6+$B$8*(AVERAGE(INDEX(AF$46:AF$69,MAX(1,6)):INDEX(AF$46:AF$69,8))-$B$6)+$C$20/100</f>
        <v/>
      </c>
      <c r="AK53" s="28">
        <f>($B$17*AG53+$B$18*AH53+$B$19*AI53+$B$20*AJ53)/100*B53/360</f>
        <v/>
      </c>
      <c r="AL53" s="29">
        <f>IF($B$10="RCV",1,-1)*(($B$11/100)-(AF53/100+$B$12/10000))*B53/360</f>
        <v/>
      </c>
      <c r="AM53" s="14">
        <f>$B$6+SUMIFS(M$6:M$22,$G$6:$G$22,"&lt;="&amp;A53)/100</f>
        <v/>
      </c>
      <c r="AN53" s="14">
        <f>$B$6+$B$8*(AM53-$B$6)+$C$17/100</f>
        <v/>
      </c>
      <c r="AO53" s="14">
        <f>$B$6+$B$8*(AM53-$B$6)+$C$18/100</f>
        <v/>
      </c>
      <c r="AP53" s="14">
        <f>$B$6+$B$8*(AVERAGE(INDEX(AM$46:AM$69,MAX(1,7)):INDEX(AM$46:AM$69,8))-$B$6)+$C$19/100</f>
        <v/>
      </c>
      <c r="AQ53" s="14">
        <f>$B$6+$B$8*(AVERAGE(INDEX(AM$46:AM$69,MAX(1,6)):INDEX(AM$46:AM$69,8))-$B$6)+$C$20/100</f>
        <v/>
      </c>
      <c r="AR53" s="28">
        <f>($B$17*AN53+$B$18*AO53+$B$19*AP53+$B$20*AQ53)/100*B53/360</f>
        <v/>
      </c>
      <c r="AS53" s="29">
        <f>IF($B$10="RCV",1,-1)*(($B$11/100)-(AM53/100+$B$12/10000))*B53/360</f>
        <v/>
      </c>
    </row>
    <row r="54">
      <c r="A54" s="15">
        <f>EDATE($B$5,8)</f>
        <v/>
      </c>
      <c r="B54" s="27">
        <f>EDATE(A54,1)-A54</f>
        <v/>
      </c>
      <c r="C54" s="14">
        <f>SUMPRODUCT(($D$25:$D$31&gt;A54)*$B$25:$B$31*$C$25:$C$31)/100/12</f>
        <v/>
      </c>
      <c r="D54" s="14">
        <f>$B$6+SUMIFS(H$6:H$22,$G$6:$G$22,"&lt;="&amp;A54)/100</f>
        <v/>
      </c>
      <c r="E54" s="14">
        <f>$B$6+$B$8*(D54-$B$6)+$C$17/100</f>
        <v/>
      </c>
      <c r="F54" s="14">
        <f>$B$6+$B$8*(D54-$B$6)+$C$18/100</f>
        <v/>
      </c>
      <c r="G54" s="14">
        <f>$B$6+$B$8*(AVERAGE(INDEX(D$46:D$69,MAX(1,8)):INDEX(D$46:D$69,9))-$B$6)+$C$19/100</f>
        <v/>
      </c>
      <c r="H54" s="14">
        <f>$B$6+$B$8*(AVERAGE(INDEX(D$46:D$69,MAX(1,7)):INDEX(D$46:D$69,9))-$B$6)+$C$20/100</f>
        <v/>
      </c>
      <c r="I54" s="28">
        <f>($B$17*E54+$B$18*F54+$B$19*G54+$B$20*H54)/100*B54/360</f>
        <v/>
      </c>
      <c r="J54" s="29">
        <f>IF($B$10="RCV",1,-1)*(($B$11/100)-(D54/100+$B$12/10000))*B54/360</f>
        <v/>
      </c>
      <c r="K54" s="14">
        <f>$B$6+SUMIFS(I$6:I$22,$G$6:$G$22,"&lt;="&amp;A54)/100</f>
        <v/>
      </c>
      <c r="L54" s="14">
        <f>$B$6+$B$8*(K54-$B$6)+$C$17/100</f>
        <v/>
      </c>
      <c r="M54" s="14">
        <f>$B$6+$B$8*(K54-$B$6)+$C$18/100</f>
        <v/>
      </c>
      <c r="N54" s="14">
        <f>$B$6+$B$8*(AVERAGE(INDEX(K$46:K$69,MAX(1,8)):INDEX(K$46:K$69,9))-$B$6)+$C$19/100</f>
        <v/>
      </c>
      <c r="O54" s="14">
        <f>$B$6+$B$8*(AVERAGE(INDEX(K$46:K$69,MAX(1,7)):INDEX(K$46:K$69,9))-$B$6)+$C$20/100</f>
        <v/>
      </c>
      <c r="P54" s="28">
        <f>($B$17*L54+$B$18*M54+$B$19*N54+$B$20*O54)/100*B54/360</f>
        <v/>
      </c>
      <c r="Q54" s="29">
        <f>IF($B$10="RCV",1,-1)*(($B$11/100)-(K54/100+$B$12/10000))*B54/360</f>
        <v/>
      </c>
      <c r="R54" s="14">
        <f>$B$6+SUMIFS(J$6:J$22,$G$6:$G$22,"&lt;="&amp;A54)/100</f>
        <v/>
      </c>
      <c r="S54" s="14">
        <f>$B$6+$B$8*(R54-$B$6)+$C$17/100</f>
        <v/>
      </c>
      <c r="T54" s="14">
        <f>$B$6+$B$8*(R54-$B$6)+$C$18/100</f>
        <v/>
      </c>
      <c r="U54" s="14">
        <f>$B$6+$B$8*(AVERAGE(INDEX(R$46:R$69,MAX(1,8)):INDEX(R$46:R$69,9))-$B$6)+$C$19/100</f>
        <v/>
      </c>
      <c r="V54" s="14">
        <f>$B$6+$B$8*(AVERAGE(INDEX(R$46:R$69,MAX(1,7)):INDEX(R$46:R$69,9))-$B$6)+$C$20/100</f>
        <v/>
      </c>
      <c r="W54" s="28">
        <f>($B$17*S54+$B$18*T54+$B$19*U54+$B$20*V54)/100*B54/360</f>
        <v/>
      </c>
      <c r="X54" s="29">
        <f>IF($B$10="RCV",1,-1)*(($B$11/100)-(R54/100+$B$12/10000))*B54/360</f>
        <v/>
      </c>
      <c r="Y54" s="14">
        <f>$B$6+SUMIFS(K$6:K$22,$G$6:$G$22,"&lt;="&amp;A54)/100</f>
        <v/>
      </c>
      <c r="Z54" s="14">
        <f>$B$6+$B$8*(Y54-$B$6)+$C$17/100</f>
        <v/>
      </c>
      <c r="AA54" s="14">
        <f>$B$6+$B$8*(Y54-$B$6)+$C$18/100</f>
        <v/>
      </c>
      <c r="AB54" s="14">
        <f>$B$6+$B$8*(AVERAGE(INDEX(Y$46:Y$69,MAX(1,8)):INDEX(Y$46:Y$69,9))-$B$6)+$C$19/100</f>
        <v/>
      </c>
      <c r="AC54" s="14">
        <f>$B$6+$B$8*(AVERAGE(INDEX(Y$46:Y$69,MAX(1,7)):INDEX(Y$46:Y$69,9))-$B$6)+$C$20/100</f>
        <v/>
      </c>
      <c r="AD54" s="28">
        <f>($B$17*Z54+$B$18*AA54+$B$19*AB54+$B$20*AC54)/100*B54/360</f>
        <v/>
      </c>
      <c r="AE54" s="29">
        <f>IF($B$10="RCV",1,-1)*(($B$11/100)-(Y54/100+$B$12/10000))*B54/360</f>
        <v/>
      </c>
      <c r="AF54" s="14">
        <f>$B$6+SUMIFS(L$6:L$22,$G$6:$G$22,"&lt;="&amp;A54)/100</f>
        <v/>
      </c>
      <c r="AG54" s="14">
        <f>$B$6+$B$8*(AF54-$B$6)+$C$17/100</f>
        <v/>
      </c>
      <c r="AH54" s="14">
        <f>$B$6+$B$8*(AF54-$B$6)+$C$18/100</f>
        <v/>
      </c>
      <c r="AI54" s="14">
        <f>$B$6+$B$8*(AVERAGE(INDEX(AF$46:AF$69,MAX(1,8)):INDEX(AF$46:AF$69,9))-$B$6)+$C$19/100</f>
        <v/>
      </c>
      <c r="AJ54" s="14">
        <f>$B$6+$B$8*(AVERAGE(INDEX(AF$46:AF$69,MAX(1,7)):INDEX(AF$46:AF$69,9))-$B$6)+$C$20/100</f>
        <v/>
      </c>
      <c r="AK54" s="28">
        <f>($B$17*AG54+$B$18*AH54+$B$19*AI54+$B$20*AJ54)/100*B54/360</f>
        <v/>
      </c>
      <c r="AL54" s="29">
        <f>IF($B$10="RCV",1,-1)*(($B$11/100)-(AF54/100+$B$12/10000))*B54/360</f>
        <v/>
      </c>
      <c r="AM54" s="14">
        <f>$B$6+SUMIFS(M$6:M$22,$G$6:$G$22,"&lt;="&amp;A54)/100</f>
        <v/>
      </c>
      <c r="AN54" s="14">
        <f>$B$6+$B$8*(AM54-$B$6)+$C$17/100</f>
        <v/>
      </c>
      <c r="AO54" s="14">
        <f>$B$6+$B$8*(AM54-$B$6)+$C$18/100</f>
        <v/>
      </c>
      <c r="AP54" s="14">
        <f>$B$6+$B$8*(AVERAGE(INDEX(AM$46:AM$69,MAX(1,8)):INDEX(AM$46:AM$69,9))-$B$6)+$C$19/100</f>
        <v/>
      </c>
      <c r="AQ54" s="14">
        <f>$B$6+$B$8*(AVERAGE(INDEX(AM$46:AM$69,MAX(1,7)):INDEX(AM$46:AM$69,9))-$B$6)+$C$20/100</f>
        <v/>
      </c>
      <c r="AR54" s="28">
        <f>($B$17*AN54+$B$18*AO54+$B$19*AP54+$B$20*AQ54)/100*B54/360</f>
        <v/>
      </c>
      <c r="AS54" s="29">
        <f>IF($B$10="RCV",1,-1)*(($B$11/100)-(AM54/100+$B$12/10000))*B54/360</f>
        <v/>
      </c>
    </row>
    <row r="55">
      <c r="A55" s="15">
        <f>EDATE($B$5,9)</f>
        <v/>
      </c>
      <c r="B55" s="27">
        <f>EDATE(A55,1)-A55</f>
        <v/>
      </c>
      <c r="C55" s="14">
        <f>SUMPRODUCT(($D$25:$D$31&gt;A55)*$B$25:$B$31*$C$25:$C$31)/100/12</f>
        <v/>
      </c>
      <c r="D55" s="14">
        <f>$B$6+SUMIFS(H$6:H$22,$G$6:$G$22,"&lt;="&amp;A55)/100</f>
        <v/>
      </c>
      <c r="E55" s="14">
        <f>$B$6+$B$8*(D55-$B$6)+$C$17/100</f>
        <v/>
      </c>
      <c r="F55" s="14">
        <f>$B$6+$B$8*(D55-$B$6)+$C$18/100</f>
        <v/>
      </c>
      <c r="G55" s="14">
        <f>$B$6+$B$8*(AVERAGE(INDEX(D$46:D$69,MAX(1,9)):INDEX(D$46:D$69,10))-$B$6)+$C$19/100</f>
        <v/>
      </c>
      <c r="H55" s="14">
        <f>$B$6+$B$8*(AVERAGE(INDEX(D$46:D$69,MAX(1,8)):INDEX(D$46:D$69,10))-$B$6)+$C$20/100</f>
        <v/>
      </c>
      <c r="I55" s="28">
        <f>($B$17*E55+$B$18*F55+$B$19*G55+$B$20*H55)/100*B55/360</f>
        <v/>
      </c>
      <c r="J55" s="29">
        <f>IF($B$10="RCV",1,-1)*(($B$11/100)-(D55/100+$B$12/10000))*B55/360</f>
        <v/>
      </c>
      <c r="K55" s="14">
        <f>$B$6+SUMIFS(I$6:I$22,$G$6:$G$22,"&lt;="&amp;A55)/100</f>
        <v/>
      </c>
      <c r="L55" s="14">
        <f>$B$6+$B$8*(K55-$B$6)+$C$17/100</f>
        <v/>
      </c>
      <c r="M55" s="14">
        <f>$B$6+$B$8*(K55-$B$6)+$C$18/100</f>
        <v/>
      </c>
      <c r="N55" s="14">
        <f>$B$6+$B$8*(AVERAGE(INDEX(K$46:K$69,MAX(1,9)):INDEX(K$46:K$69,10))-$B$6)+$C$19/100</f>
        <v/>
      </c>
      <c r="O55" s="14">
        <f>$B$6+$B$8*(AVERAGE(INDEX(K$46:K$69,MAX(1,8)):INDEX(K$46:K$69,10))-$B$6)+$C$20/100</f>
        <v/>
      </c>
      <c r="P55" s="28">
        <f>($B$17*L55+$B$18*M55+$B$19*N55+$B$20*O55)/100*B55/360</f>
        <v/>
      </c>
      <c r="Q55" s="29">
        <f>IF($B$10="RCV",1,-1)*(($B$11/100)-(K55/100+$B$12/10000))*B55/360</f>
        <v/>
      </c>
      <c r="R55" s="14">
        <f>$B$6+SUMIFS(J$6:J$22,$G$6:$G$22,"&lt;="&amp;A55)/100</f>
        <v/>
      </c>
      <c r="S55" s="14">
        <f>$B$6+$B$8*(R55-$B$6)+$C$17/100</f>
        <v/>
      </c>
      <c r="T55" s="14">
        <f>$B$6+$B$8*(R55-$B$6)+$C$18/100</f>
        <v/>
      </c>
      <c r="U55" s="14">
        <f>$B$6+$B$8*(AVERAGE(INDEX(R$46:R$69,MAX(1,9)):INDEX(R$46:R$69,10))-$B$6)+$C$19/100</f>
        <v/>
      </c>
      <c r="V55" s="14">
        <f>$B$6+$B$8*(AVERAGE(INDEX(R$46:R$69,MAX(1,8)):INDEX(R$46:R$69,10))-$B$6)+$C$20/100</f>
        <v/>
      </c>
      <c r="W55" s="28">
        <f>($B$17*S55+$B$18*T55+$B$19*U55+$B$20*V55)/100*B55/360</f>
        <v/>
      </c>
      <c r="X55" s="29">
        <f>IF($B$10="RCV",1,-1)*(($B$11/100)-(R55/100+$B$12/10000))*B55/360</f>
        <v/>
      </c>
      <c r="Y55" s="14">
        <f>$B$6+SUMIFS(K$6:K$22,$G$6:$G$22,"&lt;="&amp;A55)/100</f>
        <v/>
      </c>
      <c r="Z55" s="14">
        <f>$B$6+$B$8*(Y55-$B$6)+$C$17/100</f>
        <v/>
      </c>
      <c r="AA55" s="14">
        <f>$B$6+$B$8*(Y55-$B$6)+$C$18/100</f>
        <v/>
      </c>
      <c r="AB55" s="14">
        <f>$B$6+$B$8*(AVERAGE(INDEX(Y$46:Y$69,MAX(1,9)):INDEX(Y$46:Y$69,10))-$B$6)+$C$19/100</f>
        <v/>
      </c>
      <c r="AC55" s="14">
        <f>$B$6+$B$8*(AVERAGE(INDEX(Y$46:Y$69,MAX(1,8)):INDEX(Y$46:Y$69,10))-$B$6)+$C$20/100</f>
        <v/>
      </c>
      <c r="AD55" s="28">
        <f>($B$17*Z55+$B$18*AA55+$B$19*AB55+$B$20*AC55)/100*B55/360</f>
        <v/>
      </c>
      <c r="AE55" s="29">
        <f>IF($B$10="RCV",1,-1)*(($B$11/100)-(Y55/100+$B$12/10000))*B55/360</f>
        <v/>
      </c>
      <c r="AF55" s="14">
        <f>$B$6+SUMIFS(L$6:L$22,$G$6:$G$22,"&lt;="&amp;A55)/100</f>
        <v/>
      </c>
      <c r="AG55" s="14">
        <f>$B$6+$B$8*(AF55-$B$6)+$C$17/100</f>
        <v/>
      </c>
      <c r="AH55" s="14">
        <f>$B$6+$B$8*(AF55-$B$6)+$C$18/100</f>
        <v/>
      </c>
      <c r="AI55" s="14">
        <f>$B$6+$B$8*(AVERAGE(INDEX(AF$46:AF$69,MAX(1,9)):INDEX(AF$46:AF$69,10))-$B$6)+$C$19/100</f>
        <v/>
      </c>
      <c r="AJ55" s="14">
        <f>$B$6+$B$8*(AVERAGE(INDEX(AF$46:AF$69,MAX(1,8)):INDEX(AF$46:AF$69,10))-$B$6)+$C$20/100</f>
        <v/>
      </c>
      <c r="AK55" s="28">
        <f>($B$17*AG55+$B$18*AH55+$B$19*AI55+$B$20*AJ55)/100*B55/360</f>
        <v/>
      </c>
      <c r="AL55" s="29">
        <f>IF($B$10="RCV",1,-1)*(($B$11/100)-(AF55/100+$B$12/10000))*B55/360</f>
        <v/>
      </c>
      <c r="AM55" s="14">
        <f>$B$6+SUMIFS(M$6:M$22,$G$6:$G$22,"&lt;="&amp;A55)/100</f>
        <v/>
      </c>
      <c r="AN55" s="14">
        <f>$B$6+$B$8*(AM55-$B$6)+$C$17/100</f>
        <v/>
      </c>
      <c r="AO55" s="14">
        <f>$B$6+$B$8*(AM55-$B$6)+$C$18/100</f>
        <v/>
      </c>
      <c r="AP55" s="14">
        <f>$B$6+$B$8*(AVERAGE(INDEX(AM$46:AM$69,MAX(1,9)):INDEX(AM$46:AM$69,10))-$B$6)+$C$19/100</f>
        <v/>
      </c>
      <c r="AQ55" s="14">
        <f>$B$6+$B$8*(AVERAGE(INDEX(AM$46:AM$69,MAX(1,8)):INDEX(AM$46:AM$69,10))-$B$6)+$C$20/100</f>
        <v/>
      </c>
      <c r="AR55" s="28">
        <f>($B$17*AN55+$B$18*AO55+$B$19*AP55+$B$20*AQ55)/100*B55/360</f>
        <v/>
      </c>
      <c r="AS55" s="29">
        <f>IF($B$10="RCV",1,-1)*(($B$11/100)-(AM55/100+$B$12/10000))*B55/360</f>
        <v/>
      </c>
    </row>
    <row r="56">
      <c r="A56" s="15">
        <f>EDATE($B$5,10)</f>
        <v/>
      </c>
      <c r="B56" s="27">
        <f>EDATE(A56,1)-A56</f>
        <v/>
      </c>
      <c r="C56" s="14">
        <f>SUMPRODUCT(($D$25:$D$31&gt;A56)*$B$25:$B$31*$C$25:$C$31)/100/12</f>
        <v/>
      </c>
      <c r="D56" s="14">
        <f>$B$6+SUMIFS(H$6:H$22,$G$6:$G$22,"&lt;="&amp;A56)/100</f>
        <v/>
      </c>
      <c r="E56" s="14">
        <f>$B$6+$B$8*(D56-$B$6)+$C$17/100</f>
        <v/>
      </c>
      <c r="F56" s="14">
        <f>$B$6+$B$8*(D56-$B$6)+$C$18/100</f>
        <v/>
      </c>
      <c r="G56" s="14">
        <f>$B$6+$B$8*(AVERAGE(INDEX(D$46:D$69,MAX(1,10)):INDEX(D$46:D$69,11))-$B$6)+$C$19/100</f>
        <v/>
      </c>
      <c r="H56" s="14">
        <f>$B$6+$B$8*(AVERAGE(INDEX(D$46:D$69,MAX(1,9)):INDEX(D$46:D$69,11))-$B$6)+$C$20/100</f>
        <v/>
      </c>
      <c r="I56" s="28">
        <f>($B$17*E56+$B$18*F56+$B$19*G56+$B$20*H56)/100*B56/360</f>
        <v/>
      </c>
      <c r="J56" s="29">
        <f>IF($B$10="RCV",1,-1)*(($B$11/100)-(D56/100+$B$12/10000))*B56/360</f>
        <v/>
      </c>
      <c r="K56" s="14">
        <f>$B$6+SUMIFS(I$6:I$22,$G$6:$G$22,"&lt;="&amp;A56)/100</f>
        <v/>
      </c>
      <c r="L56" s="14">
        <f>$B$6+$B$8*(K56-$B$6)+$C$17/100</f>
        <v/>
      </c>
      <c r="M56" s="14">
        <f>$B$6+$B$8*(K56-$B$6)+$C$18/100</f>
        <v/>
      </c>
      <c r="N56" s="14">
        <f>$B$6+$B$8*(AVERAGE(INDEX(K$46:K$69,MAX(1,10)):INDEX(K$46:K$69,11))-$B$6)+$C$19/100</f>
        <v/>
      </c>
      <c r="O56" s="14">
        <f>$B$6+$B$8*(AVERAGE(INDEX(K$46:K$69,MAX(1,9)):INDEX(K$46:K$69,11))-$B$6)+$C$20/100</f>
        <v/>
      </c>
      <c r="P56" s="28">
        <f>($B$17*L56+$B$18*M56+$B$19*N56+$B$20*O56)/100*B56/360</f>
        <v/>
      </c>
      <c r="Q56" s="29">
        <f>IF($B$10="RCV",1,-1)*(($B$11/100)-(K56/100+$B$12/10000))*B56/360</f>
        <v/>
      </c>
      <c r="R56" s="14">
        <f>$B$6+SUMIFS(J$6:J$22,$G$6:$G$22,"&lt;="&amp;A56)/100</f>
        <v/>
      </c>
      <c r="S56" s="14">
        <f>$B$6+$B$8*(R56-$B$6)+$C$17/100</f>
        <v/>
      </c>
      <c r="T56" s="14">
        <f>$B$6+$B$8*(R56-$B$6)+$C$18/100</f>
        <v/>
      </c>
      <c r="U56" s="14">
        <f>$B$6+$B$8*(AVERAGE(INDEX(R$46:R$69,MAX(1,10)):INDEX(R$46:R$69,11))-$B$6)+$C$19/100</f>
        <v/>
      </c>
      <c r="V56" s="14">
        <f>$B$6+$B$8*(AVERAGE(INDEX(R$46:R$69,MAX(1,9)):INDEX(R$46:R$69,11))-$B$6)+$C$20/100</f>
        <v/>
      </c>
      <c r="W56" s="28">
        <f>($B$17*S56+$B$18*T56+$B$19*U56+$B$20*V56)/100*B56/360</f>
        <v/>
      </c>
      <c r="X56" s="29">
        <f>IF($B$10="RCV",1,-1)*(($B$11/100)-(R56/100+$B$12/10000))*B56/360</f>
        <v/>
      </c>
      <c r="Y56" s="14">
        <f>$B$6+SUMIFS(K$6:K$22,$G$6:$G$22,"&lt;="&amp;A56)/100</f>
        <v/>
      </c>
      <c r="Z56" s="14">
        <f>$B$6+$B$8*(Y56-$B$6)+$C$17/100</f>
        <v/>
      </c>
      <c r="AA56" s="14">
        <f>$B$6+$B$8*(Y56-$B$6)+$C$18/100</f>
        <v/>
      </c>
      <c r="AB56" s="14">
        <f>$B$6+$B$8*(AVERAGE(INDEX(Y$46:Y$69,MAX(1,10)):INDEX(Y$46:Y$69,11))-$B$6)+$C$19/100</f>
        <v/>
      </c>
      <c r="AC56" s="14">
        <f>$B$6+$B$8*(AVERAGE(INDEX(Y$46:Y$69,MAX(1,9)):INDEX(Y$46:Y$69,11))-$B$6)+$C$20/100</f>
        <v/>
      </c>
      <c r="AD56" s="28">
        <f>($B$17*Z56+$B$18*AA56+$B$19*AB56+$B$20*AC56)/100*B56/360</f>
        <v/>
      </c>
      <c r="AE56" s="29">
        <f>IF($B$10="RCV",1,-1)*(($B$11/100)-(Y56/100+$B$12/10000))*B56/360</f>
        <v/>
      </c>
      <c r="AF56" s="14">
        <f>$B$6+SUMIFS(L$6:L$22,$G$6:$G$22,"&lt;="&amp;A56)/100</f>
        <v/>
      </c>
      <c r="AG56" s="14">
        <f>$B$6+$B$8*(AF56-$B$6)+$C$17/100</f>
        <v/>
      </c>
      <c r="AH56" s="14">
        <f>$B$6+$B$8*(AF56-$B$6)+$C$18/100</f>
        <v/>
      </c>
      <c r="AI56" s="14">
        <f>$B$6+$B$8*(AVERAGE(INDEX(AF$46:AF$69,MAX(1,10)):INDEX(AF$46:AF$69,11))-$B$6)+$C$19/100</f>
        <v/>
      </c>
      <c r="AJ56" s="14">
        <f>$B$6+$B$8*(AVERAGE(INDEX(AF$46:AF$69,MAX(1,9)):INDEX(AF$46:AF$69,11))-$B$6)+$C$20/100</f>
        <v/>
      </c>
      <c r="AK56" s="28">
        <f>($B$17*AG56+$B$18*AH56+$B$19*AI56+$B$20*AJ56)/100*B56/360</f>
        <v/>
      </c>
      <c r="AL56" s="29">
        <f>IF($B$10="RCV",1,-1)*(($B$11/100)-(AF56/100+$B$12/10000))*B56/360</f>
        <v/>
      </c>
      <c r="AM56" s="14">
        <f>$B$6+SUMIFS(M$6:M$22,$G$6:$G$22,"&lt;="&amp;A56)/100</f>
        <v/>
      </c>
      <c r="AN56" s="14">
        <f>$B$6+$B$8*(AM56-$B$6)+$C$17/100</f>
        <v/>
      </c>
      <c r="AO56" s="14">
        <f>$B$6+$B$8*(AM56-$B$6)+$C$18/100</f>
        <v/>
      </c>
      <c r="AP56" s="14">
        <f>$B$6+$B$8*(AVERAGE(INDEX(AM$46:AM$69,MAX(1,10)):INDEX(AM$46:AM$69,11))-$B$6)+$C$19/100</f>
        <v/>
      </c>
      <c r="AQ56" s="14">
        <f>$B$6+$B$8*(AVERAGE(INDEX(AM$46:AM$69,MAX(1,9)):INDEX(AM$46:AM$69,11))-$B$6)+$C$20/100</f>
        <v/>
      </c>
      <c r="AR56" s="28">
        <f>($B$17*AN56+$B$18*AO56+$B$19*AP56+$B$20*AQ56)/100*B56/360</f>
        <v/>
      </c>
      <c r="AS56" s="29">
        <f>IF($B$10="RCV",1,-1)*(($B$11/100)-(AM56/100+$B$12/10000))*B56/360</f>
        <v/>
      </c>
    </row>
    <row r="57">
      <c r="A57" s="15">
        <f>EDATE($B$5,11)</f>
        <v/>
      </c>
      <c r="B57" s="27">
        <f>EDATE(A57,1)-A57</f>
        <v/>
      </c>
      <c r="C57" s="14">
        <f>SUMPRODUCT(($D$25:$D$31&gt;A57)*$B$25:$B$31*$C$25:$C$31)/100/12</f>
        <v/>
      </c>
      <c r="D57" s="14">
        <f>$B$6+SUMIFS(H$6:H$22,$G$6:$G$22,"&lt;="&amp;A57)/100</f>
        <v/>
      </c>
      <c r="E57" s="14">
        <f>$B$6+$B$8*(D57-$B$6)+$C$17/100</f>
        <v/>
      </c>
      <c r="F57" s="14">
        <f>$B$6+$B$8*(D57-$B$6)+$C$18/100</f>
        <v/>
      </c>
      <c r="G57" s="14">
        <f>$B$6+$B$8*(AVERAGE(INDEX(D$46:D$69,MAX(1,11)):INDEX(D$46:D$69,12))-$B$6)+$C$19/100</f>
        <v/>
      </c>
      <c r="H57" s="14">
        <f>$B$6+$B$8*(AVERAGE(INDEX(D$46:D$69,MAX(1,10)):INDEX(D$46:D$69,12))-$B$6)+$C$20/100</f>
        <v/>
      </c>
      <c r="I57" s="28">
        <f>($B$17*E57+$B$18*F57+$B$19*G57+$B$20*H57)/100*B57/360</f>
        <v/>
      </c>
      <c r="J57" s="29">
        <f>IF($B$10="RCV",1,-1)*(($B$11/100)-(D57/100+$B$12/10000))*B57/360</f>
        <v/>
      </c>
      <c r="K57" s="14">
        <f>$B$6+SUMIFS(I$6:I$22,$G$6:$G$22,"&lt;="&amp;A57)/100</f>
        <v/>
      </c>
      <c r="L57" s="14">
        <f>$B$6+$B$8*(K57-$B$6)+$C$17/100</f>
        <v/>
      </c>
      <c r="M57" s="14">
        <f>$B$6+$B$8*(K57-$B$6)+$C$18/100</f>
        <v/>
      </c>
      <c r="N57" s="14">
        <f>$B$6+$B$8*(AVERAGE(INDEX(K$46:K$69,MAX(1,11)):INDEX(K$46:K$69,12))-$B$6)+$C$19/100</f>
        <v/>
      </c>
      <c r="O57" s="14">
        <f>$B$6+$B$8*(AVERAGE(INDEX(K$46:K$69,MAX(1,10)):INDEX(K$46:K$69,12))-$B$6)+$C$20/100</f>
        <v/>
      </c>
      <c r="P57" s="28">
        <f>($B$17*L57+$B$18*M57+$B$19*N57+$B$20*O57)/100*B57/360</f>
        <v/>
      </c>
      <c r="Q57" s="29">
        <f>IF($B$10="RCV",1,-1)*(($B$11/100)-(K57/100+$B$12/10000))*B57/360</f>
        <v/>
      </c>
      <c r="R57" s="14">
        <f>$B$6+SUMIFS(J$6:J$22,$G$6:$G$22,"&lt;="&amp;A57)/100</f>
        <v/>
      </c>
      <c r="S57" s="14">
        <f>$B$6+$B$8*(R57-$B$6)+$C$17/100</f>
        <v/>
      </c>
      <c r="T57" s="14">
        <f>$B$6+$B$8*(R57-$B$6)+$C$18/100</f>
        <v/>
      </c>
      <c r="U57" s="14">
        <f>$B$6+$B$8*(AVERAGE(INDEX(R$46:R$69,MAX(1,11)):INDEX(R$46:R$69,12))-$B$6)+$C$19/100</f>
        <v/>
      </c>
      <c r="V57" s="14">
        <f>$B$6+$B$8*(AVERAGE(INDEX(R$46:R$69,MAX(1,10)):INDEX(R$46:R$69,12))-$B$6)+$C$20/100</f>
        <v/>
      </c>
      <c r="W57" s="28">
        <f>($B$17*S57+$B$18*T57+$B$19*U57+$B$20*V57)/100*B57/360</f>
        <v/>
      </c>
      <c r="X57" s="29">
        <f>IF($B$10="RCV",1,-1)*(($B$11/100)-(R57/100+$B$12/10000))*B57/360</f>
        <v/>
      </c>
      <c r="Y57" s="14">
        <f>$B$6+SUMIFS(K$6:K$22,$G$6:$G$22,"&lt;="&amp;A57)/100</f>
        <v/>
      </c>
      <c r="Z57" s="14">
        <f>$B$6+$B$8*(Y57-$B$6)+$C$17/100</f>
        <v/>
      </c>
      <c r="AA57" s="14">
        <f>$B$6+$B$8*(Y57-$B$6)+$C$18/100</f>
        <v/>
      </c>
      <c r="AB57" s="14">
        <f>$B$6+$B$8*(AVERAGE(INDEX(Y$46:Y$69,MAX(1,11)):INDEX(Y$46:Y$69,12))-$B$6)+$C$19/100</f>
        <v/>
      </c>
      <c r="AC57" s="14">
        <f>$B$6+$B$8*(AVERAGE(INDEX(Y$46:Y$69,MAX(1,10)):INDEX(Y$46:Y$69,12))-$B$6)+$C$20/100</f>
        <v/>
      </c>
      <c r="AD57" s="28">
        <f>($B$17*Z57+$B$18*AA57+$B$19*AB57+$B$20*AC57)/100*B57/360</f>
        <v/>
      </c>
      <c r="AE57" s="29">
        <f>IF($B$10="RCV",1,-1)*(($B$11/100)-(Y57/100+$B$12/10000))*B57/360</f>
        <v/>
      </c>
      <c r="AF57" s="14">
        <f>$B$6+SUMIFS(L$6:L$22,$G$6:$G$22,"&lt;="&amp;A57)/100</f>
        <v/>
      </c>
      <c r="AG57" s="14">
        <f>$B$6+$B$8*(AF57-$B$6)+$C$17/100</f>
        <v/>
      </c>
      <c r="AH57" s="14">
        <f>$B$6+$B$8*(AF57-$B$6)+$C$18/100</f>
        <v/>
      </c>
      <c r="AI57" s="14">
        <f>$B$6+$B$8*(AVERAGE(INDEX(AF$46:AF$69,MAX(1,11)):INDEX(AF$46:AF$69,12))-$B$6)+$C$19/100</f>
        <v/>
      </c>
      <c r="AJ57" s="14">
        <f>$B$6+$B$8*(AVERAGE(INDEX(AF$46:AF$69,MAX(1,10)):INDEX(AF$46:AF$69,12))-$B$6)+$C$20/100</f>
        <v/>
      </c>
      <c r="AK57" s="28">
        <f>($B$17*AG57+$B$18*AH57+$B$19*AI57+$B$20*AJ57)/100*B57/360</f>
        <v/>
      </c>
      <c r="AL57" s="29">
        <f>IF($B$10="RCV",1,-1)*(($B$11/100)-(AF57/100+$B$12/10000))*B57/360</f>
        <v/>
      </c>
      <c r="AM57" s="14">
        <f>$B$6+SUMIFS(M$6:M$22,$G$6:$G$22,"&lt;="&amp;A57)/100</f>
        <v/>
      </c>
      <c r="AN57" s="14">
        <f>$B$6+$B$8*(AM57-$B$6)+$C$17/100</f>
        <v/>
      </c>
      <c r="AO57" s="14">
        <f>$B$6+$B$8*(AM57-$B$6)+$C$18/100</f>
        <v/>
      </c>
      <c r="AP57" s="14">
        <f>$B$6+$B$8*(AVERAGE(INDEX(AM$46:AM$69,MAX(1,11)):INDEX(AM$46:AM$69,12))-$B$6)+$C$19/100</f>
        <v/>
      </c>
      <c r="AQ57" s="14">
        <f>$B$6+$B$8*(AVERAGE(INDEX(AM$46:AM$69,MAX(1,10)):INDEX(AM$46:AM$69,12))-$B$6)+$C$20/100</f>
        <v/>
      </c>
      <c r="AR57" s="28">
        <f>($B$17*AN57+$B$18*AO57+$B$19*AP57+$B$20*AQ57)/100*B57/360</f>
        <v/>
      </c>
      <c r="AS57" s="29">
        <f>IF($B$10="RCV",1,-1)*(($B$11/100)-(AM57/100+$B$12/10000))*B57/360</f>
        <v/>
      </c>
    </row>
    <row r="58">
      <c r="A58" s="15">
        <f>EDATE($B$5,12)</f>
        <v/>
      </c>
      <c r="B58" s="27">
        <f>EDATE(A58,1)-A58</f>
        <v/>
      </c>
      <c r="C58" s="14">
        <f>SUMPRODUCT(($D$25:$D$31&gt;A58)*$B$25:$B$31*$C$25:$C$31)/100/12</f>
        <v/>
      </c>
      <c r="D58" s="14">
        <f>$B$6+SUMIFS(H$6:H$22,$G$6:$G$22,"&lt;="&amp;A58)/100</f>
        <v/>
      </c>
      <c r="E58" s="14">
        <f>$B$6+$B$8*(D58-$B$6)+$C$17/100</f>
        <v/>
      </c>
      <c r="F58" s="14">
        <f>$B$6+$B$8*(D58-$B$6)+$C$18/100</f>
        <v/>
      </c>
      <c r="G58" s="14">
        <f>$B$6+$B$8*(AVERAGE(INDEX(D$46:D$69,MAX(1,12)):INDEX(D$46:D$69,13))-$B$6)+$C$19/100</f>
        <v/>
      </c>
      <c r="H58" s="14">
        <f>$B$6+$B$8*(AVERAGE(INDEX(D$46:D$69,MAX(1,11)):INDEX(D$46:D$69,13))-$B$6)+$C$20/100</f>
        <v/>
      </c>
      <c r="I58" s="28">
        <f>($B$17*E58+$B$18*F58+$B$19*G58+$B$20*H58)/100*B58/360</f>
        <v/>
      </c>
      <c r="J58" s="29">
        <f>IF($B$10="RCV",1,-1)*(($B$11/100)-(D58/100+$B$12/10000))*B58/360</f>
        <v/>
      </c>
      <c r="K58" s="14">
        <f>$B$6+SUMIFS(I$6:I$22,$G$6:$G$22,"&lt;="&amp;A58)/100</f>
        <v/>
      </c>
      <c r="L58" s="14">
        <f>$B$6+$B$8*(K58-$B$6)+$C$17/100</f>
        <v/>
      </c>
      <c r="M58" s="14">
        <f>$B$6+$B$8*(K58-$B$6)+$C$18/100</f>
        <v/>
      </c>
      <c r="N58" s="14">
        <f>$B$6+$B$8*(AVERAGE(INDEX(K$46:K$69,MAX(1,12)):INDEX(K$46:K$69,13))-$B$6)+$C$19/100</f>
        <v/>
      </c>
      <c r="O58" s="14">
        <f>$B$6+$B$8*(AVERAGE(INDEX(K$46:K$69,MAX(1,11)):INDEX(K$46:K$69,13))-$B$6)+$C$20/100</f>
        <v/>
      </c>
      <c r="P58" s="28">
        <f>($B$17*L58+$B$18*M58+$B$19*N58+$B$20*O58)/100*B58/360</f>
        <v/>
      </c>
      <c r="Q58" s="29">
        <f>IF($B$10="RCV",1,-1)*(($B$11/100)-(K58/100+$B$12/10000))*B58/360</f>
        <v/>
      </c>
      <c r="R58" s="14">
        <f>$B$6+SUMIFS(J$6:J$22,$G$6:$G$22,"&lt;="&amp;A58)/100</f>
        <v/>
      </c>
      <c r="S58" s="14">
        <f>$B$6+$B$8*(R58-$B$6)+$C$17/100</f>
        <v/>
      </c>
      <c r="T58" s="14">
        <f>$B$6+$B$8*(R58-$B$6)+$C$18/100</f>
        <v/>
      </c>
      <c r="U58" s="14">
        <f>$B$6+$B$8*(AVERAGE(INDEX(R$46:R$69,MAX(1,12)):INDEX(R$46:R$69,13))-$B$6)+$C$19/100</f>
        <v/>
      </c>
      <c r="V58" s="14">
        <f>$B$6+$B$8*(AVERAGE(INDEX(R$46:R$69,MAX(1,11)):INDEX(R$46:R$69,13))-$B$6)+$C$20/100</f>
        <v/>
      </c>
      <c r="W58" s="28">
        <f>($B$17*S58+$B$18*T58+$B$19*U58+$B$20*V58)/100*B58/360</f>
        <v/>
      </c>
      <c r="X58" s="29">
        <f>IF($B$10="RCV",1,-1)*(($B$11/100)-(R58/100+$B$12/10000))*B58/360</f>
        <v/>
      </c>
      <c r="Y58" s="14">
        <f>$B$6+SUMIFS(K$6:K$22,$G$6:$G$22,"&lt;="&amp;A58)/100</f>
        <v/>
      </c>
      <c r="Z58" s="14">
        <f>$B$6+$B$8*(Y58-$B$6)+$C$17/100</f>
        <v/>
      </c>
      <c r="AA58" s="14">
        <f>$B$6+$B$8*(Y58-$B$6)+$C$18/100</f>
        <v/>
      </c>
      <c r="AB58" s="14">
        <f>$B$6+$B$8*(AVERAGE(INDEX(Y$46:Y$69,MAX(1,12)):INDEX(Y$46:Y$69,13))-$B$6)+$C$19/100</f>
        <v/>
      </c>
      <c r="AC58" s="14">
        <f>$B$6+$B$8*(AVERAGE(INDEX(Y$46:Y$69,MAX(1,11)):INDEX(Y$46:Y$69,13))-$B$6)+$C$20/100</f>
        <v/>
      </c>
      <c r="AD58" s="28">
        <f>($B$17*Z58+$B$18*AA58+$B$19*AB58+$B$20*AC58)/100*B58/360</f>
        <v/>
      </c>
      <c r="AE58" s="29">
        <f>IF($B$10="RCV",1,-1)*(($B$11/100)-(Y58/100+$B$12/10000))*B58/360</f>
        <v/>
      </c>
      <c r="AF58" s="14">
        <f>$B$6+SUMIFS(L$6:L$22,$G$6:$G$22,"&lt;="&amp;A58)/100</f>
        <v/>
      </c>
      <c r="AG58" s="14">
        <f>$B$6+$B$8*(AF58-$B$6)+$C$17/100</f>
        <v/>
      </c>
      <c r="AH58" s="14">
        <f>$B$6+$B$8*(AF58-$B$6)+$C$18/100</f>
        <v/>
      </c>
      <c r="AI58" s="14">
        <f>$B$6+$B$8*(AVERAGE(INDEX(AF$46:AF$69,MAX(1,12)):INDEX(AF$46:AF$69,13))-$B$6)+$C$19/100</f>
        <v/>
      </c>
      <c r="AJ58" s="14">
        <f>$B$6+$B$8*(AVERAGE(INDEX(AF$46:AF$69,MAX(1,11)):INDEX(AF$46:AF$69,13))-$B$6)+$C$20/100</f>
        <v/>
      </c>
      <c r="AK58" s="28">
        <f>($B$17*AG58+$B$18*AH58+$B$19*AI58+$B$20*AJ58)/100*B58/360</f>
        <v/>
      </c>
      <c r="AL58" s="29">
        <f>IF($B$10="RCV",1,-1)*(($B$11/100)-(AF58/100+$B$12/10000))*B58/360</f>
        <v/>
      </c>
      <c r="AM58" s="14">
        <f>$B$6+SUMIFS(M$6:M$22,$G$6:$G$22,"&lt;="&amp;A58)/100</f>
        <v/>
      </c>
      <c r="AN58" s="14">
        <f>$B$6+$B$8*(AM58-$B$6)+$C$17/100</f>
        <v/>
      </c>
      <c r="AO58" s="14">
        <f>$B$6+$B$8*(AM58-$B$6)+$C$18/100</f>
        <v/>
      </c>
      <c r="AP58" s="14">
        <f>$B$6+$B$8*(AVERAGE(INDEX(AM$46:AM$69,MAX(1,12)):INDEX(AM$46:AM$69,13))-$B$6)+$C$19/100</f>
        <v/>
      </c>
      <c r="AQ58" s="14">
        <f>$B$6+$B$8*(AVERAGE(INDEX(AM$46:AM$69,MAX(1,11)):INDEX(AM$46:AM$69,13))-$B$6)+$C$20/100</f>
        <v/>
      </c>
      <c r="AR58" s="28">
        <f>($B$17*AN58+$B$18*AO58+$B$19*AP58+$B$20*AQ58)/100*B58/360</f>
        <v/>
      </c>
      <c r="AS58" s="29">
        <f>IF($B$10="RCV",1,-1)*(($B$11/100)-(AM58/100+$B$12/10000))*B58/360</f>
        <v/>
      </c>
    </row>
    <row r="59">
      <c r="A59" s="15">
        <f>EDATE($B$5,13)</f>
        <v/>
      </c>
      <c r="B59" s="27">
        <f>EDATE(A59,1)-A59</f>
        <v/>
      </c>
      <c r="C59" s="14">
        <f>SUMPRODUCT(($D$25:$D$31&gt;A59)*$B$25:$B$31*$C$25:$C$31)/100/12</f>
        <v/>
      </c>
      <c r="D59" s="14">
        <f>$B$6+SUMIFS(H$6:H$22,$G$6:$G$22,"&lt;="&amp;A59)/100</f>
        <v/>
      </c>
      <c r="E59" s="14">
        <f>$B$6+$B$8*(D59-$B$6)+$C$17/100</f>
        <v/>
      </c>
      <c r="F59" s="14">
        <f>$B$6+$B$8*(D59-$B$6)+$C$18/100</f>
        <v/>
      </c>
      <c r="G59" s="14">
        <f>$B$6+$B$8*(AVERAGE(INDEX(D$46:D$69,MAX(1,13)):INDEX(D$46:D$69,14))-$B$6)+$C$19/100</f>
        <v/>
      </c>
      <c r="H59" s="14">
        <f>$B$6+$B$8*(AVERAGE(INDEX(D$46:D$69,MAX(1,12)):INDEX(D$46:D$69,14))-$B$6)+$C$20/100</f>
        <v/>
      </c>
      <c r="I59" s="28">
        <f>($B$17*E59+$B$18*F59+$B$19*G59+$B$20*H59)/100*B59/360</f>
        <v/>
      </c>
      <c r="J59" s="29">
        <f>IF($B$10="RCV",1,-1)*(($B$11/100)-(D59/100+$B$12/10000))*B59/360</f>
        <v/>
      </c>
      <c r="K59" s="14">
        <f>$B$6+SUMIFS(I$6:I$22,$G$6:$G$22,"&lt;="&amp;A59)/100</f>
        <v/>
      </c>
      <c r="L59" s="14">
        <f>$B$6+$B$8*(K59-$B$6)+$C$17/100</f>
        <v/>
      </c>
      <c r="M59" s="14">
        <f>$B$6+$B$8*(K59-$B$6)+$C$18/100</f>
        <v/>
      </c>
      <c r="N59" s="14">
        <f>$B$6+$B$8*(AVERAGE(INDEX(K$46:K$69,MAX(1,13)):INDEX(K$46:K$69,14))-$B$6)+$C$19/100</f>
        <v/>
      </c>
      <c r="O59" s="14">
        <f>$B$6+$B$8*(AVERAGE(INDEX(K$46:K$69,MAX(1,12)):INDEX(K$46:K$69,14))-$B$6)+$C$20/100</f>
        <v/>
      </c>
      <c r="P59" s="28">
        <f>($B$17*L59+$B$18*M59+$B$19*N59+$B$20*O59)/100*B59/360</f>
        <v/>
      </c>
      <c r="Q59" s="29">
        <f>IF($B$10="RCV",1,-1)*(($B$11/100)-(K59/100+$B$12/10000))*B59/360</f>
        <v/>
      </c>
      <c r="R59" s="14">
        <f>$B$6+SUMIFS(J$6:J$22,$G$6:$G$22,"&lt;="&amp;A59)/100</f>
        <v/>
      </c>
      <c r="S59" s="14">
        <f>$B$6+$B$8*(R59-$B$6)+$C$17/100</f>
        <v/>
      </c>
      <c r="T59" s="14">
        <f>$B$6+$B$8*(R59-$B$6)+$C$18/100</f>
        <v/>
      </c>
      <c r="U59" s="14">
        <f>$B$6+$B$8*(AVERAGE(INDEX(R$46:R$69,MAX(1,13)):INDEX(R$46:R$69,14))-$B$6)+$C$19/100</f>
        <v/>
      </c>
      <c r="V59" s="14">
        <f>$B$6+$B$8*(AVERAGE(INDEX(R$46:R$69,MAX(1,12)):INDEX(R$46:R$69,14))-$B$6)+$C$20/100</f>
        <v/>
      </c>
      <c r="W59" s="28">
        <f>($B$17*S59+$B$18*T59+$B$19*U59+$B$20*V59)/100*B59/360</f>
        <v/>
      </c>
      <c r="X59" s="29">
        <f>IF($B$10="RCV",1,-1)*(($B$11/100)-(R59/100+$B$12/10000))*B59/360</f>
        <v/>
      </c>
      <c r="Y59" s="14">
        <f>$B$6+SUMIFS(K$6:K$22,$G$6:$G$22,"&lt;="&amp;A59)/100</f>
        <v/>
      </c>
      <c r="Z59" s="14">
        <f>$B$6+$B$8*(Y59-$B$6)+$C$17/100</f>
        <v/>
      </c>
      <c r="AA59" s="14">
        <f>$B$6+$B$8*(Y59-$B$6)+$C$18/100</f>
        <v/>
      </c>
      <c r="AB59" s="14">
        <f>$B$6+$B$8*(AVERAGE(INDEX(Y$46:Y$69,MAX(1,13)):INDEX(Y$46:Y$69,14))-$B$6)+$C$19/100</f>
        <v/>
      </c>
      <c r="AC59" s="14">
        <f>$B$6+$B$8*(AVERAGE(INDEX(Y$46:Y$69,MAX(1,12)):INDEX(Y$46:Y$69,14))-$B$6)+$C$20/100</f>
        <v/>
      </c>
      <c r="AD59" s="28">
        <f>($B$17*Z59+$B$18*AA59+$B$19*AB59+$B$20*AC59)/100*B59/360</f>
        <v/>
      </c>
      <c r="AE59" s="29">
        <f>IF($B$10="RCV",1,-1)*(($B$11/100)-(Y59/100+$B$12/10000))*B59/360</f>
        <v/>
      </c>
      <c r="AF59" s="14">
        <f>$B$6+SUMIFS(L$6:L$22,$G$6:$G$22,"&lt;="&amp;A59)/100</f>
        <v/>
      </c>
      <c r="AG59" s="14">
        <f>$B$6+$B$8*(AF59-$B$6)+$C$17/100</f>
        <v/>
      </c>
      <c r="AH59" s="14">
        <f>$B$6+$B$8*(AF59-$B$6)+$C$18/100</f>
        <v/>
      </c>
      <c r="AI59" s="14">
        <f>$B$6+$B$8*(AVERAGE(INDEX(AF$46:AF$69,MAX(1,13)):INDEX(AF$46:AF$69,14))-$B$6)+$C$19/100</f>
        <v/>
      </c>
      <c r="AJ59" s="14">
        <f>$B$6+$B$8*(AVERAGE(INDEX(AF$46:AF$69,MAX(1,12)):INDEX(AF$46:AF$69,14))-$B$6)+$C$20/100</f>
        <v/>
      </c>
      <c r="AK59" s="28">
        <f>($B$17*AG59+$B$18*AH59+$B$19*AI59+$B$20*AJ59)/100*B59/360</f>
        <v/>
      </c>
      <c r="AL59" s="29">
        <f>IF($B$10="RCV",1,-1)*(($B$11/100)-(AF59/100+$B$12/10000))*B59/360</f>
        <v/>
      </c>
      <c r="AM59" s="14">
        <f>$B$6+SUMIFS(M$6:M$22,$G$6:$G$22,"&lt;="&amp;A59)/100</f>
        <v/>
      </c>
      <c r="AN59" s="14">
        <f>$B$6+$B$8*(AM59-$B$6)+$C$17/100</f>
        <v/>
      </c>
      <c r="AO59" s="14">
        <f>$B$6+$B$8*(AM59-$B$6)+$C$18/100</f>
        <v/>
      </c>
      <c r="AP59" s="14">
        <f>$B$6+$B$8*(AVERAGE(INDEX(AM$46:AM$69,MAX(1,13)):INDEX(AM$46:AM$69,14))-$B$6)+$C$19/100</f>
        <v/>
      </c>
      <c r="AQ59" s="14">
        <f>$B$6+$B$8*(AVERAGE(INDEX(AM$46:AM$69,MAX(1,12)):INDEX(AM$46:AM$69,14))-$B$6)+$C$20/100</f>
        <v/>
      </c>
      <c r="AR59" s="28">
        <f>($B$17*AN59+$B$18*AO59+$B$19*AP59+$B$20*AQ59)/100*B59/360</f>
        <v/>
      </c>
      <c r="AS59" s="29">
        <f>IF($B$10="RCV",1,-1)*(($B$11/100)-(AM59/100+$B$12/10000))*B59/360</f>
        <v/>
      </c>
    </row>
    <row r="60">
      <c r="A60" s="15">
        <f>EDATE($B$5,14)</f>
        <v/>
      </c>
      <c r="B60" s="27">
        <f>EDATE(A60,1)-A60</f>
        <v/>
      </c>
      <c r="C60" s="14">
        <f>SUMPRODUCT(($D$25:$D$31&gt;A60)*$B$25:$B$31*$C$25:$C$31)/100/12</f>
        <v/>
      </c>
      <c r="D60" s="14">
        <f>$B$6+SUMIFS(H$6:H$22,$G$6:$G$22,"&lt;="&amp;A60)/100</f>
        <v/>
      </c>
      <c r="E60" s="14">
        <f>$B$6+$B$8*(D60-$B$6)+$C$17/100</f>
        <v/>
      </c>
      <c r="F60" s="14">
        <f>$B$6+$B$8*(D60-$B$6)+$C$18/100</f>
        <v/>
      </c>
      <c r="G60" s="14">
        <f>$B$6+$B$8*(AVERAGE(INDEX(D$46:D$69,MAX(1,14)):INDEX(D$46:D$69,15))-$B$6)+$C$19/100</f>
        <v/>
      </c>
      <c r="H60" s="14">
        <f>$B$6+$B$8*(AVERAGE(INDEX(D$46:D$69,MAX(1,13)):INDEX(D$46:D$69,15))-$B$6)+$C$20/100</f>
        <v/>
      </c>
      <c r="I60" s="28">
        <f>($B$17*E60+$B$18*F60+$B$19*G60+$B$20*H60)/100*B60/360</f>
        <v/>
      </c>
      <c r="J60" s="29">
        <f>IF($B$10="RCV",1,-1)*(($B$11/100)-(D60/100+$B$12/10000))*B60/360</f>
        <v/>
      </c>
      <c r="K60" s="14">
        <f>$B$6+SUMIFS(I$6:I$22,$G$6:$G$22,"&lt;="&amp;A60)/100</f>
        <v/>
      </c>
      <c r="L60" s="14">
        <f>$B$6+$B$8*(K60-$B$6)+$C$17/100</f>
        <v/>
      </c>
      <c r="M60" s="14">
        <f>$B$6+$B$8*(K60-$B$6)+$C$18/100</f>
        <v/>
      </c>
      <c r="N60" s="14">
        <f>$B$6+$B$8*(AVERAGE(INDEX(K$46:K$69,MAX(1,14)):INDEX(K$46:K$69,15))-$B$6)+$C$19/100</f>
        <v/>
      </c>
      <c r="O60" s="14">
        <f>$B$6+$B$8*(AVERAGE(INDEX(K$46:K$69,MAX(1,13)):INDEX(K$46:K$69,15))-$B$6)+$C$20/100</f>
        <v/>
      </c>
      <c r="P60" s="28">
        <f>($B$17*L60+$B$18*M60+$B$19*N60+$B$20*O60)/100*B60/360</f>
        <v/>
      </c>
      <c r="Q60" s="29">
        <f>IF($B$10="RCV",1,-1)*(($B$11/100)-(K60/100+$B$12/10000))*B60/360</f>
        <v/>
      </c>
      <c r="R60" s="14">
        <f>$B$6+SUMIFS(J$6:J$22,$G$6:$G$22,"&lt;="&amp;A60)/100</f>
        <v/>
      </c>
      <c r="S60" s="14">
        <f>$B$6+$B$8*(R60-$B$6)+$C$17/100</f>
        <v/>
      </c>
      <c r="T60" s="14">
        <f>$B$6+$B$8*(R60-$B$6)+$C$18/100</f>
        <v/>
      </c>
      <c r="U60" s="14">
        <f>$B$6+$B$8*(AVERAGE(INDEX(R$46:R$69,MAX(1,14)):INDEX(R$46:R$69,15))-$B$6)+$C$19/100</f>
        <v/>
      </c>
      <c r="V60" s="14">
        <f>$B$6+$B$8*(AVERAGE(INDEX(R$46:R$69,MAX(1,13)):INDEX(R$46:R$69,15))-$B$6)+$C$20/100</f>
        <v/>
      </c>
      <c r="W60" s="28">
        <f>($B$17*S60+$B$18*T60+$B$19*U60+$B$20*V60)/100*B60/360</f>
        <v/>
      </c>
      <c r="X60" s="29">
        <f>IF($B$10="RCV",1,-1)*(($B$11/100)-(R60/100+$B$12/10000))*B60/360</f>
        <v/>
      </c>
      <c r="Y60" s="14">
        <f>$B$6+SUMIFS(K$6:K$22,$G$6:$G$22,"&lt;="&amp;A60)/100</f>
        <v/>
      </c>
      <c r="Z60" s="14">
        <f>$B$6+$B$8*(Y60-$B$6)+$C$17/100</f>
        <v/>
      </c>
      <c r="AA60" s="14">
        <f>$B$6+$B$8*(Y60-$B$6)+$C$18/100</f>
        <v/>
      </c>
      <c r="AB60" s="14">
        <f>$B$6+$B$8*(AVERAGE(INDEX(Y$46:Y$69,MAX(1,14)):INDEX(Y$46:Y$69,15))-$B$6)+$C$19/100</f>
        <v/>
      </c>
      <c r="AC60" s="14">
        <f>$B$6+$B$8*(AVERAGE(INDEX(Y$46:Y$69,MAX(1,13)):INDEX(Y$46:Y$69,15))-$B$6)+$C$20/100</f>
        <v/>
      </c>
      <c r="AD60" s="28">
        <f>($B$17*Z60+$B$18*AA60+$B$19*AB60+$B$20*AC60)/100*B60/360</f>
        <v/>
      </c>
      <c r="AE60" s="29">
        <f>IF($B$10="RCV",1,-1)*(($B$11/100)-(Y60/100+$B$12/10000))*B60/360</f>
        <v/>
      </c>
      <c r="AF60" s="14">
        <f>$B$6+SUMIFS(L$6:L$22,$G$6:$G$22,"&lt;="&amp;A60)/100</f>
        <v/>
      </c>
      <c r="AG60" s="14">
        <f>$B$6+$B$8*(AF60-$B$6)+$C$17/100</f>
        <v/>
      </c>
      <c r="AH60" s="14">
        <f>$B$6+$B$8*(AF60-$B$6)+$C$18/100</f>
        <v/>
      </c>
      <c r="AI60" s="14">
        <f>$B$6+$B$8*(AVERAGE(INDEX(AF$46:AF$69,MAX(1,14)):INDEX(AF$46:AF$69,15))-$B$6)+$C$19/100</f>
        <v/>
      </c>
      <c r="AJ60" s="14">
        <f>$B$6+$B$8*(AVERAGE(INDEX(AF$46:AF$69,MAX(1,13)):INDEX(AF$46:AF$69,15))-$B$6)+$C$20/100</f>
        <v/>
      </c>
      <c r="AK60" s="28">
        <f>($B$17*AG60+$B$18*AH60+$B$19*AI60+$B$20*AJ60)/100*B60/360</f>
        <v/>
      </c>
      <c r="AL60" s="29">
        <f>IF($B$10="RCV",1,-1)*(($B$11/100)-(AF60/100+$B$12/10000))*B60/360</f>
        <v/>
      </c>
      <c r="AM60" s="14">
        <f>$B$6+SUMIFS(M$6:M$22,$G$6:$G$22,"&lt;="&amp;A60)/100</f>
        <v/>
      </c>
      <c r="AN60" s="14">
        <f>$B$6+$B$8*(AM60-$B$6)+$C$17/100</f>
        <v/>
      </c>
      <c r="AO60" s="14">
        <f>$B$6+$B$8*(AM60-$B$6)+$C$18/100</f>
        <v/>
      </c>
      <c r="AP60" s="14">
        <f>$B$6+$B$8*(AVERAGE(INDEX(AM$46:AM$69,MAX(1,14)):INDEX(AM$46:AM$69,15))-$B$6)+$C$19/100</f>
        <v/>
      </c>
      <c r="AQ60" s="14">
        <f>$B$6+$B$8*(AVERAGE(INDEX(AM$46:AM$69,MAX(1,13)):INDEX(AM$46:AM$69,15))-$B$6)+$C$20/100</f>
        <v/>
      </c>
      <c r="AR60" s="28">
        <f>($B$17*AN60+$B$18*AO60+$B$19*AP60+$B$20*AQ60)/100*B60/360</f>
        <v/>
      </c>
      <c r="AS60" s="29">
        <f>IF($B$10="RCV",1,-1)*(($B$11/100)-(AM60/100+$B$12/10000))*B60/360</f>
        <v/>
      </c>
    </row>
    <row r="61">
      <c r="A61" s="15">
        <f>EDATE($B$5,15)</f>
        <v/>
      </c>
      <c r="B61" s="27">
        <f>EDATE(A61,1)-A61</f>
        <v/>
      </c>
      <c r="C61" s="14">
        <f>SUMPRODUCT(($D$25:$D$31&gt;A61)*$B$25:$B$31*$C$25:$C$31)/100/12</f>
        <v/>
      </c>
      <c r="D61" s="14">
        <f>$B$6+SUMIFS(H$6:H$22,$G$6:$G$22,"&lt;="&amp;A61)/100</f>
        <v/>
      </c>
      <c r="E61" s="14">
        <f>$B$6+$B$8*(D61-$B$6)+$C$17/100</f>
        <v/>
      </c>
      <c r="F61" s="14">
        <f>$B$6+$B$8*(D61-$B$6)+$C$18/100</f>
        <v/>
      </c>
      <c r="G61" s="14">
        <f>$B$6+$B$8*(AVERAGE(INDEX(D$46:D$69,MAX(1,15)):INDEX(D$46:D$69,16))-$B$6)+$C$19/100</f>
        <v/>
      </c>
      <c r="H61" s="14">
        <f>$B$6+$B$8*(AVERAGE(INDEX(D$46:D$69,MAX(1,14)):INDEX(D$46:D$69,16))-$B$6)+$C$20/100</f>
        <v/>
      </c>
      <c r="I61" s="28">
        <f>($B$17*E61+$B$18*F61+$B$19*G61+$B$20*H61)/100*B61/360</f>
        <v/>
      </c>
      <c r="J61" s="29">
        <f>IF($B$10="RCV",1,-1)*(($B$11/100)-(D61/100+$B$12/10000))*B61/360</f>
        <v/>
      </c>
      <c r="K61" s="14">
        <f>$B$6+SUMIFS(I$6:I$22,$G$6:$G$22,"&lt;="&amp;A61)/100</f>
        <v/>
      </c>
      <c r="L61" s="14">
        <f>$B$6+$B$8*(K61-$B$6)+$C$17/100</f>
        <v/>
      </c>
      <c r="M61" s="14">
        <f>$B$6+$B$8*(K61-$B$6)+$C$18/100</f>
        <v/>
      </c>
      <c r="N61" s="14">
        <f>$B$6+$B$8*(AVERAGE(INDEX(K$46:K$69,MAX(1,15)):INDEX(K$46:K$69,16))-$B$6)+$C$19/100</f>
        <v/>
      </c>
      <c r="O61" s="14">
        <f>$B$6+$B$8*(AVERAGE(INDEX(K$46:K$69,MAX(1,14)):INDEX(K$46:K$69,16))-$B$6)+$C$20/100</f>
        <v/>
      </c>
      <c r="P61" s="28">
        <f>($B$17*L61+$B$18*M61+$B$19*N61+$B$20*O61)/100*B61/360</f>
        <v/>
      </c>
      <c r="Q61" s="29">
        <f>IF($B$10="RCV",1,-1)*(($B$11/100)-(K61/100+$B$12/10000))*B61/360</f>
        <v/>
      </c>
      <c r="R61" s="14">
        <f>$B$6+SUMIFS(J$6:J$22,$G$6:$G$22,"&lt;="&amp;A61)/100</f>
        <v/>
      </c>
      <c r="S61" s="14">
        <f>$B$6+$B$8*(R61-$B$6)+$C$17/100</f>
        <v/>
      </c>
      <c r="T61" s="14">
        <f>$B$6+$B$8*(R61-$B$6)+$C$18/100</f>
        <v/>
      </c>
      <c r="U61" s="14">
        <f>$B$6+$B$8*(AVERAGE(INDEX(R$46:R$69,MAX(1,15)):INDEX(R$46:R$69,16))-$B$6)+$C$19/100</f>
        <v/>
      </c>
      <c r="V61" s="14">
        <f>$B$6+$B$8*(AVERAGE(INDEX(R$46:R$69,MAX(1,14)):INDEX(R$46:R$69,16))-$B$6)+$C$20/100</f>
        <v/>
      </c>
      <c r="W61" s="28">
        <f>($B$17*S61+$B$18*T61+$B$19*U61+$B$20*V61)/100*B61/360</f>
        <v/>
      </c>
      <c r="X61" s="29">
        <f>IF($B$10="RCV",1,-1)*(($B$11/100)-(R61/100+$B$12/10000))*B61/360</f>
        <v/>
      </c>
      <c r="Y61" s="14">
        <f>$B$6+SUMIFS(K$6:K$22,$G$6:$G$22,"&lt;="&amp;A61)/100</f>
        <v/>
      </c>
      <c r="Z61" s="14">
        <f>$B$6+$B$8*(Y61-$B$6)+$C$17/100</f>
        <v/>
      </c>
      <c r="AA61" s="14">
        <f>$B$6+$B$8*(Y61-$B$6)+$C$18/100</f>
        <v/>
      </c>
      <c r="AB61" s="14">
        <f>$B$6+$B$8*(AVERAGE(INDEX(Y$46:Y$69,MAX(1,15)):INDEX(Y$46:Y$69,16))-$B$6)+$C$19/100</f>
        <v/>
      </c>
      <c r="AC61" s="14">
        <f>$B$6+$B$8*(AVERAGE(INDEX(Y$46:Y$69,MAX(1,14)):INDEX(Y$46:Y$69,16))-$B$6)+$C$20/100</f>
        <v/>
      </c>
      <c r="AD61" s="28">
        <f>($B$17*Z61+$B$18*AA61+$B$19*AB61+$B$20*AC61)/100*B61/360</f>
        <v/>
      </c>
      <c r="AE61" s="29">
        <f>IF($B$10="RCV",1,-1)*(($B$11/100)-(Y61/100+$B$12/10000))*B61/360</f>
        <v/>
      </c>
      <c r="AF61" s="14">
        <f>$B$6+SUMIFS(L$6:L$22,$G$6:$G$22,"&lt;="&amp;A61)/100</f>
        <v/>
      </c>
      <c r="AG61" s="14">
        <f>$B$6+$B$8*(AF61-$B$6)+$C$17/100</f>
        <v/>
      </c>
      <c r="AH61" s="14">
        <f>$B$6+$B$8*(AF61-$B$6)+$C$18/100</f>
        <v/>
      </c>
      <c r="AI61" s="14">
        <f>$B$6+$B$8*(AVERAGE(INDEX(AF$46:AF$69,MAX(1,15)):INDEX(AF$46:AF$69,16))-$B$6)+$C$19/100</f>
        <v/>
      </c>
      <c r="AJ61" s="14">
        <f>$B$6+$B$8*(AVERAGE(INDEX(AF$46:AF$69,MAX(1,14)):INDEX(AF$46:AF$69,16))-$B$6)+$C$20/100</f>
        <v/>
      </c>
      <c r="AK61" s="28">
        <f>($B$17*AG61+$B$18*AH61+$B$19*AI61+$B$20*AJ61)/100*B61/360</f>
        <v/>
      </c>
      <c r="AL61" s="29">
        <f>IF($B$10="RCV",1,-1)*(($B$11/100)-(AF61/100+$B$12/10000))*B61/360</f>
        <v/>
      </c>
      <c r="AM61" s="14">
        <f>$B$6+SUMIFS(M$6:M$22,$G$6:$G$22,"&lt;="&amp;A61)/100</f>
        <v/>
      </c>
      <c r="AN61" s="14">
        <f>$B$6+$B$8*(AM61-$B$6)+$C$17/100</f>
        <v/>
      </c>
      <c r="AO61" s="14">
        <f>$B$6+$B$8*(AM61-$B$6)+$C$18/100</f>
        <v/>
      </c>
      <c r="AP61" s="14">
        <f>$B$6+$B$8*(AVERAGE(INDEX(AM$46:AM$69,MAX(1,15)):INDEX(AM$46:AM$69,16))-$B$6)+$C$19/100</f>
        <v/>
      </c>
      <c r="AQ61" s="14">
        <f>$B$6+$B$8*(AVERAGE(INDEX(AM$46:AM$69,MAX(1,14)):INDEX(AM$46:AM$69,16))-$B$6)+$C$20/100</f>
        <v/>
      </c>
      <c r="AR61" s="28">
        <f>($B$17*AN61+$B$18*AO61+$B$19*AP61+$B$20*AQ61)/100*B61/360</f>
        <v/>
      </c>
      <c r="AS61" s="29">
        <f>IF($B$10="RCV",1,-1)*(($B$11/100)-(AM61/100+$B$12/10000))*B61/360</f>
        <v/>
      </c>
    </row>
    <row r="62">
      <c r="A62" s="15">
        <f>EDATE($B$5,16)</f>
        <v/>
      </c>
      <c r="B62" s="27">
        <f>EDATE(A62,1)-A62</f>
        <v/>
      </c>
      <c r="C62" s="14">
        <f>SUMPRODUCT(($D$25:$D$31&gt;A62)*$B$25:$B$31*$C$25:$C$31)/100/12</f>
        <v/>
      </c>
      <c r="D62" s="14">
        <f>$B$6+SUMIFS(H$6:H$22,$G$6:$G$22,"&lt;="&amp;A62)/100</f>
        <v/>
      </c>
      <c r="E62" s="14">
        <f>$B$6+$B$8*(D62-$B$6)+$C$17/100</f>
        <v/>
      </c>
      <c r="F62" s="14">
        <f>$B$6+$B$8*(D62-$B$6)+$C$18/100</f>
        <v/>
      </c>
      <c r="G62" s="14">
        <f>$B$6+$B$8*(AVERAGE(INDEX(D$46:D$69,MAX(1,16)):INDEX(D$46:D$69,17))-$B$6)+$C$19/100</f>
        <v/>
      </c>
      <c r="H62" s="14">
        <f>$B$6+$B$8*(AVERAGE(INDEX(D$46:D$69,MAX(1,15)):INDEX(D$46:D$69,17))-$B$6)+$C$20/100</f>
        <v/>
      </c>
      <c r="I62" s="28">
        <f>($B$17*E62+$B$18*F62+$B$19*G62+$B$20*H62)/100*B62/360</f>
        <v/>
      </c>
      <c r="J62" s="29">
        <f>IF($B$10="RCV",1,-1)*(($B$11/100)-(D62/100+$B$12/10000))*B62/360</f>
        <v/>
      </c>
      <c r="K62" s="14">
        <f>$B$6+SUMIFS(I$6:I$22,$G$6:$G$22,"&lt;="&amp;A62)/100</f>
        <v/>
      </c>
      <c r="L62" s="14">
        <f>$B$6+$B$8*(K62-$B$6)+$C$17/100</f>
        <v/>
      </c>
      <c r="M62" s="14">
        <f>$B$6+$B$8*(K62-$B$6)+$C$18/100</f>
        <v/>
      </c>
      <c r="N62" s="14">
        <f>$B$6+$B$8*(AVERAGE(INDEX(K$46:K$69,MAX(1,16)):INDEX(K$46:K$69,17))-$B$6)+$C$19/100</f>
        <v/>
      </c>
      <c r="O62" s="14">
        <f>$B$6+$B$8*(AVERAGE(INDEX(K$46:K$69,MAX(1,15)):INDEX(K$46:K$69,17))-$B$6)+$C$20/100</f>
        <v/>
      </c>
      <c r="P62" s="28">
        <f>($B$17*L62+$B$18*M62+$B$19*N62+$B$20*O62)/100*B62/360</f>
        <v/>
      </c>
      <c r="Q62" s="29">
        <f>IF($B$10="RCV",1,-1)*(($B$11/100)-(K62/100+$B$12/10000))*B62/360</f>
        <v/>
      </c>
      <c r="R62" s="14">
        <f>$B$6+SUMIFS(J$6:J$22,$G$6:$G$22,"&lt;="&amp;A62)/100</f>
        <v/>
      </c>
      <c r="S62" s="14">
        <f>$B$6+$B$8*(R62-$B$6)+$C$17/100</f>
        <v/>
      </c>
      <c r="T62" s="14">
        <f>$B$6+$B$8*(R62-$B$6)+$C$18/100</f>
        <v/>
      </c>
      <c r="U62" s="14">
        <f>$B$6+$B$8*(AVERAGE(INDEX(R$46:R$69,MAX(1,16)):INDEX(R$46:R$69,17))-$B$6)+$C$19/100</f>
        <v/>
      </c>
      <c r="V62" s="14">
        <f>$B$6+$B$8*(AVERAGE(INDEX(R$46:R$69,MAX(1,15)):INDEX(R$46:R$69,17))-$B$6)+$C$20/100</f>
        <v/>
      </c>
      <c r="W62" s="28">
        <f>($B$17*S62+$B$18*T62+$B$19*U62+$B$20*V62)/100*B62/360</f>
        <v/>
      </c>
      <c r="X62" s="29">
        <f>IF($B$10="RCV",1,-1)*(($B$11/100)-(R62/100+$B$12/10000))*B62/360</f>
        <v/>
      </c>
      <c r="Y62" s="14">
        <f>$B$6+SUMIFS(K$6:K$22,$G$6:$G$22,"&lt;="&amp;A62)/100</f>
        <v/>
      </c>
      <c r="Z62" s="14">
        <f>$B$6+$B$8*(Y62-$B$6)+$C$17/100</f>
        <v/>
      </c>
      <c r="AA62" s="14">
        <f>$B$6+$B$8*(Y62-$B$6)+$C$18/100</f>
        <v/>
      </c>
      <c r="AB62" s="14">
        <f>$B$6+$B$8*(AVERAGE(INDEX(Y$46:Y$69,MAX(1,16)):INDEX(Y$46:Y$69,17))-$B$6)+$C$19/100</f>
        <v/>
      </c>
      <c r="AC62" s="14">
        <f>$B$6+$B$8*(AVERAGE(INDEX(Y$46:Y$69,MAX(1,15)):INDEX(Y$46:Y$69,17))-$B$6)+$C$20/100</f>
        <v/>
      </c>
      <c r="AD62" s="28">
        <f>($B$17*Z62+$B$18*AA62+$B$19*AB62+$B$20*AC62)/100*B62/360</f>
        <v/>
      </c>
      <c r="AE62" s="29">
        <f>IF($B$10="RCV",1,-1)*(($B$11/100)-(Y62/100+$B$12/10000))*B62/360</f>
        <v/>
      </c>
      <c r="AF62" s="14">
        <f>$B$6+SUMIFS(L$6:L$22,$G$6:$G$22,"&lt;="&amp;A62)/100</f>
        <v/>
      </c>
      <c r="AG62" s="14">
        <f>$B$6+$B$8*(AF62-$B$6)+$C$17/100</f>
        <v/>
      </c>
      <c r="AH62" s="14">
        <f>$B$6+$B$8*(AF62-$B$6)+$C$18/100</f>
        <v/>
      </c>
      <c r="AI62" s="14">
        <f>$B$6+$B$8*(AVERAGE(INDEX(AF$46:AF$69,MAX(1,16)):INDEX(AF$46:AF$69,17))-$B$6)+$C$19/100</f>
        <v/>
      </c>
      <c r="AJ62" s="14">
        <f>$B$6+$B$8*(AVERAGE(INDEX(AF$46:AF$69,MAX(1,15)):INDEX(AF$46:AF$69,17))-$B$6)+$C$20/100</f>
        <v/>
      </c>
      <c r="AK62" s="28">
        <f>($B$17*AG62+$B$18*AH62+$B$19*AI62+$B$20*AJ62)/100*B62/360</f>
        <v/>
      </c>
      <c r="AL62" s="29">
        <f>IF($B$10="RCV",1,-1)*(($B$11/100)-(AF62/100+$B$12/10000))*B62/360</f>
        <v/>
      </c>
      <c r="AM62" s="14">
        <f>$B$6+SUMIFS(M$6:M$22,$G$6:$G$22,"&lt;="&amp;A62)/100</f>
        <v/>
      </c>
      <c r="AN62" s="14">
        <f>$B$6+$B$8*(AM62-$B$6)+$C$17/100</f>
        <v/>
      </c>
      <c r="AO62" s="14">
        <f>$B$6+$B$8*(AM62-$B$6)+$C$18/100</f>
        <v/>
      </c>
      <c r="AP62" s="14">
        <f>$B$6+$B$8*(AVERAGE(INDEX(AM$46:AM$69,MAX(1,16)):INDEX(AM$46:AM$69,17))-$B$6)+$C$19/100</f>
        <v/>
      </c>
      <c r="AQ62" s="14">
        <f>$B$6+$B$8*(AVERAGE(INDEX(AM$46:AM$69,MAX(1,15)):INDEX(AM$46:AM$69,17))-$B$6)+$C$20/100</f>
        <v/>
      </c>
      <c r="AR62" s="28">
        <f>($B$17*AN62+$B$18*AO62+$B$19*AP62+$B$20*AQ62)/100*B62/360</f>
        <v/>
      </c>
      <c r="AS62" s="29">
        <f>IF($B$10="RCV",1,-1)*(($B$11/100)-(AM62/100+$B$12/10000))*B62/360</f>
        <v/>
      </c>
    </row>
    <row r="63">
      <c r="A63" s="15">
        <f>EDATE($B$5,17)</f>
        <v/>
      </c>
      <c r="B63" s="27">
        <f>EDATE(A63,1)-A63</f>
        <v/>
      </c>
      <c r="C63" s="14">
        <f>SUMPRODUCT(($D$25:$D$31&gt;A63)*$B$25:$B$31*$C$25:$C$31)/100/12</f>
        <v/>
      </c>
      <c r="D63" s="14">
        <f>$B$6+SUMIFS(H$6:H$22,$G$6:$G$22,"&lt;="&amp;A63)/100</f>
        <v/>
      </c>
      <c r="E63" s="14">
        <f>$B$6+$B$8*(D63-$B$6)+$C$17/100</f>
        <v/>
      </c>
      <c r="F63" s="14">
        <f>$B$6+$B$8*(D63-$B$6)+$C$18/100</f>
        <v/>
      </c>
      <c r="G63" s="14">
        <f>$B$6+$B$8*(AVERAGE(INDEX(D$46:D$69,MAX(1,17)):INDEX(D$46:D$69,18))-$B$6)+$C$19/100</f>
        <v/>
      </c>
      <c r="H63" s="14">
        <f>$B$6+$B$8*(AVERAGE(INDEX(D$46:D$69,MAX(1,16)):INDEX(D$46:D$69,18))-$B$6)+$C$20/100</f>
        <v/>
      </c>
      <c r="I63" s="28">
        <f>($B$17*E63+$B$18*F63+$B$19*G63+$B$20*H63)/100*B63/360</f>
        <v/>
      </c>
      <c r="J63" s="29">
        <f>IF($B$10="RCV",1,-1)*(($B$11/100)-(D63/100+$B$12/10000))*B63/360</f>
        <v/>
      </c>
      <c r="K63" s="14">
        <f>$B$6+SUMIFS(I$6:I$22,$G$6:$G$22,"&lt;="&amp;A63)/100</f>
        <v/>
      </c>
      <c r="L63" s="14">
        <f>$B$6+$B$8*(K63-$B$6)+$C$17/100</f>
        <v/>
      </c>
      <c r="M63" s="14">
        <f>$B$6+$B$8*(K63-$B$6)+$C$18/100</f>
        <v/>
      </c>
      <c r="N63" s="14">
        <f>$B$6+$B$8*(AVERAGE(INDEX(K$46:K$69,MAX(1,17)):INDEX(K$46:K$69,18))-$B$6)+$C$19/100</f>
        <v/>
      </c>
      <c r="O63" s="14">
        <f>$B$6+$B$8*(AVERAGE(INDEX(K$46:K$69,MAX(1,16)):INDEX(K$46:K$69,18))-$B$6)+$C$20/100</f>
        <v/>
      </c>
      <c r="P63" s="28">
        <f>($B$17*L63+$B$18*M63+$B$19*N63+$B$20*O63)/100*B63/360</f>
        <v/>
      </c>
      <c r="Q63" s="29">
        <f>IF($B$10="RCV",1,-1)*(($B$11/100)-(K63/100+$B$12/10000))*B63/360</f>
        <v/>
      </c>
      <c r="R63" s="14">
        <f>$B$6+SUMIFS(J$6:J$22,$G$6:$G$22,"&lt;="&amp;A63)/100</f>
        <v/>
      </c>
      <c r="S63" s="14">
        <f>$B$6+$B$8*(R63-$B$6)+$C$17/100</f>
        <v/>
      </c>
      <c r="T63" s="14">
        <f>$B$6+$B$8*(R63-$B$6)+$C$18/100</f>
        <v/>
      </c>
      <c r="U63" s="14">
        <f>$B$6+$B$8*(AVERAGE(INDEX(R$46:R$69,MAX(1,17)):INDEX(R$46:R$69,18))-$B$6)+$C$19/100</f>
        <v/>
      </c>
      <c r="V63" s="14">
        <f>$B$6+$B$8*(AVERAGE(INDEX(R$46:R$69,MAX(1,16)):INDEX(R$46:R$69,18))-$B$6)+$C$20/100</f>
        <v/>
      </c>
      <c r="W63" s="28">
        <f>($B$17*S63+$B$18*T63+$B$19*U63+$B$20*V63)/100*B63/360</f>
        <v/>
      </c>
      <c r="X63" s="29">
        <f>IF($B$10="RCV",1,-1)*(($B$11/100)-(R63/100+$B$12/10000))*B63/360</f>
        <v/>
      </c>
      <c r="Y63" s="14">
        <f>$B$6+SUMIFS(K$6:K$22,$G$6:$G$22,"&lt;="&amp;A63)/100</f>
        <v/>
      </c>
      <c r="Z63" s="14">
        <f>$B$6+$B$8*(Y63-$B$6)+$C$17/100</f>
        <v/>
      </c>
      <c r="AA63" s="14">
        <f>$B$6+$B$8*(Y63-$B$6)+$C$18/100</f>
        <v/>
      </c>
      <c r="AB63" s="14">
        <f>$B$6+$B$8*(AVERAGE(INDEX(Y$46:Y$69,MAX(1,17)):INDEX(Y$46:Y$69,18))-$B$6)+$C$19/100</f>
        <v/>
      </c>
      <c r="AC63" s="14">
        <f>$B$6+$B$8*(AVERAGE(INDEX(Y$46:Y$69,MAX(1,16)):INDEX(Y$46:Y$69,18))-$B$6)+$C$20/100</f>
        <v/>
      </c>
      <c r="AD63" s="28">
        <f>($B$17*Z63+$B$18*AA63+$B$19*AB63+$B$20*AC63)/100*B63/360</f>
        <v/>
      </c>
      <c r="AE63" s="29">
        <f>IF($B$10="RCV",1,-1)*(($B$11/100)-(Y63/100+$B$12/10000))*B63/360</f>
        <v/>
      </c>
      <c r="AF63" s="14">
        <f>$B$6+SUMIFS(L$6:L$22,$G$6:$G$22,"&lt;="&amp;A63)/100</f>
        <v/>
      </c>
      <c r="AG63" s="14">
        <f>$B$6+$B$8*(AF63-$B$6)+$C$17/100</f>
        <v/>
      </c>
      <c r="AH63" s="14">
        <f>$B$6+$B$8*(AF63-$B$6)+$C$18/100</f>
        <v/>
      </c>
      <c r="AI63" s="14">
        <f>$B$6+$B$8*(AVERAGE(INDEX(AF$46:AF$69,MAX(1,17)):INDEX(AF$46:AF$69,18))-$B$6)+$C$19/100</f>
        <v/>
      </c>
      <c r="AJ63" s="14">
        <f>$B$6+$B$8*(AVERAGE(INDEX(AF$46:AF$69,MAX(1,16)):INDEX(AF$46:AF$69,18))-$B$6)+$C$20/100</f>
        <v/>
      </c>
      <c r="AK63" s="28">
        <f>($B$17*AG63+$B$18*AH63+$B$19*AI63+$B$20*AJ63)/100*B63/360</f>
        <v/>
      </c>
      <c r="AL63" s="29">
        <f>IF($B$10="RCV",1,-1)*(($B$11/100)-(AF63/100+$B$12/10000))*B63/360</f>
        <v/>
      </c>
      <c r="AM63" s="14">
        <f>$B$6+SUMIFS(M$6:M$22,$G$6:$G$22,"&lt;="&amp;A63)/100</f>
        <v/>
      </c>
      <c r="AN63" s="14">
        <f>$B$6+$B$8*(AM63-$B$6)+$C$17/100</f>
        <v/>
      </c>
      <c r="AO63" s="14">
        <f>$B$6+$B$8*(AM63-$B$6)+$C$18/100</f>
        <v/>
      </c>
      <c r="AP63" s="14">
        <f>$B$6+$B$8*(AVERAGE(INDEX(AM$46:AM$69,MAX(1,17)):INDEX(AM$46:AM$69,18))-$B$6)+$C$19/100</f>
        <v/>
      </c>
      <c r="AQ63" s="14">
        <f>$B$6+$B$8*(AVERAGE(INDEX(AM$46:AM$69,MAX(1,16)):INDEX(AM$46:AM$69,18))-$B$6)+$C$20/100</f>
        <v/>
      </c>
      <c r="AR63" s="28">
        <f>($B$17*AN63+$B$18*AO63+$B$19*AP63+$B$20*AQ63)/100*B63/360</f>
        <v/>
      </c>
      <c r="AS63" s="29">
        <f>IF($B$10="RCV",1,-1)*(($B$11/100)-(AM63/100+$B$12/10000))*B63/360</f>
        <v/>
      </c>
    </row>
    <row r="64">
      <c r="A64" s="15">
        <f>EDATE($B$5,18)</f>
        <v/>
      </c>
      <c r="B64" s="27">
        <f>EDATE(A64,1)-A64</f>
        <v/>
      </c>
      <c r="C64" s="14">
        <f>SUMPRODUCT(($D$25:$D$31&gt;A64)*$B$25:$B$31*$C$25:$C$31)/100/12</f>
        <v/>
      </c>
      <c r="D64" s="14">
        <f>$B$6+SUMIFS(H$6:H$22,$G$6:$G$22,"&lt;="&amp;A64)/100</f>
        <v/>
      </c>
      <c r="E64" s="14">
        <f>$B$6+$B$8*(D64-$B$6)+$C$17/100</f>
        <v/>
      </c>
      <c r="F64" s="14">
        <f>$B$6+$B$8*(D64-$B$6)+$C$18/100</f>
        <v/>
      </c>
      <c r="G64" s="14">
        <f>$B$6+$B$8*(AVERAGE(INDEX(D$46:D$69,MAX(1,18)):INDEX(D$46:D$69,19))-$B$6)+$C$19/100</f>
        <v/>
      </c>
      <c r="H64" s="14">
        <f>$B$6+$B$8*(AVERAGE(INDEX(D$46:D$69,MAX(1,17)):INDEX(D$46:D$69,19))-$B$6)+$C$20/100</f>
        <v/>
      </c>
      <c r="I64" s="28">
        <f>($B$17*E64+$B$18*F64+$B$19*G64+$B$20*H64)/100*B64/360</f>
        <v/>
      </c>
      <c r="J64" s="29">
        <f>IF($B$10="RCV",1,-1)*(($B$11/100)-(D64/100+$B$12/10000))*B64/360</f>
        <v/>
      </c>
      <c r="K64" s="14">
        <f>$B$6+SUMIFS(I$6:I$22,$G$6:$G$22,"&lt;="&amp;A64)/100</f>
        <v/>
      </c>
      <c r="L64" s="14">
        <f>$B$6+$B$8*(K64-$B$6)+$C$17/100</f>
        <v/>
      </c>
      <c r="M64" s="14">
        <f>$B$6+$B$8*(K64-$B$6)+$C$18/100</f>
        <v/>
      </c>
      <c r="N64" s="14">
        <f>$B$6+$B$8*(AVERAGE(INDEX(K$46:K$69,MAX(1,18)):INDEX(K$46:K$69,19))-$B$6)+$C$19/100</f>
        <v/>
      </c>
      <c r="O64" s="14">
        <f>$B$6+$B$8*(AVERAGE(INDEX(K$46:K$69,MAX(1,17)):INDEX(K$46:K$69,19))-$B$6)+$C$20/100</f>
        <v/>
      </c>
      <c r="P64" s="28">
        <f>($B$17*L64+$B$18*M64+$B$19*N64+$B$20*O64)/100*B64/360</f>
        <v/>
      </c>
      <c r="Q64" s="29">
        <f>IF($B$10="RCV",1,-1)*(($B$11/100)-(K64/100+$B$12/10000))*B64/360</f>
        <v/>
      </c>
      <c r="R64" s="14">
        <f>$B$6+SUMIFS(J$6:J$22,$G$6:$G$22,"&lt;="&amp;A64)/100</f>
        <v/>
      </c>
      <c r="S64" s="14">
        <f>$B$6+$B$8*(R64-$B$6)+$C$17/100</f>
        <v/>
      </c>
      <c r="T64" s="14">
        <f>$B$6+$B$8*(R64-$B$6)+$C$18/100</f>
        <v/>
      </c>
      <c r="U64" s="14">
        <f>$B$6+$B$8*(AVERAGE(INDEX(R$46:R$69,MAX(1,18)):INDEX(R$46:R$69,19))-$B$6)+$C$19/100</f>
        <v/>
      </c>
      <c r="V64" s="14">
        <f>$B$6+$B$8*(AVERAGE(INDEX(R$46:R$69,MAX(1,17)):INDEX(R$46:R$69,19))-$B$6)+$C$20/100</f>
        <v/>
      </c>
      <c r="W64" s="28">
        <f>($B$17*S64+$B$18*T64+$B$19*U64+$B$20*V64)/100*B64/360</f>
        <v/>
      </c>
      <c r="X64" s="29">
        <f>IF($B$10="RCV",1,-1)*(($B$11/100)-(R64/100+$B$12/10000))*B64/360</f>
        <v/>
      </c>
      <c r="Y64" s="14">
        <f>$B$6+SUMIFS(K$6:K$22,$G$6:$G$22,"&lt;="&amp;A64)/100</f>
        <v/>
      </c>
      <c r="Z64" s="14">
        <f>$B$6+$B$8*(Y64-$B$6)+$C$17/100</f>
        <v/>
      </c>
      <c r="AA64" s="14">
        <f>$B$6+$B$8*(Y64-$B$6)+$C$18/100</f>
        <v/>
      </c>
      <c r="AB64" s="14">
        <f>$B$6+$B$8*(AVERAGE(INDEX(Y$46:Y$69,MAX(1,18)):INDEX(Y$46:Y$69,19))-$B$6)+$C$19/100</f>
        <v/>
      </c>
      <c r="AC64" s="14">
        <f>$B$6+$B$8*(AVERAGE(INDEX(Y$46:Y$69,MAX(1,17)):INDEX(Y$46:Y$69,19))-$B$6)+$C$20/100</f>
        <v/>
      </c>
      <c r="AD64" s="28">
        <f>($B$17*Z64+$B$18*AA64+$B$19*AB64+$B$20*AC64)/100*B64/360</f>
        <v/>
      </c>
      <c r="AE64" s="29">
        <f>IF($B$10="RCV",1,-1)*(($B$11/100)-(Y64/100+$B$12/10000))*B64/360</f>
        <v/>
      </c>
      <c r="AF64" s="14">
        <f>$B$6+SUMIFS(L$6:L$22,$G$6:$G$22,"&lt;="&amp;A64)/100</f>
        <v/>
      </c>
      <c r="AG64" s="14">
        <f>$B$6+$B$8*(AF64-$B$6)+$C$17/100</f>
        <v/>
      </c>
      <c r="AH64" s="14">
        <f>$B$6+$B$8*(AF64-$B$6)+$C$18/100</f>
        <v/>
      </c>
      <c r="AI64" s="14">
        <f>$B$6+$B$8*(AVERAGE(INDEX(AF$46:AF$69,MAX(1,18)):INDEX(AF$46:AF$69,19))-$B$6)+$C$19/100</f>
        <v/>
      </c>
      <c r="AJ64" s="14">
        <f>$B$6+$B$8*(AVERAGE(INDEX(AF$46:AF$69,MAX(1,17)):INDEX(AF$46:AF$69,19))-$B$6)+$C$20/100</f>
        <v/>
      </c>
      <c r="AK64" s="28">
        <f>($B$17*AG64+$B$18*AH64+$B$19*AI64+$B$20*AJ64)/100*B64/360</f>
        <v/>
      </c>
      <c r="AL64" s="29">
        <f>IF($B$10="RCV",1,-1)*(($B$11/100)-(AF64/100+$B$12/10000))*B64/360</f>
        <v/>
      </c>
      <c r="AM64" s="14">
        <f>$B$6+SUMIFS(M$6:M$22,$G$6:$G$22,"&lt;="&amp;A64)/100</f>
        <v/>
      </c>
      <c r="AN64" s="14">
        <f>$B$6+$B$8*(AM64-$B$6)+$C$17/100</f>
        <v/>
      </c>
      <c r="AO64" s="14">
        <f>$B$6+$B$8*(AM64-$B$6)+$C$18/100</f>
        <v/>
      </c>
      <c r="AP64" s="14">
        <f>$B$6+$B$8*(AVERAGE(INDEX(AM$46:AM$69,MAX(1,18)):INDEX(AM$46:AM$69,19))-$B$6)+$C$19/100</f>
        <v/>
      </c>
      <c r="AQ64" s="14">
        <f>$B$6+$B$8*(AVERAGE(INDEX(AM$46:AM$69,MAX(1,17)):INDEX(AM$46:AM$69,19))-$B$6)+$C$20/100</f>
        <v/>
      </c>
      <c r="AR64" s="28">
        <f>($B$17*AN64+$B$18*AO64+$B$19*AP64+$B$20*AQ64)/100*B64/360</f>
        <v/>
      </c>
      <c r="AS64" s="29">
        <f>IF($B$10="RCV",1,-1)*(($B$11/100)-(AM64/100+$B$12/10000))*B64/360</f>
        <v/>
      </c>
    </row>
    <row r="65">
      <c r="A65" s="15">
        <f>EDATE($B$5,19)</f>
        <v/>
      </c>
      <c r="B65" s="27">
        <f>EDATE(A65,1)-A65</f>
        <v/>
      </c>
      <c r="C65" s="14">
        <f>SUMPRODUCT(($D$25:$D$31&gt;A65)*$B$25:$B$31*$C$25:$C$31)/100/12</f>
        <v/>
      </c>
      <c r="D65" s="14">
        <f>$B$6+SUMIFS(H$6:H$22,$G$6:$G$22,"&lt;="&amp;A65)/100</f>
        <v/>
      </c>
      <c r="E65" s="14">
        <f>$B$6+$B$8*(D65-$B$6)+$C$17/100</f>
        <v/>
      </c>
      <c r="F65" s="14">
        <f>$B$6+$B$8*(D65-$B$6)+$C$18/100</f>
        <v/>
      </c>
      <c r="G65" s="14">
        <f>$B$6+$B$8*(AVERAGE(INDEX(D$46:D$69,MAX(1,19)):INDEX(D$46:D$69,20))-$B$6)+$C$19/100</f>
        <v/>
      </c>
      <c r="H65" s="14">
        <f>$B$6+$B$8*(AVERAGE(INDEX(D$46:D$69,MAX(1,18)):INDEX(D$46:D$69,20))-$B$6)+$C$20/100</f>
        <v/>
      </c>
      <c r="I65" s="28">
        <f>($B$17*E65+$B$18*F65+$B$19*G65+$B$20*H65)/100*B65/360</f>
        <v/>
      </c>
      <c r="J65" s="29">
        <f>IF($B$10="RCV",1,-1)*(($B$11/100)-(D65/100+$B$12/10000))*B65/360</f>
        <v/>
      </c>
      <c r="K65" s="14">
        <f>$B$6+SUMIFS(I$6:I$22,$G$6:$G$22,"&lt;="&amp;A65)/100</f>
        <v/>
      </c>
      <c r="L65" s="14">
        <f>$B$6+$B$8*(K65-$B$6)+$C$17/100</f>
        <v/>
      </c>
      <c r="M65" s="14">
        <f>$B$6+$B$8*(K65-$B$6)+$C$18/100</f>
        <v/>
      </c>
      <c r="N65" s="14">
        <f>$B$6+$B$8*(AVERAGE(INDEX(K$46:K$69,MAX(1,19)):INDEX(K$46:K$69,20))-$B$6)+$C$19/100</f>
        <v/>
      </c>
      <c r="O65" s="14">
        <f>$B$6+$B$8*(AVERAGE(INDEX(K$46:K$69,MAX(1,18)):INDEX(K$46:K$69,20))-$B$6)+$C$20/100</f>
        <v/>
      </c>
      <c r="P65" s="28">
        <f>($B$17*L65+$B$18*M65+$B$19*N65+$B$20*O65)/100*B65/360</f>
        <v/>
      </c>
      <c r="Q65" s="29">
        <f>IF($B$10="RCV",1,-1)*(($B$11/100)-(K65/100+$B$12/10000))*B65/360</f>
        <v/>
      </c>
      <c r="R65" s="14">
        <f>$B$6+SUMIFS(J$6:J$22,$G$6:$G$22,"&lt;="&amp;A65)/100</f>
        <v/>
      </c>
      <c r="S65" s="14">
        <f>$B$6+$B$8*(R65-$B$6)+$C$17/100</f>
        <v/>
      </c>
      <c r="T65" s="14">
        <f>$B$6+$B$8*(R65-$B$6)+$C$18/100</f>
        <v/>
      </c>
      <c r="U65" s="14">
        <f>$B$6+$B$8*(AVERAGE(INDEX(R$46:R$69,MAX(1,19)):INDEX(R$46:R$69,20))-$B$6)+$C$19/100</f>
        <v/>
      </c>
      <c r="V65" s="14">
        <f>$B$6+$B$8*(AVERAGE(INDEX(R$46:R$69,MAX(1,18)):INDEX(R$46:R$69,20))-$B$6)+$C$20/100</f>
        <v/>
      </c>
      <c r="W65" s="28">
        <f>($B$17*S65+$B$18*T65+$B$19*U65+$B$20*V65)/100*B65/360</f>
        <v/>
      </c>
      <c r="X65" s="29">
        <f>IF($B$10="RCV",1,-1)*(($B$11/100)-(R65/100+$B$12/10000))*B65/360</f>
        <v/>
      </c>
      <c r="Y65" s="14">
        <f>$B$6+SUMIFS(K$6:K$22,$G$6:$G$22,"&lt;="&amp;A65)/100</f>
        <v/>
      </c>
      <c r="Z65" s="14">
        <f>$B$6+$B$8*(Y65-$B$6)+$C$17/100</f>
        <v/>
      </c>
      <c r="AA65" s="14">
        <f>$B$6+$B$8*(Y65-$B$6)+$C$18/100</f>
        <v/>
      </c>
      <c r="AB65" s="14">
        <f>$B$6+$B$8*(AVERAGE(INDEX(Y$46:Y$69,MAX(1,19)):INDEX(Y$46:Y$69,20))-$B$6)+$C$19/100</f>
        <v/>
      </c>
      <c r="AC65" s="14">
        <f>$B$6+$B$8*(AVERAGE(INDEX(Y$46:Y$69,MAX(1,18)):INDEX(Y$46:Y$69,20))-$B$6)+$C$20/100</f>
        <v/>
      </c>
      <c r="AD65" s="28">
        <f>($B$17*Z65+$B$18*AA65+$B$19*AB65+$B$20*AC65)/100*B65/360</f>
        <v/>
      </c>
      <c r="AE65" s="29">
        <f>IF($B$10="RCV",1,-1)*(($B$11/100)-(Y65/100+$B$12/10000))*B65/360</f>
        <v/>
      </c>
      <c r="AF65" s="14">
        <f>$B$6+SUMIFS(L$6:L$22,$G$6:$G$22,"&lt;="&amp;A65)/100</f>
        <v/>
      </c>
      <c r="AG65" s="14">
        <f>$B$6+$B$8*(AF65-$B$6)+$C$17/100</f>
        <v/>
      </c>
      <c r="AH65" s="14">
        <f>$B$6+$B$8*(AF65-$B$6)+$C$18/100</f>
        <v/>
      </c>
      <c r="AI65" s="14">
        <f>$B$6+$B$8*(AVERAGE(INDEX(AF$46:AF$69,MAX(1,19)):INDEX(AF$46:AF$69,20))-$B$6)+$C$19/100</f>
        <v/>
      </c>
      <c r="AJ65" s="14">
        <f>$B$6+$B$8*(AVERAGE(INDEX(AF$46:AF$69,MAX(1,18)):INDEX(AF$46:AF$69,20))-$B$6)+$C$20/100</f>
        <v/>
      </c>
      <c r="AK65" s="28">
        <f>($B$17*AG65+$B$18*AH65+$B$19*AI65+$B$20*AJ65)/100*B65/360</f>
        <v/>
      </c>
      <c r="AL65" s="29">
        <f>IF($B$10="RCV",1,-1)*(($B$11/100)-(AF65/100+$B$12/10000))*B65/360</f>
        <v/>
      </c>
      <c r="AM65" s="14">
        <f>$B$6+SUMIFS(M$6:M$22,$G$6:$G$22,"&lt;="&amp;A65)/100</f>
        <v/>
      </c>
      <c r="AN65" s="14">
        <f>$B$6+$B$8*(AM65-$B$6)+$C$17/100</f>
        <v/>
      </c>
      <c r="AO65" s="14">
        <f>$B$6+$B$8*(AM65-$B$6)+$C$18/100</f>
        <v/>
      </c>
      <c r="AP65" s="14">
        <f>$B$6+$B$8*(AVERAGE(INDEX(AM$46:AM$69,MAX(1,19)):INDEX(AM$46:AM$69,20))-$B$6)+$C$19/100</f>
        <v/>
      </c>
      <c r="AQ65" s="14">
        <f>$B$6+$B$8*(AVERAGE(INDEX(AM$46:AM$69,MAX(1,18)):INDEX(AM$46:AM$69,20))-$B$6)+$C$20/100</f>
        <v/>
      </c>
      <c r="AR65" s="28">
        <f>($B$17*AN65+$B$18*AO65+$B$19*AP65+$B$20*AQ65)/100*B65/360</f>
        <v/>
      </c>
      <c r="AS65" s="29">
        <f>IF($B$10="RCV",1,-1)*(($B$11/100)-(AM65/100+$B$12/10000))*B65/360</f>
        <v/>
      </c>
    </row>
    <row r="66">
      <c r="A66" s="15">
        <f>EDATE($B$5,20)</f>
        <v/>
      </c>
      <c r="B66" s="27">
        <f>EDATE(A66,1)-A66</f>
        <v/>
      </c>
      <c r="C66" s="14">
        <f>SUMPRODUCT(($D$25:$D$31&gt;A66)*$B$25:$B$31*$C$25:$C$31)/100/12</f>
        <v/>
      </c>
      <c r="D66" s="14">
        <f>$B$6+SUMIFS(H$6:H$22,$G$6:$G$22,"&lt;="&amp;A66)/100</f>
        <v/>
      </c>
      <c r="E66" s="14">
        <f>$B$6+$B$8*(D66-$B$6)+$C$17/100</f>
        <v/>
      </c>
      <c r="F66" s="14">
        <f>$B$6+$B$8*(D66-$B$6)+$C$18/100</f>
        <v/>
      </c>
      <c r="G66" s="14">
        <f>$B$6+$B$8*(AVERAGE(INDEX(D$46:D$69,MAX(1,20)):INDEX(D$46:D$69,21))-$B$6)+$C$19/100</f>
        <v/>
      </c>
      <c r="H66" s="14">
        <f>$B$6+$B$8*(AVERAGE(INDEX(D$46:D$69,MAX(1,19)):INDEX(D$46:D$69,21))-$B$6)+$C$20/100</f>
        <v/>
      </c>
      <c r="I66" s="28">
        <f>($B$17*E66+$B$18*F66+$B$19*G66+$B$20*H66)/100*B66/360</f>
        <v/>
      </c>
      <c r="J66" s="29">
        <f>IF($B$10="RCV",1,-1)*(($B$11/100)-(D66/100+$B$12/10000))*B66/360</f>
        <v/>
      </c>
      <c r="K66" s="14">
        <f>$B$6+SUMIFS(I$6:I$22,$G$6:$G$22,"&lt;="&amp;A66)/100</f>
        <v/>
      </c>
      <c r="L66" s="14">
        <f>$B$6+$B$8*(K66-$B$6)+$C$17/100</f>
        <v/>
      </c>
      <c r="M66" s="14">
        <f>$B$6+$B$8*(K66-$B$6)+$C$18/100</f>
        <v/>
      </c>
      <c r="N66" s="14">
        <f>$B$6+$B$8*(AVERAGE(INDEX(K$46:K$69,MAX(1,20)):INDEX(K$46:K$69,21))-$B$6)+$C$19/100</f>
        <v/>
      </c>
      <c r="O66" s="14">
        <f>$B$6+$B$8*(AVERAGE(INDEX(K$46:K$69,MAX(1,19)):INDEX(K$46:K$69,21))-$B$6)+$C$20/100</f>
        <v/>
      </c>
      <c r="P66" s="28">
        <f>($B$17*L66+$B$18*M66+$B$19*N66+$B$20*O66)/100*B66/360</f>
        <v/>
      </c>
      <c r="Q66" s="29">
        <f>IF($B$10="RCV",1,-1)*(($B$11/100)-(K66/100+$B$12/10000))*B66/360</f>
        <v/>
      </c>
      <c r="R66" s="14">
        <f>$B$6+SUMIFS(J$6:J$22,$G$6:$G$22,"&lt;="&amp;A66)/100</f>
        <v/>
      </c>
      <c r="S66" s="14">
        <f>$B$6+$B$8*(R66-$B$6)+$C$17/100</f>
        <v/>
      </c>
      <c r="T66" s="14">
        <f>$B$6+$B$8*(R66-$B$6)+$C$18/100</f>
        <v/>
      </c>
      <c r="U66" s="14">
        <f>$B$6+$B$8*(AVERAGE(INDEX(R$46:R$69,MAX(1,20)):INDEX(R$46:R$69,21))-$B$6)+$C$19/100</f>
        <v/>
      </c>
      <c r="V66" s="14">
        <f>$B$6+$B$8*(AVERAGE(INDEX(R$46:R$69,MAX(1,19)):INDEX(R$46:R$69,21))-$B$6)+$C$20/100</f>
        <v/>
      </c>
      <c r="W66" s="28">
        <f>($B$17*S66+$B$18*T66+$B$19*U66+$B$20*V66)/100*B66/360</f>
        <v/>
      </c>
      <c r="X66" s="29">
        <f>IF($B$10="RCV",1,-1)*(($B$11/100)-(R66/100+$B$12/10000))*B66/360</f>
        <v/>
      </c>
      <c r="Y66" s="14">
        <f>$B$6+SUMIFS(K$6:K$22,$G$6:$G$22,"&lt;="&amp;A66)/100</f>
        <v/>
      </c>
      <c r="Z66" s="14">
        <f>$B$6+$B$8*(Y66-$B$6)+$C$17/100</f>
        <v/>
      </c>
      <c r="AA66" s="14">
        <f>$B$6+$B$8*(Y66-$B$6)+$C$18/100</f>
        <v/>
      </c>
      <c r="AB66" s="14">
        <f>$B$6+$B$8*(AVERAGE(INDEX(Y$46:Y$69,MAX(1,20)):INDEX(Y$46:Y$69,21))-$B$6)+$C$19/100</f>
        <v/>
      </c>
      <c r="AC66" s="14">
        <f>$B$6+$B$8*(AVERAGE(INDEX(Y$46:Y$69,MAX(1,19)):INDEX(Y$46:Y$69,21))-$B$6)+$C$20/100</f>
        <v/>
      </c>
      <c r="AD66" s="28">
        <f>($B$17*Z66+$B$18*AA66+$B$19*AB66+$B$20*AC66)/100*B66/360</f>
        <v/>
      </c>
      <c r="AE66" s="29">
        <f>IF($B$10="RCV",1,-1)*(($B$11/100)-(Y66/100+$B$12/10000))*B66/360</f>
        <v/>
      </c>
      <c r="AF66" s="14">
        <f>$B$6+SUMIFS(L$6:L$22,$G$6:$G$22,"&lt;="&amp;A66)/100</f>
        <v/>
      </c>
      <c r="AG66" s="14">
        <f>$B$6+$B$8*(AF66-$B$6)+$C$17/100</f>
        <v/>
      </c>
      <c r="AH66" s="14">
        <f>$B$6+$B$8*(AF66-$B$6)+$C$18/100</f>
        <v/>
      </c>
      <c r="AI66" s="14">
        <f>$B$6+$B$8*(AVERAGE(INDEX(AF$46:AF$69,MAX(1,20)):INDEX(AF$46:AF$69,21))-$B$6)+$C$19/100</f>
        <v/>
      </c>
      <c r="AJ66" s="14">
        <f>$B$6+$B$8*(AVERAGE(INDEX(AF$46:AF$69,MAX(1,19)):INDEX(AF$46:AF$69,21))-$B$6)+$C$20/100</f>
        <v/>
      </c>
      <c r="AK66" s="28">
        <f>($B$17*AG66+$B$18*AH66+$B$19*AI66+$B$20*AJ66)/100*B66/360</f>
        <v/>
      </c>
      <c r="AL66" s="29">
        <f>IF($B$10="RCV",1,-1)*(($B$11/100)-(AF66/100+$B$12/10000))*B66/360</f>
        <v/>
      </c>
      <c r="AM66" s="14">
        <f>$B$6+SUMIFS(M$6:M$22,$G$6:$G$22,"&lt;="&amp;A66)/100</f>
        <v/>
      </c>
      <c r="AN66" s="14">
        <f>$B$6+$B$8*(AM66-$B$6)+$C$17/100</f>
        <v/>
      </c>
      <c r="AO66" s="14">
        <f>$B$6+$B$8*(AM66-$B$6)+$C$18/100</f>
        <v/>
      </c>
      <c r="AP66" s="14">
        <f>$B$6+$B$8*(AVERAGE(INDEX(AM$46:AM$69,MAX(1,20)):INDEX(AM$46:AM$69,21))-$B$6)+$C$19/100</f>
        <v/>
      </c>
      <c r="AQ66" s="14">
        <f>$B$6+$B$8*(AVERAGE(INDEX(AM$46:AM$69,MAX(1,19)):INDEX(AM$46:AM$69,21))-$B$6)+$C$20/100</f>
        <v/>
      </c>
      <c r="AR66" s="28">
        <f>($B$17*AN66+$B$18*AO66+$B$19*AP66+$B$20*AQ66)/100*B66/360</f>
        <v/>
      </c>
      <c r="AS66" s="29">
        <f>IF($B$10="RCV",1,-1)*(($B$11/100)-(AM66/100+$B$12/10000))*B66/360</f>
        <v/>
      </c>
    </row>
    <row r="67">
      <c r="A67" s="15">
        <f>EDATE($B$5,21)</f>
        <v/>
      </c>
      <c r="B67" s="27">
        <f>EDATE(A67,1)-A67</f>
        <v/>
      </c>
      <c r="C67" s="14">
        <f>SUMPRODUCT(($D$25:$D$31&gt;A67)*$B$25:$B$31*$C$25:$C$31)/100/12</f>
        <v/>
      </c>
      <c r="D67" s="14">
        <f>$B$6+SUMIFS(H$6:H$22,$G$6:$G$22,"&lt;="&amp;A67)/100</f>
        <v/>
      </c>
      <c r="E67" s="14">
        <f>$B$6+$B$8*(D67-$B$6)+$C$17/100</f>
        <v/>
      </c>
      <c r="F67" s="14">
        <f>$B$6+$B$8*(D67-$B$6)+$C$18/100</f>
        <v/>
      </c>
      <c r="G67" s="14">
        <f>$B$6+$B$8*(AVERAGE(INDEX(D$46:D$69,MAX(1,21)):INDEX(D$46:D$69,22))-$B$6)+$C$19/100</f>
        <v/>
      </c>
      <c r="H67" s="14">
        <f>$B$6+$B$8*(AVERAGE(INDEX(D$46:D$69,MAX(1,20)):INDEX(D$46:D$69,22))-$B$6)+$C$20/100</f>
        <v/>
      </c>
      <c r="I67" s="28">
        <f>($B$17*E67+$B$18*F67+$B$19*G67+$B$20*H67)/100*B67/360</f>
        <v/>
      </c>
      <c r="J67" s="29">
        <f>IF($B$10="RCV",1,-1)*(($B$11/100)-(D67/100+$B$12/10000))*B67/360</f>
        <v/>
      </c>
      <c r="K67" s="14">
        <f>$B$6+SUMIFS(I$6:I$22,$G$6:$G$22,"&lt;="&amp;A67)/100</f>
        <v/>
      </c>
      <c r="L67" s="14">
        <f>$B$6+$B$8*(K67-$B$6)+$C$17/100</f>
        <v/>
      </c>
      <c r="M67" s="14">
        <f>$B$6+$B$8*(K67-$B$6)+$C$18/100</f>
        <v/>
      </c>
      <c r="N67" s="14">
        <f>$B$6+$B$8*(AVERAGE(INDEX(K$46:K$69,MAX(1,21)):INDEX(K$46:K$69,22))-$B$6)+$C$19/100</f>
        <v/>
      </c>
      <c r="O67" s="14">
        <f>$B$6+$B$8*(AVERAGE(INDEX(K$46:K$69,MAX(1,20)):INDEX(K$46:K$69,22))-$B$6)+$C$20/100</f>
        <v/>
      </c>
      <c r="P67" s="28">
        <f>($B$17*L67+$B$18*M67+$B$19*N67+$B$20*O67)/100*B67/360</f>
        <v/>
      </c>
      <c r="Q67" s="29">
        <f>IF($B$10="RCV",1,-1)*(($B$11/100)-(K67/100+$B$12/10000))*B67/360</f>
        <v/>
      </c>
      <c r="R67" s="14">
        <f>$B$6+SUMIFS(J$6:J$22,$G$6:$G$22,"&lt;="&amp;A67)/100</f>
        <v/>
      </c>
      <c r="S67" s="14">
        <f>$B$6+$B$8*(R67-$B$6)+$C$17/100</f>
        <v/>
      </c>
      <c r="T67" s="14">
        <f>$B$6+$B$8*(R67-$B$6)+$C$18/100</f>
        <v/>
      </c>
      <c r="U67" s="14">
        <f>$B$6+$B$8*(AVERAGE(INDEX(R$46:R$69,MAX(1,21)):INDEX(R$46:R$69,22))-$B$6)+$C$19/100</f>
        <v/>
      </c>
      <c r="V67" s="14">
        <f>$B$6+$B$8*(AVERAGE(INDEX(R$46:R$69,MAX(1,20)):INDEX(R$46:R$69,22))-$B$6)+$C$20/100</f>
        <v/>
      </c>
      <c r="W67" s="28">
        <f>($B$17*S67+$B$18*T67+$B$19*U67+$B$20*V67)/100*B67/360</f>
        <v/>
      </c>
      <c r="X67" s="29">
        <f>IF($B$10="RCV",1,-1)*(($B$11/100)-(R67/100+$B$12/10000))*B67/360</f>
        <v/>
      </c>
      <c r="Y67" s="14">
        <f>$B$6+SUMIFS(K$6:K$22,$G$6:$G$22,"&lt;="&amp;A67)/100</f>
        <v/>
      </c>
      <c r="Z67" s="14">
        <f>$B$6+$B$8*(Y67-$B$6)+$C$17/100</f>
        <v/>
      </c>
      <c r="AA67" s="14">
        <f>$B$6+$B$8*(Y67-$B$6)+$C$18/100</f>
        <v/>
      </c>
      <c r="AB67" s="14">
        <f>$B$6+$B$8*(AVERAGE(INDEX(Y$46:Y$69,MAX(1,21)):INDEX(Y$46:Y$69,22))-$B$6)+$C$19/100</f>
        <v/>
      </c>
      <c r="AC67" s="14">
        <f>$B$6+$B$8*(AVERAGE(INDEX(Y$46:Y$69,MAX(1,20)):INDEX(Y$46:Y$69,22))-$B$6)+$C$20/100</f>
        <v/>
      </c>
      <c r="AD67" s="28">
        <f>($B$17*Z67+$B$18*AA67+$B$19*AB67+$B$20*AC67)/100*B67/360</f>
        <v/>
      </c>
      <c r="AE67" s="29">
        <f>IF($B$10="RCV",1,-1)*(($B$11/100)-(Y67/100+$B$12/10000))*B67/360</f>
        <v/>
      </c>
      <c r="AF67" s="14">
        <f>$B$6+SUMIFS(L$6:L$22,$G$6:$G$22,"&lt;="&amp;A67)/100</f>
        <v/>
      </c>
      <c r="AG67" s="14">
        <f>$B$6+$B$8*(AF67-$B$6)+$C$17/100</f>
        <v/>
      </c>
      <c r="AH67" s="14">
        <f>$B$6+$B$8*(AF67-$B$6)+$C$18/100</f>
        <v/>
      </c>
      <c r="AI67" s="14">
        <f>$B$6+$B$8*(AVERAGE(INDEX(AF$46:AF$69,MAX(1,21)):INDEX(AF$46:AF$69,22))-$B$6)+$C$19/100</f>
        <v/>
      </c>
      <c r="AJ67" s="14">
        <f>$B$6+$B$8*(AVERAGE(INDEX(AF$46:AF$69,MAX(1,20)):INDEX(AF$46:AF$69,22))-$B$6)+$C$20/100</f>
        <v/>
      </c>
      <c r="AK67" s="28">
        <f>($B$17*AG67+$B$18*AH67+$B$19*AI67+$B$20*AJ67)/100*B67/360</f>
        <v/>
      </c>
      <c r="AL67" s="29">
        <f>IF($B$10="RCV",1,-1)*(($B$11/100)-(AF67/100+$B$12/10000))*B67/360</f>
        <v/>
      </c>
      <c r="AM67" s="14">
        <f>$B$6+SUMIFS(M$6:M$22,$G$6:$G$22,"&lt;="&amp;A67)/100</f>
        <v/>
      </c>
      <c r="AN67" s="14">
        <f>$B$6+$B$8*(AM67-$B$6)+$C$17/100</f>
        <v/>
      </c>
      <c r="AO67" s="14">
        <f>$B$6+$B$8*(AM67-$B$6)+$C$18/100</f>
        <v/>
      </c>
      <c r="AP67" s="14">
        <f>$B$6+$B$8*(AVERAGE(INDEX(AM$46:AM$69,MAX(1,21)):INDEX(AM$46:AM$69,22))-$B$6)+$C$19/100</f>
        <v/>
      </c>
      <c r="AQ67" s="14">
        <f>$B$6+$B$8*(AVERAGE(INDEX(AM$46:AM$69,MAX(1,20)):INDEX(AM$46:AM$69,22))-$B$6)+$C$20/100</f>
        <v/>
      </c>
      <c r="AR67" s="28">
        <f>($B$17*AN67+$B$18*AO67+$B$19*AP67+$B$20*AQ67)/100*B67/360</f>
        <v/>
      </c>
      <c r="AS67" s="29">
        <f>IF($B$10="RCV",1,-1)*(($B$11/100)-(AM67/100+$B$12/10000))*B67/360</f>
        <v/>
      </c>
    </row>
    <row r="68">
      <c r="A68" s="15">
        <f>EDATE($B$5,22)</f>
        <v/>
      </c>
      <c r="B68" s="27">
        <f>EDATE(A68,1)-A68</f>
        <v/>
      </c>
      <c r="C68" s="14">
        <f>SUMPRODUCT(($D$25:$D$31&gt;A68)*$B$25:$B$31*$C$25:$C$31)/100/12</f>
        <v/>
      </c>
      <c r="D68" s="14">
        <f>$B$6+SUMIFS(H$6:H$22,$G$6:$G$22,"&lt;="&amp;A68)/100</f>
        <v/>
      </c>
      <c r="E68" s="14">
        <f>$B$6+$B$8*(D68-$B$6)+$C$17/100</f>
        <v/>
      </c>
      <c r="F68" s="14">
        <f>$B$6+$B$8*(D68-$B$6)+$C$18/100</f>
        <v/>
      </c>
      <c r="G68" s="14">
        <f>$B$6+$B$8*(AVERAGE(INDEX(D$46:D$69,MAX(1,22)):INDEX(D$46:D$69,23))-$B$6)+$C$19/100</f>
        <v/>
      </c>
      <c r="H68" s="14">
        <f>$B$6+$B$8*(AVERAGE(INDEX(D$46:D$69,MAX(1,21)):INDEX(D$46:D$69,23))-$B$6)+$C$20/100</f>
        <v/>
      </c>
      <c r="I68" s="28">
        <f>($B$17*E68+$B$18*F68+$B$19*G68+$B$20*H68)/100*B68/360</f>
        <v/>
      </c>
      <c r="J68" s="29">
        <f>IF($B$10="RCV",1,-1)*(($B$11/100)-(D68/100+$B$12/10000))*B68/360</f>
        <v/>
      </c>
      <c r="K68" s="14">
        <f>$B$6+SUMIFS(I$6:I$22,$G$6:$G$22,"&lt;="&amp;A68)/100</f>
        <v/>
      </c>
      <c r="L68" s="14">
        <f>$B$6+$B$8*(K68-$B$6)+$C$17/100</f>
        <v/>
      </c>
      <c r="M68" s="14">
        <f>$B$6+$B$8*(K68-$B$6)+$C$18/100</f>
        <v/>
      </c>
      <c r="N68" s="14">
        <f>$B$6+$B$8*(AVERAGE(INDEX(K$46:K$69,MAX(1,22)):INDEX(K$46:K$69,23))-$B$6)+$C$19/100</f>
        <v/>
      </c>
      <c r="O68" s="14">
        <f>$B$6+$B$8*(AVERAGE(INDEX(K$46:K$69,MAX(1,21)):INDEX(K$46:K$69,23))-$B$6)+$C$20/100</f>
        <v/>
      </c>
      <c r="P68" s="28">
        <f>($B$17*L68+$B$18*M68+$B$19*N68+$B$20*O68)/100*B68/360</f>
        <v/>
      </c>
      <c r="Q68" s="29">
        <f>IF($B$10="RCV",1,-1)*(($B$11/100)-(K68/100+$B$12/10000))*B68/360</f>
        <v/>
      </c>
      <c r="R68" s="14">
        <f>$B$6+SUMIFS(J$6:J$22,$G$6:$G$22,"&lt;="&amp;A68)/100</f>
        <v/>
      </c>
      <c r="S68" s="14">
        <f>$B$6+$B$8*(R68-$B$6)+$C$17/100</f>
        <v/>
      </c>
      <c r="T68" s="14">
        <f>$B$6+$B$8*(R68-$B$6)+$C$18/100</f>
        <v/>
      </c>
      <c r="U68" s="14">
        <f>$B$6+$B$8*(AVERAGE(INDEX(R$46:R$69,MAX(1,22)):INDEX(R$46:R$69,23))-$B$6)+$C$19/100</f>
        <v/>
      </c>
      <c r="V68" s="14">
        <f>$B$6+$B$8*(AVERAGE(INDEX(R$46:R$69,MAX(1,21)):INDEX(R$46:R$69,23))-$B$6)+$C$20/100</f>
        <v/>
      </c>
      <c r="W68" s="28">
        <f>($B$17*S68+$B$18*T68+$B$19*U68+$B$20*V68)/100*B68/360</f>
        <v/>
      </c>
      <c r="X68" s="29">
        <f>IF($B$10="RCV",1,-1)*(($B$11/100)-(R68/100+$B$12/10000))*B68/360</f>
        <v/>
      </c>
      <c r="Y68" s="14">
        <f>$B$6+SUMIFS(K$6:K$22,$G$6:$G$22,"&lt;="&amp;A68)/100</f>
        <v/>
      </c>
      <c r="Z68" s="14">
        <f>$B$6+$B$8*(Y68-$B$6)+$C$17/100</f>
        <v/>
      </c>
      <c r="AA68" s="14">
        <f>$B$6+$B$8*(Y68-$B$6)+$C$18/100</f>
        <v/>
      </c>
      <c r="AB68" s="14">
        <f>$B$6+$B$8*(AVERAGE(INDEX(Y$46:Y$69,MAX(1,22)):INDEX(Y$46:Y$69,23))-$B$6)+$C$19/100</f>
        <v/>
      </c>
      <c r="AC68" s="14">
        <f>$B$6+$B$8*(AVERAGE(INDEX(Y$46:Y$69,MAX(1,21)):INDEX(Y$46:Y$69,23))-$B$6)+$C$20/100</f>
        <v/>
      </c>
      <c r="AD68" s="28">
        <f>($B$17*Z68+$B$18*AA68+$B$19*AB68+$B$20*AC68)/100*B68/360</f>
        <v/>
      </c>
      <c r="AE68" s="29">
        <f>IF($B$10="RCV",1,-1)*(($B$11/100)-(Y68/100+$B$12/10000))*B68/360</f>
        <v/>
      </c>
      <c r="AF68" s="14">
        <f>$B$6+SUMIFS(L$6:L$22,$G$6:$G$22,"&lt;="&amp;A68)/100</f>
        <v/>
      </c>
      <c r="AG68" s="14">
        <f>$B$6+$B$8*(AF68-$B$6)+$C$17/100</f>
        <v/>
      </c>
      <c r="AH68" s="14">
        <f>$B$6+$B$8*(AF68-$B$6)+$C$18/100</f>
        <v/>
      </c>
      <c r="AI68" s="14">
        <f>$B$6+$B$8*(AVERAGE(INDEX(AF$46:AF$69,MAX(1,22)):INDEX(AF$46:AF$69,23))-$B$6)+$C$19/100</f>
        <v/>
      </c>
      <c r="AJ68" s="14">
        <f>$B$6+$B$8*(AVERAGE(INDEX(AF$46:AF$69,MAX(1,21)):INDEX(AF$46:AF$69,23))-$B$6)+$C$20/100</f>
        <v/>
      </c>
      <c r="AK68" s="28">
        <f>($B$17*AG68+$B$18*AH68+$B$19*AI68+$B$20*AJ68)/100*B68/360</f>
        <v/>
      </c>
      <c r="AL68" s="29">
        <f>IF($B$10="RCV",1,-1)*(($B$11/100)-(AF68/100+$B$12/10000))*B68/360</f>
        <v/>
      </c>
      <c r="AM68" s="14">
        <f>$B$6+SUMIFS(M$6:M$22,$G$6:$G$22,"&lt;="&amp;A68)/100</f>
        <v/>
      </c>
      <c r="AN68" s="14">
        <f>$B$6+$B$8*(AM68-$B$6)+$C$17/100</f>
        <v/>
      </c>
      <c r="AO68" s="14">
        <f>$B$6+$B$8*(AM68-$B$6)+$C$18/100</f>
        <v/>
      </c>
      <c r="AP68" s="14">
        <f>$B$6+$B$8*(AVERAGE(INDEX(AM$46:AM$69,MAX(1,22)):INDEX(AM$46:AM$69,23))-$B$6)+$C$19/100</f>
        <v/>
      </c>
      <c r="AQ68" s="14">
        <f>$B$6+$B$8*(AVERAGE(INDEX(AM$46:AM$69,MAX(1,21)):INDEX(AM$46:AM$69,23))-$B$6)+$C$20/100</f>
        <v/>
      </c>
      <c r="AR68" s="28">
        <f>($B$17*AN68+$B$18*AO68+$B$19*AP68+$B$20*AQ68)/100*B68/360</f>
        <v/>
      </c>
      <c r="AS68" s="29">
        <f>IF($B$10="RCV",1,-1)*(($B$11/100)-(AM68/100+$B$12/10000))*B68/360</f>
        <v/>
      </c>
    </row>
    <row r="69">
      <c r="A69" s="15">
        <f>EDATE($B$5,23)</f>
        <v/>
      </c>
      <c r="B69" s="27">
        <f>EDATE(A69,1)-A69</f>
        <v/>
      </c>
      <c r="C69" s="14">
        <f>SUMPRODUCT(($D$25:$D$31&gt;A69)*$B$25:$B$31*$C$25:$C$31)/100/12</f>
        <v/>
      </c>
      <c r="D69" s="14">
        <f>$B$6+SUMIFS(H$6:H$22,$G$6:$G$22,"&lt;="&amp;A69)/100</f>
        <v/>
      </c>
      <c r="E69" s="14">
        <f>$B$6+$B$8*(D69-$B$6)+$C$17/100</f>
        <v/>
      </c>
      <c r="F69" s="14">
        <f>$B$6+$B$8*(D69-$B$6)+$C$18/100</f>
        <v/>
      </c>
      <c r="G69" s="14">
        <f>$B$6+$B$8*(AVERAGE(INDEX(D$46:D$69,MAX(1,23)):INDEX(D$46:D$69,24))-$B$6)+$C$19/100</f>
        <v/>
      </c>
      <c r="H69" s="14">
        <f>$B$6+$B$8*(AVERAGE(INDEX(D$46:D$69,MAX(1,22)):INDEX(D$46:D$69,24))-$B$6)+$C$20/100</f>
        <v/>
      </c>
      <c r="I69" s="28">
        <f>($B$17*E69+$B$18*F69+$B$19*G69+$B$20*H69)/100*B69/360</f>
        <v/>
      </c>
      <c r="J69" s="29">
        <f>IF($B$10="RCV",1,-1)*(($B$11/100)-(D69/100+$B$12/10000))*B69/360</f>
        <v/>
      </c>
      <c r="K69" s="14">
        <f>$B$6+SUMIFS(I$6:I$22,$G$6:$G$22,"&lt;="&amp;A69)/100</f>
        <v/>
      </c>
      <c r="L69" s="14">
        <f>$B$6+$B$8*(K69-$B$6)+$C$17/100</f>
        <v/>
      </c>
      <c r="M69" s="14">
        <f>$B$6+$B$8*(K69-$B$6)+$C$18/100</f>
        <v/>
      </c>
      <c r="N69" s="14">
        <f>$B$6+$B$8*(AVERAGE(INDEX(K$46:K$69,MAX(1,23)):INDEX(K$46:K$69,24))-$B$6)+$C$19/100</f>
        <v/>
      </c>
      <c r="O69" s="14">
        <f>$B$6+$B$8*(AVERAGE(INDEX(K$46:K$69,MAX(1,22)):INDEX(K$46:K$69,24))-$B$6)+$C$20/100</f>
        <v/>
      </c>
      <c r="P69" s="28">
        <f>($B$17*L69+$B$18*M69+$B$19*N69+$B$20*O69)/100*B69/360</f>
        <v/>
      </c>
      <c r="Q69" s="29">
        <f>IF($B$10="RCV",1,-1)*(($B$11/100)-(K69/100+$B$12/10000))*B69/360</f>
        <v/>
      </c>
      <c r="R69" s="14">
        <f>$B$6+SUMIFS(J$6:J$22,$G$6:$G$22,"&lt;="&amp;A69)/100</f>
        <v/>
      </c>
      <c r="S69" s="14">
        <f>$B$6+$B$8*(R69-$B$6)+$C$17/100</f>
        <v/>
      </c>
      <c r="T69" s="14">
        <f>$B$6+$B$8*(R69-$B$6)+$C$18/100</f>
        <v/>
      </c>
      <c r="U69" s="14">
        <f>$B$6+$B$8*(AVERAGE(INDEX(R$46:R$69,MAX(1,23)):INDEX(R$46:R$69,24))-$B$6)+$C$19/100</f>
        <v/>
      </c>
      <c r="V69" s="14">
        <f>$B$6+$B$8*(AVERAGE(INDEX(R$46:R$69,MAX(1,22)):INDEX(R$46:R$69,24))-$B$6)+$C$20/100</f>
        <v/>
      </c>
      <c r="W69" s="28">
        <f>($B$17*S69+$B$18*T69+$B$19*U69+$B$20*V69)/100*B69/360</f>
        <v/>
      </c>
      <c r="X69" s="29">
        <f>IF($B$10="RCV",1,-1)*(($B$11/100)-(R69/100+$B$12/10000))*B69/360</f>
        <v/>
      </c>
      <c r="Y69" s="14">
        <f>$B$6+SUMIFS(K$6:K$22,$G$6:$G$22,"&lt;="&amp;A69)/100</f>
        <v/>
      </c>
      <c r="Z69" s="14">
        <f>$B$6+$B$8*(Y69-$B$6)+$C$17/100</f>
        <v/>
      </c>
      <c r="AA69" s="14">
        <f>$B$6+$B$8*(Y69-$B$6)+$C$18/100</f>
        <v/>
      </c>
      <c r="AB69" s="14">
        <f>$B$6+$B$8*(AVERAGE(INDEX(Y$46:Y$69,MAX(1,23)):INDEX(Y$46:Y$69,24))-$B$6)+$C$19/100</f>
        <v/>
      </c>
      <c r="AC69" s="14">
        <f>$B$6+$B$8*(AVERAGE(INDEX(Y$46:Y$69,MAX(1,22)):INDEX(Y$46:Y$69,24))-$B$6)+$C$20/100</f>
        <v/>
      </c>
      <c r="AD69" s="28">
        <f>($B$17*Z69+$B$18*AA69+$B$19*AB69+$B$20*AC69)/100*B69/360</f>
        <v/>
      </c>
      <c r="AE69" s="29">
        <f>IF($B$10="RCV",1,-1)*(($B$11/100)-(Y69/100+$B$12/10000))*B69/360</f>
        <v/>
      </c>
      <c r="AF69" s="14">
        <f>$B$6+SUMIFS(L$6:L$22,$G$6:$G$22,"&lt;="&amp;A69)/100</f>
        <v/>
      </c>
      <c r="AG69" s="14">
        <f>$B$6+$B$8*(AF69-$B$6)+$C$17/100</f>
        <v/>
      </c>
      <c r="AH69" s="14">
        <f>$B$6+$B$8*(AF69-$B$6)+$C$18/100</f>
        <v/>
      </c>
      <c r="AI69" s="14">
        <f>$B$6+$B$8*(AVERAGE(INDEX(AF$46:AF$69,MAX(1,23)):INDEX(AF$46:AF$69,24))-$B$6)+$C$19/100</f>
        <v/>
      </c>
      <c r="AJ69" s="14">
        <f>$B$6+$B$8*(AVERAGE(INDEX(AF$46:AF$69,MAX(1,22)):INDEX(AF$46:AF$69,24))-$B$6)+$C$20/100</f>
        <v/>
      </c>
      <c r="AK69" s="28">
        <f>($B$17*AG69+$B$18*AH69+$B$19*AI69+$B$20*AJ69)/100*B69/360</f>
        <v/>
      </c>
      <c r="AL69" s="29">
        <f>IF($B$10="RCV",1,-1)*(($B$11/100)-(AF69/100+$B$12/10000))*B69/360</f>
        <v/>
      </c>
      <c r="AM69" s="14">
        <f>$B$6+SUMIFS(M$6:M$22,$G$6:$G$22,"&lt;="&amp;A69)/100</f>
        <v/>
      </c>
      <c r="AN69" s="14">
        <f>$B$6+$B$8*(AM69-$B$6)+$C$17/100</f>
        <v/>
      </c>
      <c r="AO69" s="14">
        <f>$B$6+$B$8*(AM69-$B$6)+$C$18/100</f>
        <v/>
      </c>
      <c r="AP69" s="14">
        <f>$B$6+$B$8*(AVERAGE(INDEX(AM$46:AM$69,MAX(1,23)):INDEX(AM$46:AM$69,24))-$B$6)+$C$19/100</f>
        <v/>
      </c>
      <c r="AQ69" s="14">
        <f>$B$6+$B$8*(AVERAGE(INDEX(AM$46:AM$69,MAX(1,22)):INDEX(AM$46:AM$69,24))-$B$6)+$C$20/100</f>
        <v/>
      </c>
      <c r="AR69" s="28">
        <f>($B$17*AN69+$B$18*AO69+$B$19*AP69+$B$20*AQ69)/100*B69/360</f>
        <v/>
      </c>
      <c r="AS69" s="29">
        <f>IF($B$10="RCV",1,-1)*(($B$11/100)-(AM69/100+$B$12/10000))*B69/360</f>
        <v/>
      </c>
    </row>
    <row r="70">
      <c r="A70" s="3" t="inlineStr">
        <is>
          <t>UNIT TOTALS / $1 (per scenario)</t>
        </is>
      </c>
    </row>
    <row r="71">
      <c r="C71" s="11">
        <f>SUM(C46:C69)</f>
        <v/>
      </c>
      <c r="E71" s="30">
        <f>SUMPRODUCT(E46:E69/100*$B$46:$B$69)/360</f>
        <v/>
      </c>
      <c r="F71" s="30">
        <f>SUMPRODUCT(F46:F69/100*$B$46:$B$69)/360</f>
        <v/>
      </c>
      <c r="G71" s="30">
        <f>SUMPRODUCT(G46:G69/100*$B$46:$B$69)/360</f>
        <v/>
      </c>
      <c r="H71" s="30">
        <f>SUMPRODUCT(H46:H69/100*$B$46:$B$69)/360</f>
        <v/>
      </c>
      <c r="J71" s="30">
        <f>SUM(J46:J69)</f>
        <v/>
      </c>
      <c r="L71" s="30">
        <f>SUMPRODUCT(L46:L69/100*$B$46:$B$69)/360</f>
        <v/>
      </c>
      <c r="M71" s="30">
        <f>SUMPRODUCT(M46:M69/100*$B$46:$B$69)/360</f>
        <v/>
      </c>
      <c r="N71" s="30">
        <f>SUMPRODUCT(N46:N69/100*$B$46:$B$69)/360</f>
        <v/>
      </c>
      <c r="O71" s="30">
        <f>SUMPRODUCT(O46:O69/100*$B$46:$B$69)/360</f>
        <v/>
      </c>
      <c r="Q71" s="30">
        <f>SUM(Q46:Q69)</f>
        <v/>
      </c>
      <c r="S71" s="30">
        <f>SUMPRODUCT(S46:S69/100*$B$46:$B$69)/360</f>
        <v/>
      </c>
      <c r="T71" s="30">
        <f>SUMPRODUCT(T46:T69/100*$B$46:$B$69)/360</f>
        <v/>
      </c>
      <c r="U71" s="30">
        <f>SUMPRODUCT(U46:U69/100*$B$46:$B$69)/360</f>
        <v/>
      </c>
      <c r="V71" s="30">
        <f>SUMPRODUCT(V46:V69/100*$B$46:$B$69)/360</f>
        <v/>
      </c>
      <c r="X71" s="30">
        <f>SUM(X46:X69)</f>
        <v/>
      </c>
      <c r="Z71" s="30">
        <f>SUMPRODUCT(Z46:Z69/100*$B$46:$B$69)/360</f>
        <v/>
      </c>
      <c r="AA71" s="30">
        <f>SUMPRODUCT(AA46:AA69/100*$B$46:$B$69)/360</f>
        <v/>
      </c>
      <c r="AB71" s="30">
        <f>SUMPRODUCT(AB46:AB69/100*$B$46:$B$69)/360</f>
        <v/>
      </c>
      <c r="AC71" s="30">
        <f>SUMPRODUCT(AC46:AC69/100*$B$46:$B$69)/360</f>
        <v/>
      </c>
      <c r="AE71" s="30">
        <f>SUM(AE46:AE69)</f>
        <v/>
      </c>
      <c r="AG71" s="30">
        <f>SUMPRODUCT(AG46:AG69/100*$B$46:$B$69)/360</f>
        <v/>
      </c>
      <c r="AH71" s="30">
        <f>SUMPRODUCT(AH46:AH69/100*$B$46:$B$69)/360</f>
        <v/>
      </c>
      <c r="AI71" s="30">
        <f>SUMPRODUCT(AI46:AI69/100*$B$46:$B$69)/360</f>
        <v/>
      </c>
      <c r="AJ71" s="30">
        <f>SUMPRODUCT(AJ46:AJ69/100*$B$46:$B$69)/360</f>
        <v/>
      </c>
      <c r="AL71" s="30">
        <f>SUM(AL46:AL69)</f>
        <v/>
      </c>
      <c r="AN71" s="30">
        <f>SUMPRODUCT(AN46:AN69/100*$B$46:$B$69)/360</f>
        <v/>
      </c>
      <c r="AO71" s="30">
        <f>SUMPRODUCT(AO46:AO69/100*$B$46:$B$69)/360</f>
        <v/>
      </c>
      <c r="AP71" s="30">
        <f>SUMPRODUCT(AP46:AP69/100*$B$46:$B$69)/360</f>
        <v/>
      </c>
      <c r="AQ71" s="30">
        <f>SUMPRODUCT(AQ46:AQ69/100*$B$46:$B$69)/360</f>
        <v/>
      </c>
      <c r="AS71" s="30">
        <f>SUM(AS46:AS69)</f>
        <v/>
      </c>
    </row>
    <row r="72">
      <c r="D72" s="30">
        <f>SUMPRODUCT(D46:D69/100*$B$46:$B$69)/360+$B$12/10000*SUM($B$46:$B$69)/360</f>
        <v/>
      </c>
      <c r="K72" s="30">
        <f>SUMPRODUCT(K46:K69/100*$B$46:$B$69)/360+$B$12/10000*SUM($B$46:$B$69)/360</f>
        <v/>
      </c>
      <c r="R72" s="30">
        <f>SUMPRODUCT(R46:R69/100*$B$46:$B$69)/360+$B$12/10000*SUM($B$46:$B$69)/360</f>
        <v/>
      </c>
      <c r="Y72" s="30">
        <f>SUMPRODUCT(Y46:Y69/100*$B$46:$B$69)/360+$B$12/10000*SUM($B$46:$B$69)/360</f>
        <v/>
      </c>
      <c r="AF72" s="30">
        <f>SUMPRODUCT(AF46:AF69/100*$B$46:$B$69)/360+$B$12/10000*SUM($B$46:$B$69)/360</f>
        <v/>
      </c>
      <c r="AM72" s="30">
        <f>SUMPRODUCT(AM46:AM69/100*$B$46:$B$69)/360+$B$12/10000*SUM($B$46:$B$69)/360</f>
        <v/>
      </c>
    </row>
    <row r="74">
      <c r="A74" s="3" t="inlineStr">
        <is>
          <t>STRATEGY GRID — 1430 combinations (10% allocation steps × IRS 0/25/50/75/100%). Feasibility, frontier and zones are live.</t>
        </is>
      </c>
    </row>
    <row r="75">
      <c r="A75" s="26" t="inlineStr">
        <is>
          <t>ON</t>
        </is>
      </c>
      <c r="B75" s="26" t="inlineStr">
        <is>
          <t>1M</t>
        </is>
      </c>
      <c r="C75" s="26" t="inlineStr">
        <is>
          <t>2M</t>
        </is>
      </c>
      <c r="D75" s="26" t="inlineStr">
        <is>
          <t>3M</t>
        </is>
      </c>
      <c r="E75" s="26" t="inlineStr">
        <is>
          <t>Label</t>
        </is>
      </c>
      <c r="F75" s="26" t="inlineStr">
        <is>
          <t>IRS%</t>
        </is>
      </c>
      <c r="G75" s="26" t="inlineStr">
        <is>
          <t>Feasible</t>
        </is>
      </c>
      <c r="H75" s="26" t="inlineStr">
        <is>
          <t>Flat</t>
        </is>
      </c>
      <c r="I75" s="26" t="inlineStr">
        <is>
          <t>Gradual cuts</t>
        </is>
      </c>
      <c r="J75" s="26" t="inlineStr">
        <is>
          <t>Faster cuts</t>
        </is>
      </c>
      <c r="K75" s="26" t="inlineStr">
        <is>
          <t>Delayed cuts</t>
        </is>
      </c>
      <c r="L75" s="26" t="inlineStr">
        <is>
          <t>Higher for longer</t>
        </is>
      </c>
      <c r="M75" s="26" t="inlineStr">
        <is>
          <t>Hike</t>
        </is>
      </c>
      <c r="N75" s="26" t="inlineStr">
        <is>
          <t>Expected</t>
        </is>
      </c>
      <c r="O75" s="26" t="inlineStr">
        <is>
          <t>Vol</t>
        </is>
      </c>
      <c r="P75" s="26" t="inlineStr">
        <is>
          <t>Worst</t>
        </is>
      </c>
      <c r="Q75" s="26" t="inlineStr">
        <is>
          <t>Best</t>
        </is>
      </c>
      <c r="R75" s="26" t="inlineStr">
        <is>
          <t>Efficient</t>
        </is>
      </c>
      <c r="S75" s="26" t="inlineStr">
        <is>
          <t>KneeD</t>
        </is>
      </c>
      <c r="T75" s="26" t="inlineStr">
        <is>
          <t>Xall</t>
        </is>
      </c>
      <c r="U75" s="26" t="inlineStr">
        <is>
          <t>Yall</t>
        </is>
      </c>
      <c r="V75" s="26" t="inlineStr">
        <is>
          <t>Xeff</t>
        </is>
      </c>
      <c r="W75" s="26" t="inlineStr">
        <is>
          <t>Yeff</t>
        </is>
      </c>
      <c r="X75" s="26" t="inlineStr">
        <is>
          <t>W|f</t>
        </is>
      </c>
      <c r="Y75" s="26" t="inlineStr">
        <is>
          <t>E|f</t>
        </is>
      </c>
      <c r="Z75" s="26" t="inlineStr">
        <is>
          <t>V|e</t>
        </is>
      </c>
      <c r="AA75" s="26" t="inlineStr">
        <is>
          <t>E|e</t>
        </is>
      </c>
    </row>
    <row r="76">
      <c r="A76" s="31" t="n">
        <v>0</v>
      </c>
      <c r="B76" s="31" t="n">
        <v>0</v>
      </c>
      <c r="C76" s="31" t="n">
        <v>0</v>
      </c>
      <c r="D76" s="31" t="n">
        <v>1</v>
      </c>
      <c r="E76" s="27" t="inlineStr">
        <is>
          <t>3M 100%</t>
        </is>
      </c>
      <c r="F76" s="27" t="n">
        <v>0</v>
      </c>
      <c r="G76" s="27">
        <f>A76*$B$7&gt;=$B$9</f>
        <v/>
      </c>
      <c r="H76" s="13">
        <f>$B$7*(A76*E$71+B76*F$71+C76*G$71+D76*H$71)+F76/100*$B$7*J$71-$C$71</f>
        <v/>
      </c>
      <c r="I76" s="13">
        <f>$B$7*(A76*L$71+B76*M$71+C76*N$71+D76*O$71)+F76/100*$B$7*Q$71-$C$71</f>
        <v/>
      </c>
      <c r="J76" s="13">
        <f>$B$7*(A76*S$71+B76*T$71+C76*U$71+D76*V$71)+F76/100*$B$7*X$71-$C$71</f>
        <v/>
      </c>
      <c r="K76" s="13">
        <f>$B$7*(A76*Z$71+B76*AA$71+C76*AB$71+D76*AC$71)+F76/100*$B$7*AE$71-$C$71</f>
        <v/>
      </c>
      <c r="L76" s="13">
        <f>$B$7*(A76*AG$71+B76*AH$71+C76*AI$71+D76*AJ$71)+F76/100*$B$7*AL$71-$C$71</f>
        <v/>
      </c>
      <c r="M76" s="13">
        <f>$B$7*(A76*AN$71+B76*AO$71+C76*AP$71+D76*AQ$71)+F76/100*$B$7*AS$71-$C$71</f>
        <v/>
      </c>
      <c r="N76" s="13">
        <f>SUMPRODUCT($H$24:$M$24,H76:M76)</f>
        <v/>
      </c>
      <c r="O76" s="14">
        <f>SQRT(SUMPRODUCT($H$24:$M$24,(H76:M76-N76)^2))</f>
        <v/>
      </c>
      <c r="P76" s="13">
        <f>MIN(H76:M76)</f>
        <v/>
      </c>
      <c r="Q76" s="13">
        <f>MAX(H76:M76)</f>
        <v/>
      </c>
      <c r="R76" s="27">
        <f>IF(G76,SUMPRODUCT(($G$76:$G$1505)*($N$76:$N$1505&gt;=N76)*($O$76:$O$1505&lt;=O76))=1,FALSE)</f>
        <v/>
      </c>
      <c r="S76" s="16">
        <f>IF(R76,ABS((O76-$AC$76)/MAX(0.0001,$AC$77-$AC$76)-(N76-$AC$78)/MAX(0.0001,$AC$79-$AC$78)),-1)</f>
        <v/>
      </c>
      <c r="T76" s="14">
        <f>IF(G76,O76,NA())</f>
        <v/>
      </c>
      <c r="U76" s="13">
        <f>IF(G76,N76,NA())</f>
        <v/>
      </c>
      <c r="V76" s="14">
        <f>IF(R76,O76,NA())</f>
        <v/>
      </c>
      <c r="W76" s="13">
        <f>IF(R76,N76,NA())</f>
        <v/>
      </c>
      <c r="X76" s="27">
        <f>IF(G76,P76,"")</f>
        <v/>
      </c>
      <c r="Y76" s="27">
        <f>IF(G76,N76,"")</f>
        <v/>
      </c>
      <c r="Z76" s="27">
        <f>IF(R76,O76,"")</f>
        <v/>
      </c>
      <c r="AA76" s="27">
        <f>IF(R76,N76,"")</f>
        <v/>
      </c>
      <c r="AB76" s="27" t="inlineStr">
        <is>
          <t>minVol|eff</t>
        </is>
      </c>
      <c r="AC76" s="28">
        <f>MIN($Z$76:$Z$1505)</f>
        <v/>
      </c>
    </row>
    <row r="77">
      <c r="A77" s="31" t="n">
        <v>0</v>
      </c>
      <c r="B77" s="31" t="n">
        <v>0</v>
      </c>
      <c r="C77" s="31" t="n">
        <v>0</v>
      </c>
      <c r="D77" s="31" t="n">
        <v>1</v>
      </c>
      <c r="E77" s="27" t="inlineStr">
        <is>
          <t>3M 100%</t>
        </is>
      </c>
      <c r="F77" s="27" t="n">
        <v>25</v>
      </c>
      <c r="G77" s="27">
        <f>A77*$B$7&gt;=$B$9</f>
        <v/>
      </c>
      <c r="H77" s="13">
        <f>$B$7*(A77*E$71+B77*F$71+C77*G$71+D77*H$71)+F77/100*$B$7*J$71-$C$71</f>
        <v/>
      </c>
      <c r="I77" s="13">
        <f>$B$7*(A77*L$71+B77*M$71+C77*N$71+D77*O$71)+F77/100*$B$7*Q$71-$C$71</f>
        <v/>
      </c>
      <c r="J77" s="13">
        <f>$B$7*(A77*S$71+B77*T$71+C77*U$71+D77*V$71)+F77/100*$B$7*X$71-$C$71</f>
        <v/>
      </c>
      <c r="K77" s="13">
        <f>$B$7*(A77*Z$71+B77*AA$71+C77*AB$71+D77*AC$71)+F77/100*$B$7*AE$71-$C$71</f>
        <v/>
      </c>
      <c r="L77" s="13">
        <f>$B$7*(A77*AG$71+B77*AH$71+C77*AI$71+D77*AJ$71)+F77/100*$B$7*AL$71-$C$71</f>
        <v/>
      </c>
      <c r="M77" s="13">
        <f>$B$7*(A77*AN$71+B77*AO$71+C77*AP$71+D77*AQ$71)+F77/100*$B$7*AS$71-$C$71</f>
        <v/>
      </c>
      <c r="N77" s="13">
        <f>SUMPRODUCT($H$24:$M$24,H77:M77)</f>
        <v/>
      </c>
      <c r="O77" s="14">
        <f>SQRT(SUMPRODUCT($H$24:$M$24,(H77:M77-N77)^2))</f>
        <v/>
      </c>
      <c r="P77" s="13">
        <f>MIN(H77:M77)</f>
        <v/>
      </c>
      <c r="Q77" s="13">
        <f>MAX(H77:M77)</f>
        <v/>
      </c>
      <c r="R77" s="27">
        <f>IF(G77,SUMPRODUCT(($G$76:$G$1505)*($N$76:$N$1505&gt;=N77)*($O$76:$O$1505&lt;=O77))=1,FALSE)</f>
        <v/>
      </c>
      <c r="S77" s="16">
        <f>IF(R77,ABS((O77-$AC$76)/MAX(0.0001,$AC$77-$AC$76)-(N77-$AC$78)/MAX(0.0001,$AC$79-$AC$78)),-1)</f>
        <v/>
      </c>
      <c r="T77" s="14">
        <f>IF(G77,O77,NA())</f>
        <v/>
      </c>
      <c r="U77" s="13">
        <f>IF(G77,N77,NA())</f>
        <v/>
      </c>
      <c r="V77" s="14">
        <f>IF(R77,O77,NA())</f>
        <v/>
      </c>
      <c r="W77" s="13">
        <f>IF(R77,N77,NA())</f>
        <v/>
      </c>
      <c r="X77" s="27">
        <f>IF(G77,P77,"")</f>
        <v/>
      </c>
      <c r="Y77" s="27">
        <f>IF(G77,N77,"")</f>
        <v/>
      </c>
      <c r="Z77" s="27">
        <f>IF(R77,O77,"")</f>
        <v/>
      </c>
      <c r="AA77" s="27">
        <f>IF(R77,N77,"")</f>
        <v/>
      </c>
      <c r="AB77" s="27" t="inlineStr">
        <is>
          <t>maxVol|eff</t>
        </is>
      </c>
      <c r="AC77" s="28">
        <f>MAX($Z$76:$Z$1505)</f>
        <v/>
      </c>
    </row>
    <row r="78">
      <c r="A78" s="31" t="n">
        <v>0</v>
      </c>
      <c r="B78" s="31" t="n">
        <v>0</v>
      </c>
      <c r="C78" s="31" t="n">
        <v>0</v>
      </c>
      <c r="D78" s="31" t="n">
        <v>1</v>
      </c>
      <c r="E78" s="27" t="inlineStr">
        <is>
          <t>3M 100%</t>
        </is>
      </c>
      <c r="F78" s="27" t="n">
        <v>50</v>
      </c>
      <c r="G78" s="27">
        <f>A78*$B$7&gt;=$B$9</f>
        <v/>
      </c>
      <c r="H78" s="13">
        <f>$B$7*(A78*E$71+B78*F$71+C78*G$71+D78*H$71)+F78/100*$B$7*J$71-$C$71</f>
        <v/>
      </c>
      <c r="I78" s="13">
        <f>$B$7*(A78*L$71+B78*M$71+C78*N$71+D78*O$71)+F78/100*$B$7*Q$71-$C$71</f>
        <v/>
      </c>
      <c r="J78" s="13">
        <f>$B$7*(A78*S$71+B78*T$71+C78*U$71+D78*V$71)+F78/100*$B$7*X$71-$C$71</f>
        <v/>
      </c>
      <c r="K78" s="13">
        <f>$B$7*(A78*Z$71+B78*AA$71+C78*AB$71+D78*AC$71)+F78/100*$B$7*AE$71-$C$71</f>
        <v/>
      </c>
      <c r="L78" s="13">
        <f>$B$7*(A78*AG$71+B78*AH$71+C78*AI$71+D78*AJ$71)+F78/100*$B$7*AL$71-$C$71</f>
        <v/>
      </c>
      <c r="M78" s="13">
        <f>$B$7*(A78*AN$71+B78*AO$71+C78*AP$71+D78*AQ$71)+F78/100*$B$7*AS$71-$C$71</f>
        <v/>
      </c>
      <c r="N78" s="13">
        <f>SUMPRODUCT($H$24:$M$24,H78:M78)</f>
        <v/>
      </c>
      <c r="O78" s="14">
        <f>SQRT(SUMPRODUCT($H$24:$M$24,(H78:M78-N78)^2))</f>
        <v/>
      </c>
      <c r="P78" s="13">
        <f>MIN(H78:M78)</f>
        <v/>
      </c>
      <c r="Q78" s="13">
        <f>MAX(H78:M78)</f>
        <v/>
      </c>
      <c r="R78" s="27">
        <f>IF(G78,SUMPRODUCT(($G$76:$G$1505)*($N$76:$N$1505&gt;=N78)*($O$76:$O$1505&lt;=O78))=1,FALSE)</f>
        <v/>
      </c>
      <c r="S78" s="16">
        <f>IF(R78,ABS((O78-$AC$76)/MAX(0.0001,$AC$77-$AC$76)-(N78-$AC$78)/MAX(0.0001,$AC$79-$AC$78)),-1)</f>
        <v/>
      </c>
      <c r="T78" s="14">
        <f>IF(G78,O78,NA())</f>
        <v/>
      </c>
      <c r="U78" s="13">
        <f>IF(G78,N78,NA())</f>
        <v/>
      </c>
      <c r="V78" s="14">
        <f>IF(R78,O78,NA())</f>
        <v/>
      </c>
      <c r="W78" s="13">
        <f>IF(R78,N78,NA())</f>
        <v/>
      </c>
      <c r="X78" s="27">
        <f>IF(G78,P78,"")</f>
        <v/>
      </c>
      <c r="Y78" s="27">
        <f>IF(G78,N78,"")</f>
        <v/>
      </c>
      <c r="Z78" s="27">
        <f>IF(R78,O78,"")</f>
        <v/>
      </c>
      <c r="AA78" s="27">
        <f>IF(R78,N78,"")</f>
        <v/>
      </c>
      <c r="AB78" s="27" t="inlineStr">
        <is>
          <t>minExp|eff</t>
        </is>
      </c>
      <c r="AC78" s="28">
        <f>MIN($AA$76:$AA$1505)</f>
        <v/>
      </c>
    </row>
    <row r="79">
      <c r="A79" s="31" t="n">
        <v>0</v>
      </c>
      <c r="B79" s="31" t="n">
        <v>0</v>
      </c>
      <c r="C79" s="31" t="n">
        <v>0</v>
      </c>
      <c r="D79" s="31" t="n">
        <v>1</v>
      </c>
      <c r="E79" s="27" t="inlineStr">
        <is>
          <t>3M 100%</t>
        </is>
      </c>
      <c r="F79" s="27" t="n">
        <v>75</v>
      </c>
      <c r="G79" s="27">
        <f>A79*$B$7&gt;=$B$9</f>
        <v/>
      </c>
      <c r="H79" s="13">
        <f>$B$7*(A79*E$71+B79*F$71+C79*G$71+D79*H$71)+F79/100*$B$7*J$71-$C$71</f>
        <v/>
      </c>
      <c r="I79" s="13">
        <f>$B$7*(A79*L$71+B79*M$71+C79*N$71+D79*O$71)+F79/100*$B$7*Q$71-$C$71</f>
        <v/>
      </c>
      <c r="J79" s="13">
        <f>$B$7*(A79*S$71+B79*T$71+C79*U$71+D79*V$71)+F79/100*$B$7*X$71-$C$71</f>
        <v/>
      </c>
      <c r="K79" s="13">
        <f>$B$7*(A79*Z$71+B79*AA$71+C79*AB$71+D79*AC$71)+F79/100*$B$7*AE$71-$C$71</f>
        <v/>
      </c>
      <c r="L79" s="13">
        <f>$B$7*(A79*AG$71+B79*AH$71+C79*AI$71+D79*AJ$71)+F79/100*$B$7*AL$71-$C$71</f>
        <v/>
      </c>
      <c r="M79" s="13">
        <f>$B$7*(A79*AN$71+B79*AO$71+C79*AP$71+D79*AQ$71)+F79/100*$B$7*AS$71-$C$71</f>
        <v/>
      </c>
      <c r="N79" s="13">
        <f>SUMPRODUCT($H$24:$M$24,H79:M79)</f>
        <v/>
      </c>
      <c r="O79" s="14">
        <f>SQRT(SUMPRODUCT($H$24:$M$24,(H79:M79-N79)^2))</f>
        <v/>
      </c>
      <c r="P79" s="13">
        <f>MIN(H79:M79)</f>
        <v/>
      </c>
      <c r="Q79" s="13">
        <f>MAX(H79:M79)</f>
        <v/>
      </c>
      <c r="R79" s="27">
        <f>IF(G79,SUMPRODUCT(($G$76:$G$1505)*($N$76:$N$1505&gt;=N79)*($O$76:$O$1505&lt;=O79))=1,FALSE)</f>
        <v/>
      </c>
      <c r="S79" s="16">
        <f>IF(R79,ABS((O79-$AC$76)/MAX(0.0001,$AC$77-$AC$76)-(N79-$AC$78)/MAX(0.0001,$AC$79-$AC$78)),-1)</f>
        <v/>
      </c>
      <c r="T79" s="14">
        <f>IF(G79,O79,NA())</f>
        <v/>
      </c>
      <c r="U79" s="13">
        <f>IF(G79,N79,NA())</f>
        <v/>
      </c>
      <c r="V79" s="14">
        <f>IF(R79,O79,NA())</f>
        <v/>
      </c>
      <c r="W79" s="13">
        <f>IF(R79,N79,NA())</f>
        <v/>
      </c>
      <c r="X79" s="27">
        <f>IF(G79,P79,"")</f>
        <v/>
      </c>
      <c r="Y79" s="27">
        <f>IF(G79,N79,"")</f>
        <v/>
      </c>
      <c r="Z79" s="27">
        <f>IF(R79,O79,"")</f>
        <v/>
      </c>
      <c r="AA79" s="27">
        <f>IF(R79,N79,"")</f>
        <v/>
      </c>
      <c r="AB79" s="27" t="inlineStr">
        <is>
          <t>maxExp|eff</t>
        </is>
      </c>
      <c r="AC79" s="28">
        <f>MAX($AA$76:$AA$1505)</f>
        <v/>
      </c>
    </row>
    <row r="80">
      <c r="A80" s="31" t="n">
        <v>0</v>
      </c>
      <c r="B80" s="31" t="n">
        <v>0</v>
      </c>
      <c r="C80" s="31" t="n">
        <v>0</v>
      </c>
      <c r="D80" s="31" t="n">
        <v>1</v>
      </c>
      <c r="E80" s="27" t="inlineStr">
        <is>
          <t>3M 100%</t>
        </is>
      </c>
      <c r="F80" s="27" t="n">
        <v>100</v>
      </c>
      <c r="G80" s="27">
        <f>A80*$B$7&gt;=$B$9</f>
        <v/>
      </c>
      <c r="H80" s="13">
        <f>$B$7*(A80*E$71+B80*F$71+C80*G$71+D80*H$71)+F80/100*$B$7*J$71-$C$71</f>
        <v/>
      </c>
      <c r="I80" s="13">
        <f>$B$7*(A80*L$71+B80*M$71+C80*N$71+D80*O$71)+F80/100*$B$7*Q$71-$C$71</f>
        <v/>
      </c>
      <c r="J80" s="13">
        <f>$B$7*(A80*S$71+B80*T$71+C80*U$71+D80*V$71)+F80/100*$B$7*X$71-$C$71</f>
        <v/>
      </c>
      <c r="K80" s="13">
        <f>$B$7*(A80*Z$71+B80*AA$71+C80*AB$71+D80*AC$71)+F80/100*$B$7*AE$71-$C$71</f>
        <v/>
      </c>
      <c r="L80" s="13">
        <f>$B$7*(A80*AG$71+B80*AH$71+C80*AI$71+D80*AJ$71)+F80/100*$B$7*AL$71-$C$71</f>
        <v/>
      </c>
      <c r="M80" s="13">
        <f>$B$7*(A80*AN$71+B80*AO$71+C80*AP$71+D80*AQ$71)+F80/100*$B$7*AS$71-$C$71</f>
        <v/>
      </c>
      <c r="N80" s="13">
        <f>SUMPRODUCT($H$24:$M$24,H80:M80)</f>
        <v/>
      </c>
      <c r="O80" s="14">
        <f>SQRT(SUMPRODUCT($H$24:$M$24,(H80:M80-N80)^2))</f>
        <v/>
      </c>
      <c r="P80" s="13">
        <f>MIN(H80:M80)</f>
        <v/>
      </c>
      <c r="Q80" s="13">
        <f>MAX(H80:M80)</f>
        <v/>
      </c>
      <c r="R80" s="27">
        <f>IF(G80,SUMPRODUCT(($G$76:$G$1505)*($N$76:$N$1505&gt;=N80)*($O$76:$O$1505&lt;=O80))=1,FALSE)</f>
        <v/>
      </c>
      <c r="S80" s="16">
        <f>IF(R80,ABS((O80-$AC$76)/MAX(0.0001,$AC$77-$AC$76)-(N80-$AC$78)/MAX(0.0001,$AC$79-$AC$78)),-1)</f>
        <v/>
      </c>
      <c r="T80" s="14">
        <f>IF(G80,O80,NA())</f>
        <v/>
      </c>
      <c r="U80" s="13">
        <f>IF(G80,N80,NA())</f>
        <v/>
      </c>
      <c r="V80" s="14">
        <f>IF(R80,O80,NA())</f>
        <v/>
      </c>
      <c r="W80" s="13">
        <f>IF(R80,N80,NA())</f>
        <v/>
      </c>
      <c r="X80" s="27">
        <f>IF(G80,P80,"")</f>
        <v/>
      </c>
      <c r="Y80" s="27">
        <f>IF(G80,N80,"")</f>
        <v/>
      </c>
      <c r="Z80" s="27">
        <f>IF(R80,O80,"")</f>
        <v/>
      </c>
      <c r="AA80" s="27">
        <f>IF(R80,N80,"")</f>
        <v/>
      </c>
      <c r="AB80" s="27" t="inlineStr">
        <is>
          <t>maxWorst|feas</t>
        </is>
      </c>
      <c r="AC80" s="28">
        <f>MAX($X$76:$X$1505)</f>
        <v/>
      </c>
    </row>
    <row r="81">
      <c r="A81" s="31" t="n">
        <v>0</v>
      </c>
      <c r="B81" s="31" t="n">
        <v>0</v>
      </c>
      <c r="C81" s="31" t="n">
        <v>0.1</v>
      </c>
      <c r="D81" s="31" t="n">
        <v>0.9</v>
      </c>
      <c r="E81" s="27" t="inlineStr">
        <is>
          <t>2M 10%/3M 90%</t>
        </is>
      </c>
      <c r="F81" s="27" t="n">
        <v>0</v>
      </c>
      <c r="G81" s="27">
        <f>A81*$B$7&gt;=$B$9</f>
        <v/>
      </c>
      <c r="H81" s="13">
        <f>$B$7*(A81*E$71+B81*F$71+C81*G$71+D81*H$71)+F81/100*$B$7*J$71-$C$71</f>
        <v/>
      </c>
      <c r="I81" s="13">
        <f>$B$7*(A81*L$71+B81*M$71+C81*N$71+D81*O$71)+F81/100*$B$7*Q$71-$C$71</f>
        <v/>
      </c>
      <c r="J81" s="13">
        <f>$B$7*(A81*S$71+B81*T$71+C81*U$71+D81*V$71)+F81/100*$B$7*X$71-$C$71</f>
        <v/>
      </c>
      <c r="K81" s="13">
        <f>$B$7*(A81*Z$71+B81*AA$71+C81*AB$71+D81*AC$71)+F81/100*$B$7*AE$71-$C$71</f>
        <v/>
      </c>
      <c r="L81" s="13">
        <f>$B$7*(A81*AG$71+B81*AH$71+C81*AI$71+D81*AJ$71)+F81/100*$B$7*AL$71-$C$71</f>
        <v/>
      </c>
      <c r="M81" s="13">
        <f>$B$7*(A81*AN$71+B81*AO$71+C81*AP$71+D81*AQ$71)+F81/100*$B$7*AS$71-$C$71</f>
        <v/>
      </c>
      <c r="N81" s="13">
        <f>SUMPRODUCT($H$24:$M$24,H81:M81)</f>
        <v/>
      </c>
      <c r="O81" s="14">
        <f>SQRT(SUMPRODUCT($H$24:$M$24,(H81:M81-N81)^2))</f>
        <v/>
      </c>
      <c r="P81" s="13">
        <f>MIN(H81:M81)</f>
        <v/>
      </c>
      <c r="Q81" s="13">
        <f>MAX(H81:M81)</f>
        <v/>
      </c>
      <c r="R81" s="27">
        <f>IF(G81,SUMPRODUCT(($G$76:$G$1505)*($N$76:$N$1505&gt;=N81)*($O$76:$O$1505&lt;=O81))=1,FALSE)</f>
        <v/>
      </c>
      <c r="S81" s="16">
        <f>IF(R81,ABS((O81-$AC$76)/MAX(0.0001,$AC$77-$AC$76)-(N81-$AC$78)/MAX(0.0001,$AC$79-$AC$78)),-1)</f>
        <v/>
      </c>
      <c r="T81" s="14">
        <f>IF(G81,O81,NA())</f>
        <v/>
      </c>
      <c r="U81" s="13">
        <f>IF(G81,N81,NA())</f>
        <v/>
      </c>
      <c r="V81" s="14">
        <f>IF(R81,O81,NA())</f>
        <v/>
      </c>
      <c r="W81" s="13">
        <f>IF(R81,N81,NA())</f>
        <v/>
      </c>
      <c r="X81" s="27">
        <f>IF(G81,P81,"")</f>
        <v/>
      </c>
      <c r="Y81" s="27">
        <f>IF(G81,N81,"")</f>
        <v/>
      </c>
      <c r="Z81" s="27">
        <f>IF(R81,O81,"")</f>
        <v/>
      </c>
      <c r="AA81" s="27">
        <f>IF(R81,N81,"")</f>
        <v/>
      </c>
      <c r="AB81" s="27" t="inlineStr">
        <is>
          <t>maxExp|feas</t>
        </is>
      </c>
      <c r="AC81" s="28">
        <f>MAX($Y$76:$Y$1505)</f>
        <v/>
      </c>
    </row>
    <row r="82">
      <c r="A82" s="31" t="n">
        <v>0</v>
      </c>
      <c r="B82" s="31" t="n">
        <v>0</v>
      </c>
      <c r="C82" s="31" t="n">
        <v>0.1</v>
      </c>
      <c r="D82" s="31" t="n">
        <v>0.9</v>
      </c>
      <c r="E82" s="27" t="inlineStr">
        <is>
          <t>2M 10%/3M 90%</t>
        </is>
      </c>
      <c r="F82" s="27" t="n">
        <v>25</v>
      </c>
      <c r="G82" s="27">
        <f>A82*$B$7&gt;=$B$9</f>
        <v/>
      </c>
      <c r="H82" s="13">
        <f>$B$7*(A82*E$71+B82*F$71+C82*G$71+D82*H$71)+F82/100*$B$7*J$71-$C$71</f>
        <v/>
      </c>
      <c r="I82" s="13">
        <f>$B$7*(A82*L$71+B82*M$71+C82*N$71+D82*O$71)+F82/100*$B$7*Q$71-$C$71</f>
        <v/>
      </c>
      <c r="J82" s="13">
        <f>$B$7*(A82*S$71+B82*T$71+C82*U$71+D82*V$71)+F82/100*$B$7*X$71-$C$71</f>
        <v/>
      </c>
      <c r="K82" s="13">
        <f>$B$7*(A82*Z$71+B82*AA$71+C82*AB$71+D82*AC$71)+F82/100*$B$7*AE$71-$C$71</f>
        <v/>
      </c>
      <c r="L82" s="13">
        <f>$B$7*(A82*AG$71+B82*AH$71+C82*AI$71+D82*AJ$71)+F82/100*$B$7*AL$71-$C$71</f>
        <v/>
      </c>
      <c r="M82" s="13">
        <f>$B$7*(A82*AN$71+B82*AO$71+C82*AP$71+D82*AQ$71)+F82/100*$B$7*AS$71-$C$71</f>
        <v/>
      </c>
      <c r="N82" s="13">
        <f>SUMPRODUCT($H$24:$M$24,H82:M82)</f>
        <v/>
      </c>
      <c r="O82" s="14">
        <f>SQRT(SUMPRODUCT($H$24:$M$24,(H82:M82-N82)^2))</f>
        <v/>
      </c>
      <c r="P82" s="13">
        <f>MIN(H82:M82)</f>
        <v/>
      </c>
      <c r="Q82" s="13">
        <f>MAX(H82:M82)</f>
        <v/>
      </c>
      <c r="R82" s="27">
        <f>IF(G82,SUMPRODUCT(($G$76:$G$1505)*($N$76:$N$1505&gt;=N82)*($O$76:$O$1505&lt;=O82))=1,FALSE)</f>
        <v/>
      </c>
      <c r="S82" s="16">
        <f>IF(R82,ABS((O82-$AC$76)/MAX(0.0001,$AC$77-$AC$76)-(N82-$AC$78)/MAX(0.0001,$AC$79-$AC$78)),-1)</f>
        <v/>
      </c>
      <c r="T82" s="14">
        <f>IF(G82,O82,NA())</f>
        <v/>
      </c>
      <c r="U82" s="13">
        <f>IF(G82,N82,NA())</f>
        <v/>
      </c>
      <c r="V82" s="14">
        <f>IF(R82,O82,NA())</f>
        <v/>
      </c>
      <c r="W82" s="13">
        <f>IF(R82,N82,NA())</f>
        <v/>
      </c>
      <c r="X82" s="27">
        <f>IF(G82,P82,"")</f>
        <v/>
      </c>
      <c r="Y82" s="27">
        <f>IF(G82,N82,"")</f>
        <v/>
      </c>
      <c r="Z82" s="27">
        <f>IF(R82,O82,"")</f>
        <v/>
      </c>
      <c r="AA82" s="27">
        <f>IF(R82,N82,"")</f>
        <v/>
      </c>
      <c r="AB82" s="27" t="inlineStr">
        <is>
          <t>maxKnee</t>
        </is>
      </c>
      <c r="AC82" s="28">
        <f>MAX($S$76:$S$1505)</f>
        <v/>
      </c>
    </row>
    <row r="83">
      <c r="A83" s="31" t="n">
        <v>0</v>
      </c>
      <c r="B83" s="31" t="n">
        <v>0</v>
      </c>
      <c r="C83" s="31" t="n">
        <v>0.1</v>
      </c>
      <c r="D83" s="31" t="n">
        <v>0.9</v>
      </c>
      <c r="E83" s="27" t="inlineStr">
        <is>
          <t>2M 10%/3M 90%</t>
        </is>
      </c>
      <c r="F83" s="27" t="n">
        <v>50</v>
      </c>
      <c r="G83" s="27">
        <f>A83*$B$7&gt;=$B$9</f>
        <v/>
      </c>
      <c r="H83" s="13">
        <f>$B$7*(A83*E$71+B83*F$71+C83*G$71+D83*H$71)+F83/100*$B$7*J$71-$C$71</f>
        <v/>
      </c>
      <c r="I83" s="13">
        <f>$B$7*(A83*L$71+B83*M$71+C83*N$71+D83*O$71)+F83/100*$B$7*Q$71-$C$71</f>
        <v/>
      </c>
      <c r="J83" s="13">
        <f>$B$7*(A83*S$71+B83*T$71+C83*U$71+D83*V$71)+F83/100*$B$7*X$71-$C$71</f>
        <v/>
      </c>
      <c r="K83" s="13">
        <f>$B$7*(A83*Z$71+B83*AA$71+C83*AB$71+D83*AC$71)+F83/100*$B$7*AE$71-$C$71</f>
        <v/>
      </c>
      <c r="L83" s="13">
        <f>$B$7*(A83*AG$71+B83*AH$71+C83*AI$71+D83*AJ$71)+F83/100*$B$7*AL$71-$C$71</f>
        <v/>
      </c>
      <c r="M83" s="13">
        <f>$B$7*(A83*AN$71+B83*AO$71+C83*AP$71+D83*AQ$71)+F83/100*$B$7*AS$71-$C$71</f>
        <v/>
      </c>
      <c r="N83" s="13">
        <f>SUMPRODUCT($H$24:$M$24,H83:M83)</f>
        <v/>
      </c>
      <c r="O83" s="14">
        <f>SQRT(SUMPRODUCT($H$24:$M$24,(H83:M83-N83)^2))</f>
        <v/>
      </c>
      <c r="P83" s="13">
        <f>MIN(H83:M83)</f>
        <v/>
      </c>
      <c r="Q83" s="13">
        <f>MAX(H83:M83)</f>
        <v/>
      </c>
      <c r="R83" s="27">
        <f>IF(G83,SUMPRODUCT(($G$76:$G$1505)*($N$76:$N$1505&gt;=N83)*($O$76:$O$1505&lt;=O83))=1,FALSE)</f>
        <v/>
      </c>
      <c r="S83" s="16">
        <f>IF(R83,ABS((O83-$AC$76)/MAX(0.0001,$AC$77-$AC$76)-(N83-$AC$78)/MAX(0.0001,$AC$79-$AC$78)),-1)</f>
        <v/>
      </c>
      <c r="T83" s="14">
        <f>IF(G83,O83,NA())</f>
        <v/>
      </c>
      <c r="U83" s="13">
        <f>IF(G83,N83,NA())</f>
        <v/>
      </c>
      <c r="V83" s="14">
        <f>IF(R83,O83,NA())</f>
        <v/>
      </c>
      <c r="W83" s="13">
        <f>IF(R83,N83,NA())</f>
        <v/>
      </c>
      <c r="X83" s="27">
        <f>IF(G83,P83,"")</f>
        <v/>
      </c>
      <c r="Y83" s="27">
        <f>IF(G83,N83,"")</f>
        <v/>
      </c>
      <c r="Z83" s="27">
        <f>IF(R83,O83,"")</f>
        <v/>
      </c>
      <c r="AA83" s="27">
        <f>IF(R83,N83,"")</f>
        <v/>
      </c>
    </row>
    <row r="84">
      <c r="A84" s="31" t="n">
        <v>0</v>
      </c>
      <c r="B84" s="31" t="n">
        <v>0</v>
      </c>
      <c r="C84" s="31" t="n">
        <v>0.1</v>
      </c>
      <c r="D84" s="31" t="n">
        <v>0.9</v>
      </c>
      <c r="E84" s="27" t="inlineStr">
        <is>
          <t>2M 10%/3M 90%</t>
        </is>
      </c>
      <c r="F84" s="27" t="n">
        <v>75</v>
      </c>
      <c r="G84" s="27">
        <f>A84*$B$7&gt;=$B$9</f>
        <v/>
      </c>
      <c r="H84" s="13">
        <f>$B$7*(A84*E$71+B84*F$71+C84*G$71+D84*H$71)+F84/100*$B$7*J$71-$C$71</f>
        <v/>
      </c>
      <c r="I84" s="13">
        <f>$B$7*(A84*L$71+B84*M$71+C84*N$71+D84*O$71)+F84/100*$B$7*Q$71-$C$71</f>
        <v/>
      </c>
      <c r="J84" s="13">
        <f>$B$7*(A84*S$71+B84*T$71+C84*U$71+D84*V$71)+F84/100*$B$7*X$71-$C$71</f>
        <v/>
      </c>
      <c r="K84" s="13">
        <f>$B$7*(A84*Z$71+B84*AA$71+C84*AB$71+D84*AC$71)+F84/100*$B$7*AE$71-$C$71</f>
        <v/>
      </c>
      <c r="L84" s="13">
        <f>$B$7*(A84*AG$71+B84*AH$71+C84*AI$71+D84*AJ$71)+F84/100*$B$7*AL$71-$C$71</f>
        <v/>
      </c>
      <c r="M84" s="13">
        <f>$B$7*(A84*AN$71+B84*AO$71+C84*AP$71+D84*AQ$71)+F84/100*$B$7*AS$71-$C$71</f>
        <v/>
      </c>
      <c r="N84" s="13">
        <f>SUMPRODUCT($H$24:$M$24,H84:M84)</f>
        <v/>
      </c>
      <c r="O84" s="14">
        <f>SQRT(SUMPRODUCT($H$24:$M$24,(H84:M84-N84)^2))</f>
        <v/>
      </c>
      <c r="P84" s="13">
        <f>MIN(H84:M84)</f>
        <v/>
      </c>
      <c r="Q84" s="13">
        <f>MAX(H84:M84)</f>
        <v/>
      </c>
      <c r="R84" s="27">
        <f>IF(G84,SUMPRODUCT(($G$76:$G$1505)*($N$76:$N$1505&gt;=N84)*($O$76:$O$1505&lt;=O84))=1,FALSE)</f>
        <v/>
      </c>
      <c r="S84" s="16">
        <f>IF(R84,ABS((O84-$AC$76)/MAX(0.0001,$AC$77-$AC$76)-(N84-$AC$78)/MAX(0.0001,$AC$79-$AC$78)),-1)</f>
        <v/>
      </c>
      <c r="T84" s="14">
        <f>IF(G84,O84,NA())</f>
        <v/>
      </c>
      <c r="U84" s="13">
        <f>IF(G84,N84,NA())</f>
        <v/>
      </c>
      <c r="V84" s="14">
        <f>IF(R84,O84,NA())</f>
        <v/>
      </c>
      <c r="W84" s="13">
        <f>IF(R84,N84,NA())</f>
        <v/>
      </c>
      <c r="X84" s="27">
        <f>IF(G84,P84,"")</f>
        <v/>
      </c>
      <c r="Y84" s="27">
        <f>IF(G84,N84,"")</f>
        <v/>
      </c>
      <c r="Z84" s="27">
        <f>IF(R84,O84,"")</f>
        <v/>
      </c>
      <c r="AA84" s="27">
        <f>IF(R84,N84,"")</f>
        <v/>
      </c>
    </row>
    <row r="85">
      <c r="A85" s="31" t="n">
        <v>0</v>
      </c>
      <c r="B85" s="31" t="n">
        <v>0</v>
      </c>
      <c r="C85" s="31" t="n">
        <v>0.1</v>
      </c>
      <c r="D85" s="31" t="n">
        <v>0.9</v>
      </c>
      <c r="E85" s="27" t="inlineStr">
        <is>
          <t>2M 10%/3M 90%</t>
        </is>
      </c>
      <c r="F85" s="27" t="n">
        <v>100</v>
      </c>
      <c r="G85" s="27">
        <f>A85*$B$7&gt;=$B$9</f>
        <v/>
      </c>
      <c r="H85" s="13">
        <f>$B$7*(A85*E$71+B85*F$71+C85*G$71+D85*H$71)+F85/100*$B$7*J$71-$C$71</f>
        <v/>
      </c>
      <c r="I85" s="13">
        <f>$B$7*(A85*L$71+B85*M$71+C85*N$71+D85*O$71)+F85/100*$B$7*Q$71-$C$71</f>
        <v/>
      </c>
      <c r="J85" s="13">
        <f>$B$7*(A85*S$71+B85*T$71+C85*U$71+D85*V$71)+F85/100*$B$7*X$71-$C$71</f>
        <v/>
      </c>
      <c r="K85" s="13">
        <f>$B$7*(A85*Z$71+B85*AA$71+C85*AB$71+D85*AC$71)+F85/100*$B$7*AE$71-$C$71</f>
        <v/>
      </c>
      <c r="L85" s="13">
        <f>$B$7*(A85*AG$71+B85*AH$71+C85*AI$71+D85*AJ$71)+F85/100*$B$7*AL$71-$C$71</f>
        <v/>
      </c>
      <c r="M85" s="13">
        <f>$B$7*(A85*AN$71+B85*AO$71+C85*AP$71+D85*AQ$71)+F85/100*$B$7*AS$71-$C$71</f>
        <v/>
      </c>
      <c r="N85" s="13">
        <f>SUMPRODUCT($H$24:$M$24,H85:M85)</f>
        <v/>
      </c>
      <c r="O85" s="14">
        <f>SQRT(SUMPRODUCT($H$24:$M$24,(H85:M85-N85)^2))</f>
        <v/>
      </c>
      <c r="P85" s="13">
        <f>MIN(H85:M85)</f>
        <v/>
      </c>
      <c r="Q85" s="13">
        <f>MAX(H85:M85)</f>
        <v/>
      </c>
      <c r="R85" s="27">
        <f>IF(G85,SUMPRODUCT(($G$76:$G$1505)*($N$76:$N$1505&gt;=N85)*($O$76:$O$1505&lt;=O85))=1,FALSE)</f>
        <v/>
      </c>
      <c r="S85" s="16">
        <f>IF(R85,ABS((O85-$AC$76)/MAX(0.0001,$AC$77-$AC$76)-(N85-$AC$78)/MAX(0.0001,$AC$79-$AC$78)),-1)</f>
        <v/>
      </c>
      <c r="T85" s="14">
        <f>IF(G85,O85,NA())</f>
        <v/>
      </c>
      <c r="U85" s="13">
        <f>IF(G85,N85,NA())</f>
        <v/>
      </c>
      <c r="V85" s="14">
        <f>IF(R85,O85,NA())</f>
        <v/>
      </c>
      <c r="W85" s="13">
        <f>IF(R85,N85,NA())</f>
        <v/>
      </c>
      <c r="X85" s="27">
        <f>IF(G85,P85,"")</f>
        <v/>
      </c>
      <c r="Y85" s="27">
        <f>IF(G85,N85,"")</f>
        <v/>
      </c>
      <c r="Z85" s="27">
        <f>IF(R85,O85,"")</f>
        <v/>
      </c>
      <c r="AA85" s="27">
        <f>IF(R85,N85,"")</f>
        <v/>
      </c>
    </row>
    <row r="86">
      <c r="A86" s="31" t="n">
        <v>0</v>
      </c>
      <c r="B86" s="31" t="n">
        <v>0</v>
      </c>
      <c r="C86" s="31" t="n">
        <v>0.2</v>
      </c>
      <c r="D86" s="31" t="n">
        <v>0.8</v>
      </c>
      <c r="E86" s="27" t="inlineStr">
        <is>
          <t>2M 20%/3M 80%</t>
        </is>
      </c>
      <c r="F86" s="27" t="n">
        <v>0</v>
      </c>
      <c r="G86" s="27">
        <f>A86*$B$7&gt;=$B$9</f>
        <v/>
      </c>
      <c r="H86" s="13">
        <f>$B$7*(A86*E$71+B86*F$71+C86*G$71+D86*H$71)+F86/100*$B$7*J$71-$C$71</f>
        <v/>
      </c>
      <c r="I86" s="13">
        <f>$B$7*(A86*L$71+B86*M$71+C86*N$71+D86*O$71)+F86/100*$B$7*Q$71-$C$71</f>
        <v/>
      </c>
      <c r="J86" s="13">
        <f>$B$7*(A86*S$71+B86*T$71+C86*U$71+D86*V$71)+F86/100*$B$7*X$71-$C$71</f>
        <v/>
      </c>
      <c r="K86" s="13">
        <f>$B$7*(A86*Z$71+B86*AA$71+C86*AB$71+D86*AC$71)+F86/100*$B$7*AE$71-$C$71</f>
        <v/>
      </c>
      <c r="L86" s="13">
        <f>$B$7*(A86*AG$71+B86*AH$71+C86*AI$71+D86*AJ$71)+F86/100*$B$7*AL$71-$C$71</f>
        <v/>
      </c>
      <c r="M86" s="13">
        <f>$B$7*(A86*AN$71+B86*AO$71+C86*AP$71+D86*AQ$71)+F86/100*$B$7*AS$71-$C$71</f>
        <v/>
      </c>
      <c r="N86" s="13">
        <f>SUMPRODUCT($H$24:$M$24,H86:M86)</f>
        <v/>
      </c>
      <c r="O86" s="14">
        <f>SQRT(SUMPRODUCT($H$24:$M$24,(H86:M86-N86)^2))</f>
        <v/>
      </c>
      <c r="P86" s="13">
        <f>MIN(H86:M86)</f>
        <v/>
      </c>
      <c r="Q86" s="13">
        <f>MAX(H86:M86)</f>
        <v/>
      </c>
      <c r="R86" s="27">
        <f>IF(G86,SUMPRODUCT(($G$76:$G$1505)*($N$76:$N$1505&gt;=N86)*($O$76:$O$1505&lt;=O86))=1,FALSE)</f>
        <v/>
      </c>
      <c r="S86" s="16">
        <f>IF(R86,ABS((O86-$AC$76)/MAX(0.0001,$AC$77-$AC$76)-(N86-$AC$78)/MAX(0.0001,$AC$79-$AC$78)),-1)</f>
        <v/>
      </c>
      <c r="T86" s="14">
        <f>IF(G86,O86,NA())</f>
        <v/>
      </c>
      <c r="U86" s="13">
        <f>IF(G86,N86,NA())</f>
        <v/>
      </c>
      <c r="V86" s="14">
        <f>IF(R86,O86,NA())</f>
        <v/>
      </c>
      <c r="W86" s="13">
        <f>IF(R86,N86,NA())</f>
        <v/>
      </c>
      <c r="X86" s="27">
        <f>IF(G86,P86,"")</f>
        <v/>
      </c>
      <c r="Y86" s="27">
        <f>IF(G86,N86,"")</f>
        <v/>
      </c>
      <c r="Z86" s="27">
        <f>IF(R86,O86,"")</f>
        <v/>
      </c>
      <c r="AA86" s="27">
        <f>IF(R86,N86,"")</f>
        <v/>
      </c>
    </row>
    <row r="87">
      <c r="A87" s="31" t="n">
        <v>0</v>
      </c>
      <c r="B87" s="31" t="n">
        <v>0</v>
      </c>
      <c r="C87" s="31" t="n">
        <v>0.2</v>
      </c>
      <c r="D87" s="31" t="n">
        <v>0.8</v>
      </c>
      <c r="E87" s="27" t="inlineStr">
        <is>
          <t>2M 20%/3M 80%</t>
        </is>
      </c>
      <c r="F87" s="27" t="n">
        <v>25</v>
      </c>
      <c r="G87" s="27">
        <f>A87*$B$7&gt;=$B$9</f>
        <v/>
      </c>
      <c r="H87" s="13">
        <f>$B$7*(A87*E$71+B87*F$71+C87*G$71+D87*H$71)+F87/100*$B$7*J$71-$C$71</f>
        <v/>
      </c>
      <c r="I87" s="13">
        <f>$B$7*(A87*L$71+B87*M$71+C87*N$71+D87*O$71)+F87/100*$B$7*Q$71-$C$71</f>
        <v/>
      </c>
      <c r="J87" s="13">
        <f>$B$7*(A87*S$71+B87*T$71+C87*U$71+D87*V$71)+F87/100*$B$7*X$71-$C$71</f>
        <v/>
      </c>
      <c r="K87" s="13">
        <f>$B$7*(A87*Z$71+B87*AA$71+C87*AB$71+D87*AC$71)+F87/100*$B$7*AE$71-$C$71</f>
        <v/>
      </c>
      <c r="L87" s="13">
        <f>$B$7*(A87*AG$71+B87*AH$71+C87*AI$71+D87*AJ$71)+F87/100*$B$7*AL$71-$C$71</f>
        <v/>
      </c>
      <c r="M87" s="13">
        <f>$B$7*(A87*AN$71+B87*AO$71+C87*AP$71+D87*AQ$71)+F87/100*$B$7*AS$71-$C$71</f>
        <v/>
      </c>
      <c r="N87" s="13">
        <f>SUMPRODUCT($H$24:$M$24,H87:M87)</f>
        <v/>
      </c>
      <c r="O87" s="14">
        <f>SQRT(SUMPRODUCT($H$24:$M$24,(H87:M87-N87)^2))</f>
        <v/>
      </c>
      <c r="P87" s="13">
        <f>MIN(H87:M87)</f>
        <v/>
      </c>
      <c r="Q87" s="13">
        <f>MAX(H87:M87)</f>
        <v/>
      </c>
      <c r="R87" s="27">
        <f>IF(G87,SUMPRODUCT(($G$76:$G$1505)*($N$76:$N$1505&gt;=N87)*($O$76:$O$1505&lt;=O87))=1,FALSE)</f>
        <v/>
      </c>
      <c r="S87" s="16">
        <f>IF(R87,ABS((O87-$AC$76)/MAX(0.0001,$AC$77-$AC$76)-(N87-$AC$78)/MAX(0.0001,$AC$79-$AC$78)),-1)</f>
        <v/>
      </c>
      <c r="T87" s="14">
        <f>IF(G87,O87,NA())</f>
        <v/>
      </c>
      <c r="U87" s="13">
        <f>IF(G87,N87,NA())</f>
        <v/>
      </c>
      <c r="V87" s="14">
        <f>IF(R87,O87,NA())</f>
        <v/>
      </c>
      <c r="W87" s="13">
        <f>IF(R87,N87,NA())</f>
        <v/>
      </c>
      <c r="X87" s="27">
        <f>IF(G87,P87,"")</f>
        <v/>
      </c>
      <c r="Y87" s="27">
        <f>IF(G87,N87,"")</f>
        <v/>
      </c>
      <c r="Z87" s="27">
        <f>IF(R87,O87,"")</f>
        <v/>
      </c>
      <c r="AA87" s="27">
        <f>IF(R87,N87,"")</f>
        <v/>
      </c>
    </row>
    <row r="88">
      <c r="A88" s="31" t="n">
        <v>0</v>
      </c>
      <c r="B88" s="31" t="n">
        <v>0</v>
      </c>
      <c r="C88" s="31" t="n">
        <v>0.2</v>
      </c>
      <c r="D88" s="31" t="n">
        <v>0.8</v>
      </c>
      <c r="E88" s="27" t="inlineStr">
        <is>
          <t>2M 20%/3M 80%</t>
        </is>
      </c>
      <c r="F88" s="27" t="n">
        <v>50</v>
      </c>
      <c r="G88" s="27">
        <f>A88*$B$7&gt;=$B$9</f>
        <v/>
      </c>
      <c r="H88" s="13">
        <f>$B$7*(A88*E$71+B88*F$71+C88*G$71+D88*H$71)+F88/100*$B$7*J$71-$C$71</f>
        <v/>
      </c>
      <c r="I88" s="13">
        <f>$B$7*(A88*L$71+B88*M$71+C88*N$71+D88*O$71)+F88/100*$B$7*Q$71-$C$71</f>
        <v/>
      </c>
      <c r="J88" s="13">
        <f>$B$7*(A88*S$71+B88*T$71+C88*U$71+D88*V$71)+F88/100*$B$7*X$71-$C$71</f>
        <v/>
      </c>
      <c r="K88" s="13">
        <f>$B$7*(A88*Z$71+B88*AA$71+C88*AB$71+D88*AC$71)+F88/100*$B$7*AE$71-$C$71</f>
        <v/>
      </c>
      <c r="L88" s="13">
        <f>$B$7*(A88*AG$71+B88*AH$71+C88*AI$71+D88*AJ$71)+F88/100*$B$7*AL$71-$C$71</f>
        <v/>
      </c>
      <c r="M88" s="13">
        <f>$B$7*(A88*AN$71+B88*AO$71+C88*AP$71+D88*AQ$71)+F88/100*$B$7*AS$71-$C$71</f>
        <v/>
      </c>
      <c r="N88" s="13">
        <f>SUMPRODUCT($H$24:$M$24,H88:M88)</f>
        <v/>
      </c>
      <c r="O88" s="14">
        <f>SQRT(SUMPRODUCT($H$24:$M$24,(H88:M88-N88)^2))</f>
        <v/>
      </c>
      <c r="P88" s="13">
        <f>MIN(H88:M88)</f>
        <v/>
      </c>
      <c r="Q88" s="13">
        <f>MAX(H88:M88)</f>
        <v/>
      </c>
      <c r="R88" s="27">
        <f>IF(G88,SUMPRODUCT(($G$76:$G$1505)*($N$76:$N$1505&gt;=N88)*($O$76:$O$1505&lt;=O88))=1,FALSE)</f>
        <v/>
      </c>
      <c r="S88" s="16">
        <f>IF(R88,ABS((O88-$AC$76)/MAX(0.0001,$AC$77-$AC$76)-(N88-$AC$78)/MAX(0.0001,$AC$79-$AC$78)),-1)</f>
        <v/>
      </c>
      <c r="T88" s="14">
        <f>IF(G88,O88,NA())</f>
        <v/>
      </c>
      <c r="U88" s="13">
        <f>IF(G88,N88,NA())</f>
        <v/>
      </c>
      <c r="V88" s="14">
        <f>IF(R88,O88,NA())</f>
        <v/>
      </c>
      <c r="W88" s="13">
        <f>IF(R88,N88,NA())</f>
        <v/>
      </c>
      <c r="X88" s="27">
        <f>IF(G88,P88,"")</f>
        <v/>
      </c>
      <c r="Y88" s="27">
        <f>IF(G88,N88,"")</f>
        <v/>
      </c>
      <c r="Z88" s="27">
        <f>IF(R88,O88,"")</f>
        <v/>
      </c>
      <c r="AA88" s="27">
        <f>IF(R88,N88,"")</f>
        <v/>
      </c>
    </row>
    <row r="89">
      <c r="A89" s="31" t="n">
        <v>0</v>
      </c>
      <c r="B89" s="31" t="n">
        <v>0</v>
      </c>
      <c r="C89" s="31" t="n">
        <v>0.2</v>
      </c>
      <c r="D89" s="31" t="n">
        <v>0.8</v>
      </c>
      <c r="E89" s="27" t="inlineStr">
        <is>
          <t>2M 20%/3M 80%</t>
        </is>
      </c>
      <c r="F89" s="27" t="n">
        <v>75</v>
      </c>
      <c r="G89" s="27">
        <f>A89*$B$7&gt;=$B$9</f>
        <v/>
      </c>
      <c r="H89" s="13">
        <f>$B$7*(A89*E$71+B89*F$71+C89*G$71+D89*H$71)+F89/100*$B$7*J$71-$C$71</f>
        <v/>
      </c>
      <c r="I89" s="13">
        <f>$B$7*(A89*L$71+B89*M$71+C89*N$71+D89*O$71)+F89/100*$B$7*Q$71-$C$71</f>
        <v/>
      </c>
      <c r="J89" s="13">
        <f>$B$7*(A89*S$71+B89*T$71+C89*U$71+D89*V$71)+F89/100*$B$7*X$71-$C$71</f>
        <v/>
      </c>
      <c r="K89" s="13">
        <f>$B$7*(A89*Z$71+B89*AA$71+C89*AB$71+D89*AC$71)+F89/100*$B$7*AE$71-$C$71</f>
        <v/>
      </c>
      <c r="L89" s="13">
        <f>$B$7*(A89*AG$71+B89*AH$71+C89*AI$71+D89*AJ$71)+F89/100*$B$7*AL$71-$C$71</f>
        <v/>
      </c>
      <c r="M89" s="13">
        <f>$B$7*(A89*AN$71+B89*AO$71+C89*AP$71+D89*AQ$71)+F89/100*$B$7*AS$71-$C$71</f>
        <v/>
      </c>
      <c r="N89" s="13">
        <f>SUMPRODUCT($H$24:$M$24,H89:M89)</f>
        <v/>
      </c>
      <c r="O89" s="14">
        <f>SQRT(SUMPRODUCT($H$24:$M$24,(H89:M89-N89)^2))</f>
        <v/>
      </c>
      <c r="P89" s="13">
        <f>MIN(H89:M89)</f>
        <v/>
      </c>
      <c r="Q89" s="13">
        <f>MAX(H89:M89)</f>
        <v/>
      </c>
      <c r="R89" s="27">
        <f>IF(G89,SUMPRODUCT(($G$76:$G$1505)*($N$76:$N$1505&gt;=N89)*($O$76:$O$1505&lt;=O89))=1,FALSE)</f>
        <v/>
      </c>
      <c r="S89" s="16">
        <f>IF(R89,ABS((O89-$AC$76)/MAX(0.0001,$AC$77-$AC$76)-(N89-$AC$78)/MAX(0.0001,$AC$79-$AC$78)),-1)</f>
        <v/>
      </c>
      <c r="T89" s="14">
        <f>IF(G89,O89,NA())</f>
        <v/>
      </c>
      <c r="U89" s="13">
        <f>IF(G89,N89,NA())</f>
        <v/>
      </c>
      <c r="V89" s="14">
        <f>IF(R89,O89,NA())</f>
        <v/>
      </c>
      <c r="W89" s="13">
        <f>IF(R89,N89,NA())</f>
        <v/>
      </c>
      <c r="X89" s="27">
        <f>IF(G89,P89,"")</f>
        <v/>
      </c>
      <c r="Y89" s="27">
        <f>IF(G89,N89,"")</f>
        <v/>
      </c>
      <c r="Z89" s="27">
        <f>IF(R89,O89,"")</f>
        <v/>
      </c>
      <c r="AA89" s="27">
        <f>IF(R89,N89,"")</f>
        <v/>
      </c>
    </row>
    <row r="90">
      <c r="A90" s="31" t="n">
        <v>0</v>
      </c>
      <c r="B90" s="31" t="n">
        <v>0</v>
      </c>
      <c r="C90" s="31" t="n">
        <v>0.2</v>
      </c>
      <c r="D90" s="31" t="n">
        <v>0.8</v>
      </c>
      <c r="E90" s="27" t="inlineStr">
        <is>
          <t>2M 20%/3M 80%</t>
        </is>
      </c>
      <c r="F90" s="27" t="n">
        <v>100</v>
      </c>
      <c r="G90" s="27">
        <f>A90*$B$7&gt;=$B$9</f>
        <v/>
      </c>
      <c r="H90" s="13">
        <f>$B$7*(A90*E$71+B90*F$71+C90*G$71+D90*H$71)+F90/100*$B$7*J$71-$C$71</f>
        <v/>
      </c>
      <c r="I90" s="13">
        <f>$B$7*(A90*L$71+B90*M$71+C90*N$71+D90*O$71)+F90/100*$B$7*Q$71-$C$71</f>
        <v/>
      </c>
      <c r="J90" s="13">
        <f>$B$7*(A90*S$71+B90*T$71+C90*U$71+D90*V$71)+F90/100*$B$7*X$71-$C$71</f>
        <v/>
      </c>
      <c r="K90" s="13">
        <f>$B$7*(A90*Z$71+B90*AA$71+C90*AB$71+D90*AC$71)+F90/100*$B$7*AE$71-$C$71</f>
        <v/>
      </c>
      <c r="L90" s="13">
        <f>$B$7*(A90*AG$71+B90*AH$71+C90*AI$71+D90*AJ$71)+F90/100*$B$7*AL$71-$C$71</f>
        <v/>
      </c>
      <c r="M90" s="13">
        <f>$B$7*(A90*AN$71+B90*AO$71+C90*AP$71+D90*AQ$71)+F90/100*$B$7*AS$71-$C$71</f>
        <v/>
      </c>
      <c r="N90" s="13">
        <f>SUMPRODUCT($H$24:$M$24,H90:M90)</f>
        <v/>
      </c>
      <c r="O90" s="14">
        <f>SQRT(SUMPRODUCT($H$24:$M$24,(H90:M90-N90)^2))</f>
        <v/>
      </c>
      <c r="P90" s="13">
        <f>MIN(H90:M90)</f>
        <v/>
      </c>
      <c r="Q90" s="13">
        <f>MAX(H90:M90)</f>
        <v/>
      </c>
      <c r="R90" s="27">
        <f>IF(G90,SUMPRODUCT(($G$76:$G$1505)*($N$76:$N$1505&gt;=N90)*($O$76:$O$1505&lt;=O90))=1,FALSE)</f>
        <v/>
      </c>
      <c r="S90" s="16">
        <f>IF(R90,ABS((O90-$AC$76)/MAX(0.0001,$AC$77-$AC$76)-(N90-$AC$78)/MAX(0.0001,$AC$79-$AC$78)),-1)</f>
        <v/>
      </c>
      <c r="T90" s="14">
        <f>IF(G90,O90,NA())</f>
        <v/>
      </c>
      <c r="U90" s="13">
        <f>IF(G90,N90,NA())</f>
        <v/>
      </c>
      <c r="V90" s="14">
        <f>IF(R90,O90,NA())</f>
        <v/>
      </c>
      <c r="W90" s="13">
        <f>IF(R90,N90,NA())</f>
        <v/>
      </c>
      <c r="X90" s="27">
        <f>IF(G90,P90,"")</f>
        <v/>
      </c>
      <c r="Y90" s="27">
        <f>IF(G90,N90,"")</f>
        <v/>
      </c>
      <c r="Z90" s="27">
        <f>IF(R90,O90,"")</f>
        <v/>
      </c>
      <c r="AA90" s="27">
        <f>IF(R90,N90,"")</f>
        <v/>
      </c>
    </row>
    <row r="91">
      <c r="A91" s="31" t="n">
        <v>0</v>
      </c>
      <c r="B91" s="31" t="n">
        <v>0</v>
      </c>
      <c r="C91" s="31" t="n">
        <v>0.3</v>
      </c>
      <c r="D91" s="31" t="n">
        <v>0.7</v>
      </c>
      <c r="E91" s="27" t="inlineStr">
        <is>
          <t>2M 30%/3M 70%</t>
        </is>
      </c>
      <c r="F91" s="27" t="n">
        <v>0</v>
      </c>
      <c r="G91" s="27">
        <f>A91*$B$7&gt;=$B$9</f>
        <v/>
      </c>
      <c r="H91" s="13">
        <f>$B$7*(A91*E$71+B91*F$71+C91*G$71+D91*H$71)+F91/100*$B$7*J$71-$C$71</f>
        <v/>
      </c>
      <c r="I91" s="13">
        <f>$B$7*(A91*L$71+B91*M$71+C91*N$71+D91*O$71)+F91/100*$B$7*Q$71-$C$71</f>
        <v/>
      </c>
      <c r="J91" s="13">
        <f>$B$7*(A91*S$71+B91*T$71+C91*U$71+D91*V$71)+F91/100*$B$7*X$71-$C$71</f>
        <v/>
      </c>
      <c r="K91" s="13">
        <f>$B$7*(A91*Z$71+B91*AA$71+C91*AB$71+D91*AC$71)+F91/100*$B$7*AE$71-$C$71</f>
        <v/>
      </c>
      <c r="L91" s="13">
        <f>$B$7*(A91*AG$71+B91*AH$71+C91*AI$71+D91*AJ$71)+F91/100*$B$7*AL$71-$C$71</f>
        <v/>
      </c>
      <c r="M91" s="13">
        <f>$B$7*(A91*AN$71+B91*AO$71+C91*AP$71+D91*AQ$71)+F91/100*$B$7*AS$71-$C$71</f>
        <v/>
      </c>
      <c r="N91" s="13">
        <f>SUMPRODUCT($H$24:$M$24,H91:M91)</f>
        <v/>
      </c>
      <c r="O91" s="14">
        <f>SQRT(SUMPRODUCT($H$24:$M$24,(H91:M91-N91)^2))</f>
        <v/>
      </c>
      <c r="P91" s="13">
        <f>MIN(H91:M91)</f>
        <v/>
      </c>
      <c r="Q91" s="13">
        <f>MAX(H91:M91)</f>
        <v/>
      </c>
      <c r="R91" s="27">
        <f>IF(G91,SUMPRODUCT(($G$76:$G$1505)*($N$76:$N$1505&gt;=N91)*($O$76:$O$1505&lt;=O91))=1,FALSE)</f>
        <v/>
      </c>
      <c r="S91" s="16">
        <f>IF(R91,ABS((O91-$AC$76)/MAX(0.0001,$AC$77-$AC$76)-(N91-$AC$78)/MAX(0.0001,$AC$79-$AC$78)),-1)</f>
        <v/>
      </c>
      <c r="T91" s="14">
        <f>IF(G91,O91,NA())</f>
        <v/>
      </c>
      <c r="U91" s="13">
        <f>IF(G91,N91,NA())</f>
        <v/>
      </c>
      <c r="V91" s="14">
        <f>IF(R91,O91,NA())</f>
        <v/>
      </c>
      <c r="W91" s="13">
        <f>IF(R91,N91,NA())</f>
        <v/>
      </c>
      <c r="X91" s="27">
        <f>IF(G91,P91,"")</f>
        <v/>
      </c>
      <c r="Y91" s="27">
        <f>IF(G91,N91,"")</f>
        <v/>
      </c>
      <c r="Z91" s="27">
        <f>IF(R91,O91,"")</f>
        <v/>
      </c>
      <c r="AA91" s="27">
        <f>IF(R91,N91,"")</f>
        <v/>
      </c>
    </row>
    <row r="92">
      <c r="A92" s="31" t="n">
        <v>0</v>
      </c>
      <c r="B92" s="31" t="n">
        <v>0</v>
      </c>
      <c r="C92" s="31" t="n">
        <v>0.3</v>
      </c>
      <c r="D92" s="31" t="n">
        <v>0.7</v>
      </c>
      <c r="E92" s="27" t="inlineStr">
        <is>
          <t>2M 30%/3M 70%</t>
        </is>
      </c>
      <c r="F92" s="27" t="n">
        <v>25</v>
      </c>
      <c r="G92" s="27">
        <f>A92*$B$7&gt;=$B$9</f>
        <v/>
      </c>
      <c r="H92" s="13">
        <f>$B$7*(A92*E$71+B92*F$71+C92*G$71+D92*H$71)+F92/100*$B$7*J$71-$C$71</f>
        <v/>
      </c>
      <c r="I92" s="13">
        <f>$B$7*(A92*L$71+B92*M$71+C92*N$71+D92*O$71)+F92/100*$B$7*Q$71-$C$71</f>
        <v/>
      </c>
      <c r="J92" s="13">
        <f>$B$7*(A92*S$71+B92*T$71+C92*U$71+D92*V$71)+F92/100*$B$7*X$71-$C$71</f>
        <v/>
      </c>
      <c r="K92" s="13">
        <f>$B$7*(A92*Z$71+B92*AA$71+C92*AB$71+D92*AC$71)+F92/100*$B$7*AE$71-$C$71</f>
        <v/>
      </c>
      <c r="L92" s="13">
        <f>$B$7*(A92*AG$71+B92*AH$71+C92*AI$71+D92*AJ$71)+F92/100*$B$7*AL$71-$C$71</f>
        <v/>
      </c>
      <c r="M92" s="13">
        <f>$B$7*(A92*AN$71+B92*AO$71+C92*AP$71+D92*AQ$71)+F92/100*$B$7*AS$71-$C$71</f>
        <v/>
      </c>
      <c r="N92" s="13">
        <f>SUMPRODUCT($H$24:$M$24,H92:M92)</f>
        <v/>
      </c>
      <c r="O92" s="14">
        <f>SQRT(SUMPRODUCT($H$24:$M$24,(H92:M92-N92)^2))</f>
        <v/>
      </c>
      <c r="P92" s="13">
        <f>MIN(H92:M92)</f>
        <v/>
      </c>
      <c r="Q92" s="13">
        <f>MAX(H92:M92)</f>
        <v/>
      </c>
      <c r="R92" s="27">
        <f>IF(G92,SUMPRODUCT(($G$76:$G$1505)*($N$76:$N$1505&gt;=N92)*($O$76:$O$1505&lt;=O92))=1,FALSE)</f>
        <v/>
      </c>
      <c r="S92" s="16">
        <f>IF(R92,ABS((O92-$AC$76)/MAX(0.0001,$AC$77-$AC$76)-(N92-$AC$78)/MAX(0.0001,$AC$79-$AC$78)),-1)</f>
        <v/>
      </c>
      <c r="T92" s="14">
        <f>IF(G92,O92,NA())</f>
        <v/>
      </c>
      <c r="U92" s="13">
        <f>IF(G92,N92,NA())</f>
        <v/>
      </c>
      <c r="V92" s="14">
        <f>IF(R92,O92,NA())</f>
        <v/>
      </c>
      <c r="W92" s="13">
        <f>IF(R92,N92,NA())</f>
        <v/>
      </c>
      <c r="X92" s="27">
        <f>IF(G92,P92,"")</f>
        <v/>
      </c>
      <c r="Y92" s="27">
        <f>IF(G92,N92,"")</f>
        <v/>
      </c>
      <c r="Z92" s="27">
        <f>IF(R92,O92,"")</f>
        <v/>
      </c>
      <c r="AA92" s="27">
        <f>IF(R92,N92,"")</f>
        <v/>
      </c>
    </row>
    <row r="93">
      <c r="A93" s="31" t="n">
        <v>0</v>
      </c>
      <c r="B93" s="31" t="n">
        <v>0</v>
      </c>
      <c r="C93" s="31" t="n">
        <v>0.3</v>
      </c>
      <c r="D93" s="31" t="n">
        <v>0.7</v>
      </c>
      <c r="E93" s="27" t="inlineStr">
        <is>
          <t>2M 30%/3M 70%</t>
        </is>
      </c>
      <c r="F93" s="27" t="n">
        <v>50</v>
      </c>
      <c r="G93" s="27">
        <f>A93*$B$7&gt;=$B$9</f>
        <v/>
      </c>
      <c r="H93" s="13">
        <f>$B$7*(A93*E$71+B93*F$71+C93*G$71+D93*H$71)+F93/100*$B$7*J$71-$C$71</f>
        <v/>
      </c>
      <c r="I93" s="13">
        <f>$B$7*(A93*L$71+B93*M$71+C93*N$71+D93*O$71)+F93/100*$B$7*Q$71-$C$71</f>
        <v/>
      </c>
      <c r="J93" s="13">
        <f>$B$7*(A93*S$71+B93*T$71+C93*U$71+D93*V$71)+F93/100*$B$7*X$71-$C$71</f>
        <v/>
      </c>
      <c r="K93" s="13">
        <f>$B$7*(A93*Z$71+B93*AA$71+C93*AB$71+D93*AC$71)+F93/100*$B$7*AE$71-$C$71</f>
        <v/>
      </c>
      <c r="L93" s="13">
        <f>$B$7*(A93*AG$71+B93*AH$71+C93*AI$71+D93*AJ$71)+F93/100*$B$7*AL$71-$C$71</f>
        <v/>
      </c>
      <c r="M93" s="13">
        <f>$B$7*(A93*AN$71+B93*AO$71+C93*AP$71+D93*AQ$71)+F93/100*$B$7*AS$71-$C$71</f>
        <v/>
      </c>
      <c r="N93" s="13">
        <f>SUMPRODUCT($H$24:$M$24,H93:M93)</f>
        <v/>
      </c>
      <c r="O93" s="14">
        <f>SQRT(SUMPRODUCT($H$24:$M$24,(H93:M93-N93)^2))</f>
        <v/>
      </c>
      <c r="P93" s="13">
        <f>MIN(H93:M93)</f>
        <v/>
      </c>
      <c r="Q93" s="13">
        <f>MAX(H93:M93)</f>
        <v/>
      </c>
      <c r="R93" s="27">
        <f>IF(G93,SUMPRODUCT(($G$76:$G$1505)*($N$76:$N$1505&gt;=N93)*($O$76:$O$1505&lt;=O93))=1,FALSE)</f>
        <v/>
      </c>
      <c r="S93" s="16">
        <f>IF(R93,ABS((O93-$AC$76)/MAX(0.0001,$AC$77-$AC$76)-(N93-$AC$78)/MAX(0.0001,$AC$79-$AC$78)),-1)</f>
        <v/>
      </c>
      <c r="T93" s="14">
        <f>IF(G93,O93,NA())</f>
        <v/>
      </c>
      <c r="U93" s="13">
        <f>IF(G93,N93,NA())</f>
        <v/>
      </c>
      <c r="V93" s="14">
        <f>IF(R93,O93,NA())</f>
        <v/>
      </c>
      <c r="W93" s="13">
        <f>IF(R93,N93,NA())</f>
        <v/>
      </c>
      <c r="X93" s="27">
        <f>IF(G93,P93,"")</f>
        <v/>
      </c>
      <c r="Y93" s="27">
        <f>IF(G93,N93,"")</f>
        <v/>
      </c>
      <c r="Z93" s="27">
        <f>IF(R93,O93,"")</f>
        <v/>
      </c>
      <c r="AA93" s="27">
        <f>IF(R93,N93,"")</f>
        <v/>
      </c>
    </row>
    <row r="94">
      <c r="A94" s="31" t="n">
        <v>0</v>
      </c>
      <c r="B94" s="31" t="n">
        <v>0</v>
      </c>
      <c r="C94" s="31" t="n">
        <v>0.3</v>
      </c>
      <c r="D94" s="31" t="n">
        <v>0.7</v>
      </c>
      <c r="E94" s="27" t="inlineStr">
        <is>
          <t>2M 30%/3M 70%</t>
        </is>
      </c>
      <c r="F94" s="27" t="n">
        <v>75</v>
      </c>
      <c r="G94" s="27">
        <f>A94*$B$7&gt;=$B$9</f>
        <v/>
      </c>
      <c r="H94" s="13">
        <f>$B$7*(A94*E$71+B94*F$71+C94*G$71+D94*H$71)+F94/100*$B$7*J$71-$C$71</f>
        <v/>
      </c>
      <c r="I94" s="13">
        <f>$B$7*(A94*L$71+B94*M$71+C94*N$71+D94*O$71)+F94/100*$B$7*Q$71-$C$71</f>
        <v/>
      </c>
      <c r="J94" s="13">
        <f>$B$7*(A94*S$71+B94*T$71+C94*U$71+D94*V$71)+F94/100*$B$7*X$71-$C$71</f>
        <v/>
      </c>
      <c r="K94" s="13">
        <f>$B$7*(A94*Z$71+B94*AA$71+C94*AB$71+D94*AC$71)+F94/100*$B$7*AE$71-$C$71</f>
        <v/>
      </c>
      <c r="L94" s="13">
        <f>$B$7*(A94*AG$71+B94*AH$71+C94*AI$71+D94*AJ$71)+F94/100*$B$7*AL$71-$C$71</f>
        <v/>
      </c>
      <c r="M94" s="13">
        <f>$B$7*(A94*AN$71+B94*AO$71+C94*AP$71+D94*AQ$71)+F94/100*$B$7*AS$71-$C$71</f>
        <v/>
      </c>
      <c r="N94" s="13">
        <f>SUMPRODUCT($H$24:$M$24,H94:M94)</f>
        <v/>
      </c>
      <c r="O94" s="14">
        <f>SQRT(SUMPRODUCT($H$24:$M$24,(H94:M94-N94)^2))</f>
        <v/>
      </c>
      <c r="P94" s="13">
        <f>MIN(H94:M94)</f>
        <v/>
      </c>
      <c r="Q94" s="13">
        <f>MAX(H94:M94)</f>
        <v/>
      </c>
      <c r="R94" s="27">
        <f>IF(G94,SUMPRODUCT(($G$76:$G$1505)*($N$76:$N$1505&gt;=N94)*($O$76:$O$1505&lt;=O94))=1,FALSE)</f>
        <v/>
      </c>
      <c r="S94" s="16">
        <f>IF(R94,ABS((O94-$AC$76)/MAX(0.0001,$AC$77-$AC$76)-(N94-$AC$78)/MAX(0.0001,$AC$79-$AC$78)),-1)</f>
        <v/>
      </c>
      <c r="T94" s="14">
        <f>IF(G94,O94,NA())</f>
        <v/>
      </c>
      <c r="U94" s="13">
        <f>IF(G94,N94,NA())</f>
        <v/>
      </c>
      <c r="V94" s="14">
        <f>IF(R94,O94,NA())</f>
        <v/>
      </c>
      <c r="W94" s="13">
        <f>IF(R94,N94,NA())</f>
        <v/>
      </c>
      <c r="X94" s="27">
        <f>IF(G94,P94,"")</f>
        <v/>
      </c>
      <c r="Y94" s="27">
        <f>IF(G94,N94,"")</f>
        <v/>
      </c>
      <c r="Z94" s="27">
        <f>IF(R94,O94,"")</f>
        <v/>
      </c>
      <c r="AA94" s="27">
        <f>IF(R94,N94,"")</f>
        <v/>
      </c>
    </row>
    <row r="95">
      <c r="A95" s="31" t="n">
        <v>0</v>
      </c>
      <c r="B95" s="31" t="n">
        <v>0</v>
      </c>
      <c r="C95" s="31" t="n">
        <v>0.3</v>
      </c>
      <c r="D95" s="31" t="n">
        <v>0.7</v>
      </c>
      <c r="E95" s="27" t="inlineStr">
        <is>
          <t>2M 30%/3M 70%</t>
        </is>
      </c>
      <c r="F95" s="27" t="n">
        <v>100</v>
      </c>
      <c r="G95" s="27">
        <f>A95*$B$7&gt;=$B$9</f>
        <v/>
      </c>
      <c r="H95" s="13">
        <f>$B$7*(A95*E$71+B95*F$71+C95*G$71+D95*H$71)+F95/100*$B$7*J$71-$C$71</f>
        <v/>
      </c>
      <c r="I95" s="13">
        <f>$B$7*(A95*L$71+B95*M$71+C95*N$71+D95*O$71)+F95/100*$B$7*Q$71-$C$71</f>
        <v/>
      </c>
      <c r="J95" s="13">
        <f>$B$7*(A95*S$71+B95*T$71+C95*U$71+D95*V$71)+F95/100*$B$7*X$71-$C$71</f>
        <v/>
      </c>
      <c r="K95" s="13">
        <f>$B$7*(A95*Z$71+B95*AA$71+C95*AB$71+D95*AC$71)+F95/100*$B$7*AE$71-$C$71</f>
        <v/>
      </c>
      <c r="L95" s="13">
        <f>$B$7*(A95*AG$71+B95*AH$71+C95*AI$71+D95*AJ$71)+F95/100*$B$7*AL$71-$C$71</f>
        <v/>
      </c>
      <c r="M95" s="13">
        <f>$B$7*(A95*AN$71+B95*AO$71+C95*AP$71+D95*AQ$71)+F95/100*$B$7*AS$71-$C$71</f>
        <v/>
      </c>
      <c r="N95" s="13">
        <f>SUMPRODUCT($H$24:$M$24,H95:M95)</f>
        <v/>
      </c>
      <c r="O95" s="14">
        <f>SQRT(SUMPRODUCT($H$24:$M$24,(H95:M95-N95)^2))</f>
        <v/>
      </c>
      <c r="P95" s="13">
        <f>MIN(H95:M95)</f>
        <v/>
      </c>
      <c r="Q95" s="13">
        <f>MAX(H95:M95)</f>
        <v/>
      </c>
      <c r="R95" s="27">
        <f>IF(G95,SUMPRODUCT(($G$76:$G$1505)*($N$76:$N$1505&gt;=N95)*($O$76:$O$1505&lt;=O95))=1,FALSE)</f>
        <v/>
      </c>
      <c r="S95" s="16">
        <f>IF(R95,ABS((O95-$AC$76)/MAX(0.0001,$AC$77-$AC$76)-(N95-$AC$78)/MAX(0.0001,$AC$79-$AC$78)),-1)</f>
        <v/>
      </c>
      <c r="T95" s="14">
        <f>IF(G95,O95,NA())</f>
        <v/>
      </c>
      <c r="U95" s="13">
        <f>IF(G95,N95,NA())</f>
        <v/>
      </c>
      <c r="V95" s="14">
        <f>IF(R95,O95,NA())</f>
        <v/>
      </c>
      <c r="W95" s="13">
        <f>IF(R95,N95,NA())</f>
        <v/>
      </c>
      <c r="X95" s="27">
        <f>IF(G95,P95,"")</f>
        <v/>
      </c>
      <c r="Y95" s="27">
        <f>IF(G95,N95,"")</f>
        <v/>
      </c>
      <c r="Z95" s="27">
        <f>IF(R95,O95,"")</f>
        <v/>
      </c>
      <c r="AA95" s="27">
        <f>IF(R95,N95,"")</f>
        <v/>
      </c>
    </row>
    <row r="96">
      <c r="A96" s="31" t="n">
        <v>0</v>
      </c>
      <c r="B96" s="31" t="n">
        <v>0</v>
      </c>
      <c r="C96" s="31" t="n">
        <v>0.4</v>
      </c>
      <c r="D96" s="31" t="n">
        <v>0.6</v>
      </c>
      <c r="E96" s="27" t="inlineStr">
        <is>
          <t>2M 40%/3M 60%</t>
        </is>
      </c>
      <c r="F96" s="27" t="n">
        <v>0</v>
      </c>
      <c r="G96" s="27">
        <f>A96*$B$7&gt;=$B$9</f>
        <v/>
      </c>
      <c r="H96" s="13">
        <f>$B$7*(A96*E$71+B96*F$71+C96*G$71+D96*H$71)+F96/100*$B$7*J$71-$C$71</f>
        <v/>
      </c>
      <c r="I96" s="13">
        <f>$B$7*(A96*L$71+B96*M$71+C96*N$71+D96*O$71)+F96/100*$B$7*Q$71-$C$71</f>
        <v/>
      </c>
      <c r="J96" s="13">
        <f>$B$7*(A96*S$71+B96*T$71+C96*U$71+D96*V$71)+F96/100*$B$7*X$71-$C$71</f>
        <v/>
      </c>
      <c r="K96" s="13">
        <f>$B$7*(A96*Z$71+B96*AA$71+C96*AB$71+D96*AC$71)+F96/100*$B$7*AE$71-$C$71</f>
        <v/>
      </c>
      <c r="L96" s="13">
        <f>$B$7*(A96*AG$71+B96*AH$71+C96*AI$71+D96*AJ$71)+F96/100*$B$7*AL$71-$C$71</f>
        <v/>
      </c>
      <c r="M96" s="13">
        <f>$B$7*(A96*AN$71+B96*AO$71+C96*AP$71+D96*AQ$71)+F96/100*$B$7*AS$71-$C$71</f>
        <v/>
      </c>
      <c r="N96" s="13">
        <f>SUMPRODUCT($H$24:$M$24,H96:M96)</f>
        <v/>
      </c>
      <c r="O96" s="14">
        <f>SQRT(SUMPRODUCT($H$24:$M$24,(H96:M96-N96)^2))</f>
        <v/>
      </c>
      <c r="P96" s="13">
        <f>MIN(H96:M96)</f>
        <v/>
      </c>
      <c r="Q96" s="13">
        <f>MAX(H96:M96)</f>
        <v/>
      </c>
      <c r="R96" s="27">
        <f>IF(G96,SUMPRODUCT(($G$76:$G$1505)*($N$76:$N$1505&gt;=N96)*($O$76:$O$1505&lt;=O96))=1,FALSE)</f>
        <v/>
      </c>
      <c r="S96" s="16">
        <f>IF(R96,ABS((O96-$AC$76)/MAX(0.0001,$AC$77-$AC$76)-(N96-$AC$78)/MAX(0.0001,$AC$79-$AC$78)),-1)</f>
        <v/>
      </c>
      <c r="T96" s="14">
        <f>IF(G96,O96,NA())</f>
        <v/>
      </c>
      <c r="U96" s="13">
        <f>IF(G96,N96,NA())</f>
        <v/>
      </c>
      <c r="V96" s="14">
        <f>IF(R96,O96,NA())</f>
        <v/>
      </c>
      <c r="W96" s="13">
        <f>IF(R96,N96,NA())</f>
        <v/>
      </c>
      <c r="X96" s="27">
        <f>IF(G96,P96,"")</f>
        <v/>
      </c>
      <c r="Y96" s="27">
        <f>IF(G96,N96,"")</f>
        <v/>
      </c>
      <c r="Z96" s="27">
        <f>IF(R96,O96,"")</f>
        <v/>
      </c>
      <c r="AA96" s="27">
        <f>IF(R96,N96,"")</f>
        <v/>
      </c>
    </row>
    <row r="97">
      <c r="A97" s="31" t="n">
        <v>0</v>
      </c>
      <c r="B97" s="31" t="n">
        <v>0</v>
      </c>
      <c r="C97" s="31" t="n">
        <v>0.4</v>
      </c>
      <c r="D97" s="31" t="n">
        <v>0.6</v>
      </c>
      <c r="E97" s="27" t="inlineStr">
        <is>
          <t>2M 40%/3M 60%</t>
        </is>
      </c>
      <c r="F97" s="27" t="n">
        <v>25</v>
      </c>
      <c r="G97" s="27">
        <f>A97*$B$7&gt;=$B$9</f>
        <v/>
      </c>
      <c r="H97" s="13">
        <f>$B$7*(A97*E$71+B97*F$71+C97*G$71+D97*H$71)+F97/100*$B$7*J$71-$C$71</f>
        <v/>
      </c>
      <c r="I97" s="13">
        <f>$B$7*(A97*L$71+B97*M$71+C97*N$71+D97*O$71)+F97/100*$B$7*Q$71-$C$71</f>
        <v/>
      </c>
      <c r="J97" s="13">
        <f>$B$7*(A97*S$71+B97*T$71+C97*U$71+D97*V$71)+F97/100*$B$7*X$71-$C$71</f>
        <v/>
      </c>
      <c r="K97" s="13">
        <f>$B$7*(A97*Z$71+B97*AA$71+C97*AB$71+D97*AC$71)+F97/100*$B$7*AE$71-$C$71</f>
        <v/>
      </c>
      <c r="L97" s="13">
        <f>$B$7*(A97*AG$71+B97*AH$71+C97*AI$71+D97*AJ$71)+F97/100*$B$7*AL$71-$C$71</f>
        <v/>
      </c>
      <c r="M97" s="13">
        <f>$B$7*(A97*AN$71+B97*AO$71+C97*AP$71+D97*AQ$71)+F97/100*$B$7*AS$71-$C$71</f>
        <v/>
      </c>
      <c r="N97" s="13">
        <f>SUMPRODUCT($H$24:$M$24,H97:M97)</f>
        <v/>
      </c>
      <c r="O97" s="14">
        <f>SQRT(SUMPRODUCT($H$24:$M$24,(H97:M97-N97)^2))</f>
        <v/>
      </c>
      <c r="P97" s="13">
        <f>MIN(H97:M97)</f>
        <v/>
      </c>
      <c r="Q97" s="13">
        <f>MAX(H97:M97)</f>
        <v/>
      </c>
      <c r="R97" s="27">
        <f>IF(G97,SUMPRODUCT(($G$76:$G$1505)*($N$76:$N$1505&gt;=N97)*($O$76:$O$1505&lt;=O97))=1,FALSE)</f>
        <v/>
      </c>
      <c r="S97" s="16">
        <f>IF(R97,ABS((O97-$AC$76)/MAX(0.0001,$AC$77-$AC$76)-(N97-$AC$78)/MAX(0.0001,$AC$79-$AC$78)),-1)</f>
        <v/>
      </c>
      <c r="T97" s="14">
        <f>IF(G97,O97,NA())</f>
        <v/>
      </c>
      <c r="U97" s="13">
        <f>IF(G97,N97,NA())</f>
        <v/>
      </c>
      <c r="V97" s="14">
        <f>IF(R97,O97,NA())</f>
        <v/>
      </c>
      <c r="W97" s="13">
        <f>IF(R97,N97,NA())</f>
        <v/>
      </c>
      <c r="X97" s="27">
        <f>IF(G97,P97,"")</f>
        <v/>
      </c>
      <c r="Y97" s="27">
        <f>IF(G97,N97,"")</f>
        <v/>
      </c>
      <c r="Z97" s="27">
        <f>IF(R97,O97,"")</f>
        <v/>
      </c>
      <c r="AA97" s="27">
        <f>IF(R97,N97,"")</f>
        <v/>
      </c>
    </row>
    <row r="98">
      <c r="A98" s="31" t="n">
        <v>0</v>
      </c>
      <c r="B98" s="31" t="n">
        <v>0</v>
      </c>
      <c r="C98" s="31" t="n">
        <v>0.4</v>
      </c>
      <c r="D98" s="31" t="n">
        <v>0.6</v>
      </c>
      <c r="E98" s="27" t="inlineStr">
        <is>
          <t>2M 40%/3M 60%</t>
        </is>
      </c>
      <c r="F98" s="27" t="n">
        <v>50</v>
      </c>
      <c r="G98" s="27">
        <f>A98*$B$7&gt;=$B$9</f>
        <v/>
      </c>
      <c r="H98" s="13">
        <f>$B$7*(A98*E$71+B98*F$71+C98*G$71+D98*H$71)+F98/100*$B$7*J$71-$C$71</f>
        <v/>
      </c>
      <c r="I98" s="13">
        <f>$B$7*(A98*L$71+B98*M$71+C98*N$71+D98*O$71)+F98/100*$B$7*Q$71-$C$71</f>
        <v/>
      </c>
      <c r="J98" s="13">
        <f>$B$7*(A98*S$71+B98*T$71+C98*U$71+D98*V$71)+F98/100*$B$7*X$71-$C$71</f>
        <v/>
      </c>
      <c r="K98" s="13">
        <f>$B$7*(A98*Z$71+B98*AA$71+C98*AB$71+D98*AC$71)+F98/100*$B$7*AE$71-$C$71</f>
        <v/>
      </c>
      <c r="L98" s="13">
        <f>$B$7*(A98*AG$71+B98*AH$71+C98*AI$71+D98*AJ$71)+F98/100*$B$7*AL$71-$C$71</f>
        <v/>
      </c>
      <c r="M98" s="13">
        <f>$B$7*(A98*AN$71+B98*AO$71+C98*AP$71+D98*AQ$71)+F98/100*$B$7*AS$71-$C$71</f>
        <v/>
      </c>
      <c r="N98" s="13">
        <f>SUMPRODUCT($H$24:$M$24,H98:M98)</f>
        <v/>
      </c>
      <c r="O98" s="14">
        <f>SQRT(SUMPRODUCT($H$24:$M$24,(H98:M98-N98)^2))</f>
        <v/>
      </c>
      <c r="P98" s="13">
        <f>MIN(H98:M98)</f>
        <v/>
      </c>
      <c r="Q98" s="13">
        <f>MAX(H98:M98)</f>
        <v/>
      </c>
      <c r="R98" s="27">
        <f>IF(G98,SUMPRODUCT(($G$76:$G$1505)*($N$76:$N$1505&gt;=N98)*($O$76:$O$1505&lt;=O98))=1,FALSE)</f>
        <v/>
      </c>
      <c r="S98" s="16">
        <f>IF(R98,ABS((O98-$AC$76)/MAX(0.0001,$AC$77-$AC$76)-(N98-$AC$78)/MAX(0.0001,$AC$79-$AC$78)),-1)</f>
        <v/>
      </c>
      <c r="T98" s="14">
        <f>IF(G98,O98,NA())</f>
        <v/>
      </c>
      <c r="U98" s="13">
        <f>IF(G98,N98,NA())</f>
        <v/>
      </c>
      <c r="V98" s="14">
        <f>IF(R98,O98,NA())</f>
        <v/>
      </c>
      <c r="W98" s="13">
        <f>IF(R98,N98,NA())</f>
        <v/>
      </c>
      <c r="X98" s="27">
        <f>IF(G98,P98,"")</f>
        <v/>
      </c>
      <c r="Y98" s="27">
        <f>IF(G98,N98,"")</f>
        <v/>
      </c>
      <c r="Z98" s="27">
        <f>IF(R98,O98,"")</f>
        <v/>
      </c>
      <c r="AA98" s="27">
        <f>IF(R98,N98,"")</f>
        <v/>
      </c>
    </row>
    <row r="99">
      <c r="A99" s="31" t="n">
        <v>0</v>
      </c>
      <c r="B99" s="31" t="n">
        <v>0</v>
      </c>
      <c r="C99" s="31" t="n">
        <v>0.4</v>
      </c>
      <c r="D99" s="31" t="n">
        <v>0.6</v>
      </c>
      <c r="E99" s="27" t="inlineStr">
        <is>
          <t>2M 40%/3M 60%</t>
        </is>
      </c>
      <c r="F99" s="27" t="n">
        <v>75</v>
      </c>
      <c r="G99" s="27">
        <f>A99*$B$7&gt;=$B$9</f>
        <v/>
      </c>
      <c r="H99" s="13">
        <f>$B$7*(A99*E$71+B99*F$71+C99*G$71+D99*H$71)+F99/100*$B$7*J$71-$C$71</f>
        <v/>
      </c>
      <c r="I99" s="13">
        <f>$B$7*(A99*L$71+B99*M$71+C99*N$71+D99*O$71)+F99/100*$B$7*Q$71-$C$71</f>
        <v/>
      </c>
      <c r="J99" s="13">
        <f>$B$7*(A99*S$71+B99*T$71+C99*U$71+D99*V$71)+F99/100*$B$7*X$71-$C$71</f>
        <v/>
      </c>
      <c r="K99" s="13">
        <f>$B$7*(A99*Z$71+B99*AA$71+C99*AB$71+D99*AC$71)+F99/100*$B$7*AE$71-$C$71</f>
        <v/>
      </c>
      <c r="L99" s="13">
        <f>$B$7*(A99*AG$71+B99*AH$71+C99*AI$71+D99*AJ$71)+F99/100*$B$7*AL$71-$C$71</f>
        <v/>
      </c>
      <c r="M99" s="13">
        <f>$B$7*(A99*AN$71+B99*AO$71+C99*AP$71+D99*AQ$71)+F99/100*$B$7*AS$71-$C$71</f>
        <v/>
      </c>
      <c r="N99" s="13">
        <f>SUMPRODUCT($H$24:$M$24,H99:M99)</f>
        <v/>
      </c>
      <c r="O99" s="14">
        <f>SQRT(SUMPRODUCT($H$24:$M$24,(H99:M99-N99)^2))</f>
        <v/>
      </c>
      <c r="P99" s="13">
        <f>MIN(H99:M99)</f>
        <v/>
      </c>
      <c r="Q99" s="13">
        <f>MAX(H99:M99)</f>
        <v/>
      </c>
      <c r="R99" s="27">
        <f>IF(G99,SUMPRODUCT(($G$76:$G$1505)*($N$76:$N$1505&gt;=N99)*($O$76:$O$1505&lt;=O99))=1,FALSE)</f>
        <v/>
      </c>
      <c r="S99" s="16">
        <f>IF(R99,ABS((O99-$AC$76)/MAX(0.0001,$AC$77-$AC$76)-(N99-$AC$78)/MAX(0.0001,$AC$79-$AC$78)),-1)</f>
        <v/>
      </c>
      <c r="T99" s="14">
        <f>IF(G99,O99,NA())</f>
        <v/>
      </c>
      <c r="U99" s="13">
        <f>IF(G99,N99,NA())</f>
        <v/>
      </c>
      <c r="V99" s="14">
        <f>IF(R99,O99,NA())</f>
        <v/>
      </c>
      <c r="W99" s="13">
        <f>IF(R99,N99,NA())</f>
        <v/>
      </c>
      <c r="X99" s="27">
        <f>IF(G99,P99,"")</f>
        <v/>
      </c>
      <c r="Y99" s="27">
        <f>IF(G99,N99,"")</f>
        <v/>
      </c>
      <c r="Z99" s="27">
        <f>IF(R99,O99,"")</f>
        <v/>
      </c>
      <c r="AA99" s="27">
        <f>IF(R99,N99,"")</f>
        <v/>
      </c>
    </row>
    <row r="100">
      <c r="A100" s="31" t="n">
        <v>0</v>
      </c>
      <c r="B100" s="31" t="n">
        <v>0</v>
      </c>
      <c r="C100" s="31" t="n">
        <v>0.4</v>
      </c>
      <c r="D100" s="31" t="n">
        <v>0.6</v>
      </c>
      <c r="E100" s="27" t="inlineStr">
        <is>
          <t>2M 40%/3M 60%</t>
        </is>
      </c>
      <c r="F100" s="27" t="n">
        <v>100</v>
      </c>
      <c r="G100" s="27">
        <f>A100*$B$7&gt;=$B$9</f>
        <v/>
      </c>
      <c r="H100" s="13">
        <f>$B$7*(A100*E$71+B100*F$71+C100*G$71+D100*H$71)+F100/100*$B$7*J$71-$C$71</f>
        <v/>
      </c>
      <c r="I100" s="13">
        <f>$B$7*(A100*L$71+B100*M$71+C100*N$71+D100*O$71)+F100/100*$B$7*Q$71-$C$71</f>
        <v/>
      </c>
      <c r="J100" s="13">
        <f>$B$7*(A100*S$71+B100*T$71+C100*U$71+D100*V$71)+F100/100*$B$7*X$71-$C$71</f>
        <v/>
      </c>
      <c r="K100" s="13">
        <f>$B$7*(A100*Z$71+B100*AA$71+C100*AB$71+D100*AC$71)+F100/100*$B$7*AE$71-$C$71</f>
        <v/>
      </c>
      <c r="L100" s="13">
        <f>$B$7*(A100*AG$71+B100*AH$71+C100*AI$71+D100*AJ$71)+F100/100*$B$7*AL$71-$C$71</f>
        <v/>
      </c>
      <c r="M100" s="13">
        <f>$B$7*(A100*AN$71+B100*AO$71+C100*AP$71+D100*AQ$71)+F100/100*$B$7*AS$71-$C$71</f>
        <v/>
      </c>
      <c r="N100" s="13">
        <f>SUMPRODUCT($H$24:$M$24,H100:M100)</f>
        <v/>
      </c>
      <c r="O100" s="14">
        <f>SQRT(SUMPRODUCT($H$24:$M$24,(H100:M100-N100)^2))</f>
        <v/>
      </c>
      <c r="P100" s="13">
        <f>MIN(H100:M100)</f>
        <v/>
      </c>
      <c r="Q100" s="13">
        <f>MAX(H100:M100)</f>
        <v/>
      </c>
      <c r="R100" s="27">
        <f>IF(G100,SUMPRODUCT(($G$76:$G$1505)*($N$76:$N$1505&gt;=N100)*($O$76:$O$1505&lt;=O100))=1,FALSE)</f>
        <v/>
      </c>
      <c r="S100" s="16">
        <f>IF(R100,ABS((O100-$AC$76)/MAX(0.0001,$AC$77-$AC$76)-(N100-$AC$78)/MAX(0.0001,$AC$79-$AC$78)),-1)</f>
        <v/>
      </c>
      <c r="T100" s="14">
        <f>IF(G100,O100,NA())</f>
        <v/>
      </c>
      <c r="U100" s="13">
        <f>IF(G100,N100,NA())</f>
        <v/>
      </c>
      <c r="V100" s="14">
        <f>IF(R100,O100,NA())</f>
        <v/>
      </c>
      <c r="W100" s="13">
        <f>IF(R100,N100,NA())</f>
        <v/>
      </c>
      <c r="X100" s="27">
        <f>IF(G100,P100,"")</f>
        <v/>
      </c>
      <c r="Y100" s="27">
        <f>IF(G100,N100,"")</f>
        <v/>
      </c>
      <c r="Z100" s="27">
        <f>IF(R100,O100,"")</f>
        <v/>
      </c>
      <c r="AA100" s="27">
        <f>IF(R100,N100,"")</f>
        <v/>
      </c>
    </row>
    <row r="101">
      <c r="A101" s="31" t="n">
        <v>0</v>
      </c>
      <c r="B101" s="31" t="n">
        <v>0</v>
      </c>
      <c r="C101" s="31" t="n">
        <v>0.5</v>
      </c>
      <c r="D101" s="31" t="n">
        <v>0.5</v>
      </c>
      <c r="E101" s="27" t="inlineStr">
        <is>
          <t>2M 50%/3M 50%</t>
        </is>
      </c>
      <c r="F101" s="27" t="n">
        <v>0</v>
      </c>
      <c r="G101" s="27">
        <f>A101*$B$7&gt;=$B$9</f>
        <v/>
      </c>
      <c r="H101" s="13">
        <f>$B$7*(A101*E$71+B101*F$71+C101*G$71+D101*H$71)+F101/100*$B$7*J$71-$C$71</f>
        <v/>
      </c>
      <c r="I101" s="13">
        <f>$B$7*(A101*L$71+B101*M$71+C101*N$71+D101*O$71)+F101/100*$B$7*Q$71-$C$71</f>
        <v/>
      </c>
      <c r="J101" s="13">
        <f>$B$7*(A101*S$71+B101*T$71+C101*U$71+D101*V$71)+F101/100*$B$7*X$71-$C$71</f>
        <v/>
      </c>
      <c r="K101" s="13">
        <f>$B$7*(A101*Z$71+B101*AA$71+C101*AB$71+D101*AC$71)+F101/100*$B$7*AE$71-$C$71</f>
        <v/>
      </c>
      <c r="L101" s="13">
        <f>$B$7*(A101*AG$71+B101*AH$71+C101*AI$71+D101*AJ$71)+F101/100*$B$7*AL$71-$C$71</f>
        <v/>
      </c>
      <c r="M101" s="13">
        <f>$B$7*(A101*AN$71+B101*AO$71+C101*AP$71+D101*AQ$71)+F101/100*$B$7*AS$71-$C$71</f>
        <v/>
      </c>
      <c r="N101" s="13">
        <f>SUMPRODUCT($H$24:$M$24,H101:M101)</f>
        <v/>
      </c>
      <c r="O101" s="14">
        <f>SQRT(SUMPRODUCT($H$24:$M$24,(H101:M101-N101)^2))</f>
        <v/>
      </c>
      <c r="P101" s="13">
        <f>MIN(H101:M101)</f>
        <v/>
      </c>
      <c r="Q101" s="13">
        <f>MAX(H101:M101)</f>
        <v/>
      </c>
      <c r="R101" s="27">
        <f>IF(G101,SUMPRODUCT(($G$76:$G$1505)*($N$76:$N$1505&gt;=N101)*($O$76:$O$1505&lt;=O101))=1,FALSE)</f>
        <v/>
      </c>
      <c r="S101" s="16">
        <f>IF(R101,ABS((O101-$AC$76)/MAX(0.0001,$AC$77-$AC$76)-(N101-$AC$78)/MAX(0.0001,$AC$79-$AC$78)),-1)</f>
        <v/>
      </c>
      <c r="T101" s="14">
        <f>IF(G101,O101,NA())</f>
        <v/>
      </c>
      <c r="U101" s="13">
        <f>IF(G101,N101,NA())</f>
        <v/>
      </c>
      <c r="V101" s="14">
        <f>IF(R101,O101,NA())</f>
        <v/>
      </c>
      <c r="W101" s="13">
        <f>IF(R101,N101,NA())</f>
        <v/>
      </c>
      <c r="X101" s="27">
        <f>IF(G101,P101,"")</f>
        <v/>
      </c>
      <c r="Y101" s="27">
        <f>IF(G101,N101,"")</f>
        <v/>
      </c>
      <c r="Z101" s="27">
        <f>IF(R101,O101,"")</f>
        <v/>
      </c>
      <c r="AA101" s="27">
        <f>IF(R101,N101,"")</f>
        <v/>
      </c>
    </row>
    <row r="102">
      <c r="A102" s="31" t="n">
        <v>0</v>
      </c>
      <c r="B102" s="31" t="n">
        <v>0</v>
      </c>
      <c r="C102" s="31" t="n">
        <v>0.5</v>
      </c>
      <c r="D102" s="31" t="n">
        <v>0.5</v>
      </c>
      <c r="E102" s="27" t="inlineStr">
        <is>
          <t>2M 50%/3M 50%</t>
        </is>
      </c>
      <c r="F102" s="27" t="n">
        <v>25</v>
      </c>
      <c r="G102" s="27">
        <f>A102*$B$7&gt;=$B$9</f>
        <v/>
      </c>
      <c r="H102" s="13">
        <f>$B$7*(A102*E$71+B102*F$71+C102*G$71+D102*H$71)+F102/100*$B$7*J$71-$C$71</f>
        <v/>
      </c>
      <c r="I102" s="13">
        <f>$B$7*(A102*L$71+B102*M$71+C102*N$71+D102*O$71)+F102/100*$B$7*Q$71-$C$71</f>
        <v/>
      </c>
      <c r="J102" s="13">
        <f>$B$7*(A102*S$71+B102*T$71+C102*U$71+D102*V$71)+F102/100*$B$7*X$71-$C$71</f>
        <v/>
      </c>
      <c r="K102" s="13">
        <f>$B$7*(A102*Z$71+B102*AA$71+C102*AB$71+D102*AC$71)+F102/100*$B$7*AE$71-$C$71</f>
        <v/>
      </c>
      <c r="L102" s="13">
        <f>$B$7*(A102*AG$71+B102*AH$71+C102*AI$71+D102*AJ$71)+F102/100*$B$7*AL$71-$C$71</f>
        <v/>
      </c>
      <c r="M102" s="13">
        <f>$B$7*(A102*AN$71+B102*AO$71+C102*AP$71+D102*AQ$71)+F102/100*$B$7*AS$71-$C$71</f>
        <v/>
      </c>
      <c r="N102" s="13">
        <f>SUMPRODUCT($H$24:$M$24,H102:M102)</f>
        <v/>
      </c>
      <c r="O102" s="14">
        <f>SQRT(SUMPRODUCT($H$24:$M$24,(H102:M102-N102)^2))</f>
        <v/>
      </c>
      <c r="P102" s="13">
        <f>MIN(H102:M102)</f>
        <v/>
      </c>
      <c r="Q102" s="13">
        <f>MAX(H102:M102)</f>
        <v/>
      </c>
      <c r="R102" s="27">
        <f>IF(G102,SUMPRODUCT(($G$76:$G$1505)*($N$76:$N$1505&gt;=N102)*($O$76:$O$1505&lt;=O102))=1,FALSE)</f>
        <v/>
      </c>
      <c r="S102" s="16">
        <f>IF(R102,ABS((O102-$AC$76)/MAX(0.0001,$AC$77-$AC$76)-(N102-$AC$78)/MAX(0.0001,$AC$79-$AC$78)),-1)</f>
        <v/>
      </c>
      <c r="T102" s="14">
        <f>IF(G102,O102,NA())</f>
        <v/>
      </c>
      <c r="U102" s="13">
        <f>IF(G102,N102,NA())</f>
        <v/>
      </c>
      <c r="V102" s="14">
        <f>IF(R102,O102,NA())</f>
        <v/>
      </c>
      <c r="W102" s="13">
        <f>IF(R102,N102,NA())</f>
        <v/>
      </c>
      <c r="X102" s="27">
        <f>IF(G102,P102,"")</f>
        <v/>
      </c>
      <c r="Y102" s="27">
        <f>IF(G102,N102,"")</f>
        <v/>
      </c>
      <c r="Z102" s="27">
        <f>IF(R102,O102,"")</f>
        <v/>
      </c>
      <c r="AA102" s="27">
        <f>IF(R102,N102,"")</f>
        <v/>
      </c>
    </row>
    <row r="103">
      <c r="A103" s="31" t="n">
        <v>0</v>
      </c>
      <c r="B103" s="31" t="n">
        <v>0</v>
      </c>
      <c r="C103" s="31" t="n">
        <v>0.5</v>
      </c>
      <c r="D103" s="31" t="n">
        <v>0.5</v>
      </c>
      <c r="E103" s="27" t="inlineStr">
        <is>
          <t>2M 50%/3M 50%</t>
        </is>
      </c>
      <c r="F103" s="27" t="n">
        <v>50</v>
      </c>
      <c r="G103" s="27">
        <f>A103*$B$7&gt;=$B$9</f>
        <v/>
      </c>
      <c r="H103" s="13">
        <f>$B$7*(A103*E$71+B103*F$71+C103*G$71+D103*H$71)+F103/100*$B$7*J$71-$C$71</f>
        <v/>
      </c>
      <c r="I103" s="13">
        <f>$B$7*(A103*L$71+B103*M$71+C103*N$71+D103*O$71)+F103/100*$B$7*Q$71-$C$71</f>
        <v/>
      </c>
      <c r="J103" s="13">
        <f>$B$7*(A103*S$71+B103*T$71+C103*U$71+D103*V$71)+F103/100*$B$7*X$71-$C$71</f>
        <v/>
      </c>
      <c r="K103" s="13">
        <f>$B$7*(A103*Z$71+B103*AA$71+C103*AB$71+D103*AC$71)+F103/100*$B$7*AE$71-$C$71</f>
        <v/>
      </c>
      <c r="L103" s="13">
        <f>$B$7*(A103*AG$71+B103*AH$71+C103*AI$71+D103*AJ$71)+F103/100*$B$7*AL$71-$C$71</f>
        <v/>
      </c>
      <c r="M103" s="13">
        <f>$B$7*(A103*AN$71+B103*AO$71+C103*AP$71+D103*AQ$71)+F103/100*$B$7*AS$71-$C$71</f>
        <v/>
      </c>
      <c r="N103" s="13">
        <f>SUMPRODUCT($H$24:$M$24,H103:M103)</f>
        <v/>
      </c>
      <c r="O103" s="14">
        <f>SQRT(SUMPRODUCT($H$24:$M$24,(H103:M103-N103)^2))</f>
        <v/>
      </c>
      <c r="P103" s="13">
        <f>MIN(H103:M103)</f>
        <v/>
      </c>
      <c r="Q103" s="13">
        <f>MAX(H103:M103)</f>
        <v/>
      </c>
      <c r="R103" s="27">
        <f>IF(G103,SUMPRODUCT(($G$76:$G$1505)*($N$76:$N$1505&gt;=N103)*($O$76:$O$1505&lt;=O103))=1,FALSE)</f>
        <v/>
      </c>
      <c r="S103" s="16">
        <f>IF(R103,ABS((O103-$AC$76)/MAX(0.0001,$AC$77-$AC$76)-(N103-$AC$78)/MAX(0.0001,$AC$79-$AC$78)),-1)</f>
        <v/>
      </c>
      <c r="T103" s="14">
        <f>IF(G103,O103,NA())</f>
        <v/>
      </c>
      <c r="U103" s="13">
        <f>IF(G103,N103,NA())</f>
        <v/>
      </c>
      <c r="V103" s="14">
        <f>IF(R103,O103,NA())</f>
        <v/>
      </c>
      <c r="W103" s="13">
        <f>IF(R103,N103,NA())</f>
        <v/>
      </c>
      <c r="X103" s="27">
        <f>IF(G103,P103,"")</f>
        <v/>
      </c>
      <c r="Y103" s="27">
        <f>IF(G103,N103,"")</f>
        <v/>
      </c>
      <c r="Z103" s="27">
        <f>IF(R103,O103,"")</f>
        <v/>
      </c>
      <c r="AA103" s="27">
        <f>IF(R103,N103,"")</f>
        <v/>
      </c>
    </row>
    <row r="104">
      <c r="A104" s="31" t="n">
        <v>0</v>
      </c>
      <c r="B104" s="31" t="n">
        <v>0</v>
      </c>
      <c r="C104" s="31" t="n">
        <v>0.5</v>
      </c>
      <c r="D104" s="31" t="n">
        <v>0.5</v>
      </c>
      <c r="E104" s="27" t="inlineStr">
        <is>
          <t>2M 50%/3M 50%</t>
        </is>
      </c>
      <c r="F104" s="27" t="n">
        <v>75</v>
      </c>
      <c r="G104" s="27">
        <f>A104*$B$7&gt;=$B$9</f>
        <v/>
      </c>
      <c r="H104" s="13">
        <f>$B$7*(A104*E$71+B104*F$71+C104*G$71+D104*H$71)+F104/100*$B$7*J$71-$C$71</f>
        <v/>
      </c>
      <c r="I104" s="13">
        <f>$B$7*(A104*L$71+B104*M$71+C104*N$71+D104*O$71)+F104/100*$B$7*Q$71-$C$71</f>
        <v/>
      </c>
      <c r="J104" s="13">
        <f>$B$7*(A104*S$71+B104*T$71+C104*U$71+D104*V$71)+F104/100*$B$7*X$71-$C$71</f>
        <v/>
      </c>
      <c r="K104" s="13">
        <f>$B$7*(A104*Z$71+B104*AA$71+C104*AB$71+D104*AC$71)+F104/100*$B$7*AE$71-$C$71</f>
        <v/>
      </c>
      <c r="L104" s="13">
        <f>$B$7*(A104*AG$71+B104*AH$71+C104*AI$71+D104*AJ$71)+F104/100*$B$7*AL$71-$C$71</f>
        <v/>
      </c>
      <c r="M104" s="13">
        <f>$B$7*(A104*AN$71+B104*AO$71+C104*AP$71+D104*AQ$71)+F104/100*$B$7*AS$71-$C$71</f>
        <v/>
      </c>
      <c r="N104" s="13">
        <f>SUMPRODUCT($H$24:$M$24,H104:M104)</f>
        <v/>
      </c>
      <c r="O104" s="14">
        <f>SQRT(SUMPRODUCT($H$24:$M$24,(H104:M104-N104)^2))</f>
        <v/>
      </c>
      <c r="P104" s="13">
        <f>MIN(H104:M104)</f>
        <v/>
      </c>
      <c r="Q104" s="13">
        <f>MAX(H104:M104)</f>
        <v/>
      </c>
      <c r="R104" s="27">
        <f>IF(G104,SUMPRODUCT(($G$76:$G$1505)*($N$76:$N$1505&gt;=N104)*($O$76:$O$1505&lt;=O104))=1,FALSE)</f>
        <v/>
      </c>
      <c r="S104" s="16">
        <f>IF(R104,ABS((O104-$AC$76)/MAX(0.0001,$AC$77-$AC$76)-(N104-$AC$78)/MAX(0.0001,$AC$79-$AC$78)),-1)</f>
        <v/>
      </c>
      <c r="T104" s="14">
        <f>IF(G104,O104,NA())</f>
        <v/>
      </c>
      <c r="U104" s="13">
        <f>IF(G104,N104,NA())</f>
        <v/>
      </c>
      <c r="V104" s="14">
        <f>IF(R104,O104,NA())</f>
        <v/>
      </c>
      <c r="W104" s="13">
        <f>IF(R104,N104,NA())</f>
        <v/>
      </c>
      <c r="X104" s="27">
        <f>IF(G104,P104,"")</f>
        <v/>
      </c>
      <c r="Y104" s="27">
        <f>IF(G104,N104,"")</f>
        <v/>
      </c>
      <c r="Z104" s="27">
        <f>IF(R104,O104,"")</f>
        <v/>
      </c>
      <c r="AA104" s="27">
        <f>IF(R104,N104,"")</f>
        <v/>
      </c>
    </row>
    <row r="105">
      <c r="A105" s="31" t="n">
        <v>0</v>
      </c>
      <c r="B105" s="31" t="n">
        <v>0</v>
      </c>
      <c r="C105" s="31" t="n">
        <v>0.5</v>
      </c>
      <c r="D105" s="31" t="n">
        <v>0.5</v>
      </c>
      <c r="E105" s="27" t="inlineStr">
        <is>
          <t>2M 50%/3M 50%</t>
        </is>
      </c>
      <c r="F105" s="27" t="n">
        <v>100</v>
      </c>
      <c r="G105" s="27">
        <f>A105*$B$7&gt;=$B$9</f>
        <v/>
      </c>
      <c r="H105" s="13">
        <f>$B$7*(A105*E$71+B105*F$71+C105*G$71+D105*H$71)+F105/100*$B$7*J$71-$C$71</f>
        <v/>
      </c>
      <c r="I105" s="13">
        <f>$B$7*(A105*L$71+B105*M$71+C105*N$71+D105*O$71)+F105/100*$B$7*Q$71-$C$71</f>
        <v/>
      </c>
      <c r="J105" s="13">
        <f>$B$7*(A105*S$71+B105*T$71+C105*U$71+D105*V$71)+F105/100*$B$7*X$71-$C$71</f>
        <v/>
      </c>
      <c r="K105" s="13">
        <f>$B$7*(A105*Z$71+B105*AA$71+C105*AB$71+D105*AC$71)+F105/100*$B$7*AE$71-$C$71</f>
        <v/>
      </c>
      <c r="L105" s="13">
        <f>$B$7*(A105*AG$71+B105*AH$71+C105*AI$71+D105*AJ$71)+F105/100*$B$7*AL$71-$C$71</f>
        <v/>
      </c>
      <c r="M105" s="13">
        <f>$B$7*(A105*AN$71+B105*AO$71+C105*AP$71+D105*AQ$71)+F105/100*$B$7*AS$71-$C$71</f>
        <v/>
      </c>
      <c r="N105" s="13">
        <f>SUMPRODUCT($H$24:$M$24,H105:M105)</f>
        <v/>
      </c>
      <c r="O105" s="14">
        <f>SQRT(SUMPRODUCT($H$24:$M$24,(H105:M105-N105)^2))</f>
        <v/>
      </c>
      <c r="P105" s="13">
        <f>MIN(H105:M105)</f>
        <v/>
      </c>
      <c r="Q105" s="13">
        <f>MAX(H105:M105)</f>
        <v/>
      </c>
      <c r="R105" s="27">
        <f>IF(G105,SUMPRODUCT(($G$76:$G$1505)*($N$76:$N$1505&gt;=N105)*($O$76:$O$1505&lt;=O105))=1,FALSE)</f>
        <v/>
      </c>
      <c r="S105" s="16">
        <f>IF(R105,ABS((O105-$AC$76)/MAX(0.0001,$AC$77-$AC$76)-(N105-$AC$78)/MAX(0.0001,$AC$79-$AC$78)),-1)</f>
        <v/>
      </c>
      <c r="T105" s="14">
        <f>IF(G105,O105,NA())</f>
        <v/>
      </c>
      <c r="U105" s="13">
        <f>IF(G105,N105,NA())</f>
        <v/>
      </c>
      <c r="V105" s="14">
        <f>IF(R105,O105,NA())</f>
        <v/>
      </c>
      <c r="W105" s="13">
        <f>IF(R105,N105,NA())</f>
        <v/>
      </c>
      <c r="X105" s="27">
        <f>IF(G105,P105,"")</f>
        <v/>
      </c>
      <c r="Y105" s="27">
        <f>IF(G105,N105,"")</f>
        <v/>
      </c>
      <c r="Z105" s="27">
        <f>IF(R105,O105,"")</f>
        <v/>
      </c>
      <c r="AA105" s="27">
        <f>IF(R105,N105,"")</f>
        <v/>
      </c>
    </row>
    <row r="106">
      <c r="A106" s="31" t="n">
        <v>0</v>
      </c>
      <c r="B106" s="31" t="n">
        <v>0</v>
      </c>
      <c r="C106" s="31" t="n">
        <v>0.6</v>
      </c>
      <c r="D106" s="31" t="n">
        <v>0.4</v>
      </c>
      <c r="E106" s="27" t="inlineStr">
        <is>
          <t>2M 60%/3M 40%</t>
        </is>
      </c>
      <c r="F106" s="27" t="n">
        <v>0</v>
      </c>
      <c r="G106" s="27">
        <f>A106*$B$7&gt;=$B$9</f>
        <v/>
      </c>
      <c r="H106" s="13">
        <f>$B$7*(A106*E$71+B106*F$71+C106*G$71+D106*H$71)+F106/100*$B$7*J$71-$C$71</f>
        <v/>
      </c>
      <c r="I106" s="13">
        <f>$B$7*(A106*L$71+B106*M$71+C106*N$71+D106*O$71)+F106/100*$B$7*Q$71-$C$71</f>
        <v/>
      </c>
      <c r="J106" s="13">
        <f>$B$7*(A106*S$71+B106*T$71+C106*U$71+D106*V$71)+F106/100*$B$7*X$71-$C$71</f>
        <v/>
      </c>
      <c r="K106" s="13">
        <f>$B$7*(A106*Z$71+B106*AA$71+C106*AB$71+D106*AC$71)+F106/100*$B$7*AE$71-$C$71</f>
        <v/>
      </c>
      <c r="L106" s="13">
        <f>$B$7*(A106*AG$71+B106*AH$71+C106*AI$71+D106*AJ$71)+F106/100*$B$7*AL$71-$C$71</f>
        <v/>
      </c>
      <c r="M106" s="13">
        <f>$B$7*(A106*AN$71+B106*AO$71+C106*AP$71+D106*AQ$71)+F106/100*$B$7*AS$71-$C$71</f>
        <v/>
      </c>
      <c r="N106" s="13">
        <f>SUMPRODUCT($H$24:$M$24,H106:M106)</f>
        <v/>
      </c>
      <c r="O106" s="14">
        <f>SQRT(SUMPRODUCT($H$24:$M$24,(H106:M106-N106)^2))</f>
        <v/>
      </c>
      <c r="P106" s="13">
        <f>MIN(H106:M106)</f>
        <v/>
      </c>
      <c r="Q106" s="13">
        <f>MAX(H106:M106)</f>
        <v/>
      </c>
      <c r="R106" s="27">
        <f>IF(G106,SUMPRODUCT(($G$76:$G$1505)*($N$76:$N$1505&gt;=N106)*($O$76:$O$1505&lt;=O106))=1,FALSE)</f>
        <v/>
      </c>
      <c r="S106" s="16">
        <f>IF(R106,ABS((O106-$AC$76)/MAX(0.0001,$AC$77-$AC$76)-(N106-$AC$78)/MAX(0.0001,$AC$79-$AC$78)),-1)</f>
        <v/>
      </c>
      <c r="T106" s="14">
        <f>IF(G106,O106,NA())</f>
        <v/>
      </c>
      <c r="U106" s="13">
        <f>IF(G106,N106,NA())</f>
        <v/>
      </c>
      <c r="V106" s="14">
        <f>IF(R106,O106,NA())</f>
        <v/>
      </c>
      <c r="W106" s="13">
        <f>IF(R106,N106,NA())</f>
        <v/>
      </c>
      <c r="X106" s="27">
        <f>IF(G106,P106,"")</f>
        <v/>
      </c>
      <c r="Y106" s="27">
        <f>IF(G106,N106,"")</f>
        <v/>
      </c>
      <c r="Z106" s="27">
        <f>IF(R106,O106,"")</f>
        <v/>
      </c>
      <c r="AA106" s="27">
        <f>IF(R106,N106,"")</f>
        <v/>
      </c>
    </row>
    <row r="107">
      <c r="A107" s="31" t="n">
        <v>0</v>
      </c>
      <c r="B107" s="31" t="n">
        <v>0</v>
      </c>
      <c r="C107" s="31" t="n">
        <v>0.6</v>
      </c>
      <c r="D107" s="31" t="n">
        <v>0.4</v>
      </c>
      <c r="E107" s="27" t="inlineStr">
        <is>
          <t>2M 60%/3M 40%</t>
        </is>
      </c>
      <c r="F107" s="27" t="n">
        <v>25</v>
      </c>
      <c r="G107" s="27">
        <f>A107*$B$7&gt;=$B$9</f>
        <v/>
      </c>
      <c r="H107" s="13">
        <f>$B$7*(A107*E$71+B107*F$71+C107*G$71+D107*H$71)+F107/100*$B$7*J$71-$C$71</f>
        <v/>
      </c>
      <c r="I107" s="13">
        <f>$B$7*(A107*L$71+B107*M$71+C107*N$71+D107*O$71)+F107/100*$B$7*Q$71-$C$71</f>
        <v/>
      </c>
      <c r="J107" s="13">
        <f>$B$7*(A107*S$71+B107*T$71+C107*U$71+D107*V$71)+F107/100*$B$7*X$71-$C$71</f>
        <v/>
      </c>
      <c r="K107" s="13">
        <f>$B$7*(A107*Z$71+B107*AA$71+C107*AB$71+D107*AC$71)+F107/100*$B$7*AE$71-$C$71</f>
        <v/>
      </c>
      <c r="L107" s="13">
        <f>$B$7*(A107*AG$71+B107*AH$71+C107*AI$71+D107*AJ$71)+F107/100*$B$7*AL$71-$C$71</f>
        <v/>
      </c>
      <c r="M107" s="13">
        <f>$B$7*(A107*AN$71+B107*AO$71+C107*AP$71+D107*AQ$71)+F107/100*$B$7*AS$71-$C$71</f>
        <v/>
      </c>
      <c r="N107" s="13">
        <f>SUMPRODUCT($H$24:$M$24,H107:M107)</f>
        <v/>
      </c>
      <c r="O107" s="14">
        <f>SQRT(SUMPRODUCT($H$24:$M$24,(H107:M107-N107)^2))</f>
        <v/>
      </c>
      <c r="P107" s="13">
        <f>MIN(H107:M107)</f>
        <v/>
      </c>
      <c r="Q107" s="13">
        <f>MAX(H107:M107)</f>
        <v/>
      </c>
      <c r="R107" s="27">
        <f>IF(G107,SUMPRODUCT(($G$76:$G$1505)*($N$76:$N$1505&gt;=N107)*($O$76:$O$1505&lt;=O107))=1,FALSE)</f>
        <v/>
      </c>
      <c r="S107" s="16">
        <f>IF(R107,ABS((O107-$AC$76)/MAX(0.0001,$AC$77-$AC$76)-(N107-$AC$78)/MAX(0.0001,$AC$79-$AC$78)),-1)</f>
        <v/>
      </c>
      <c r="T107" s="14">
        <f>IF(G107,O107,NA())</f>
        <v/>
      </c>
      <c r="U107" s="13">
        <f>IF(G107,N107,NA())</f>
        <v/>
      </c>
      <c r="V107" s="14">
        <f>IF(R107,O107,NA())</f>
        <v/>
      </c>
      <c r="W107" s="13">
        <f>IF(R107,N107,NA())</f>
        <v/>
      </c>
      <c r="X107" s="27">
        <f>IF(G107,P107,"")</f>
        <v/>
      </c>
      <c r="Y107" s="27">
        <f>IF(G107,N107,"")</f>
        <v/>
      </c>
      <c r="Z107" s="27">
        <f>IF(R107,O107,"")</f>
        <v/>
      </c>
      <c r="AA107" s="27">
        <f>IF(R107,N107,"")</f>
        <v/>
      </c>
    </row>
    <row r="108">
      <c r="A108" s="31" t="n">
        <v>0</v>
      </c>
      <c r="B108" s="31" t="n">
        <v>0</v>
      </c>
      <c r="C108" s="31" t="n">
        <v>0.6</v>
      </c>
      <c r="D108" s="31" t="n">
        <v>0.4</v>
      </c>
      <c r="E108" s="27" t="inlineStr">
        <is>
          <t>2M 60%/3M 40%</t>
        </is>
      </c>
      <c r="F108" s="27" t="n">
        <v>50</v>
      </c>
      <c r="G108" s="27">
        <f>A108*$B$7&gt;=$B$9</f>
        <v/>
      </c>
      <c r="H108" s="13">
        <f>$B$7*(A108*E$71+B108*F$71+C108*G$71+D108*H$71)+F108/100*$B$7*J$71-$C$71</f>
        <v/>
      </c>
      <c r="I108" s="13">
        <f>$B$7*(A108*L$71+B108*M$71+C108*N$71+D108*O$71)+F108/100*$B$7*Q$71-$C$71</f>
        <v/>
      </c>
      <c r="J108" s="13">
        <f>$B$7*(A108*S$71+B108*T$71+C108*U$71+D108*V$71)+F108/100*$B$7*X$71-$C$71</f>
        <v/>
      </c>
      <c r="K108" s="13">
        <f>$B$7*(A108*Z$71+B108*AA$71+C108*AB$71+D108*AC$71)+F108/100*$B$7*AE$71-$C$71</f>
        <v/>
      </c>
      <c r="L108" s="13">
        <f>$B$7*(A108*AG$71+B108*AH$71+C108*AI$71+D108*AJ$71)+F108/100*$B$7*AL$71-$C$71</f>
        <v/>
      </c>
      <c r="M108" s="13">
        <f>$B$7*(A108*AN$71+B108*AO$71+C108*AP$71+D108*AQ$71)+F108/100*$B$7*AS$71-$C$71</f>
        <v/>
      </c>
      <c r="N108" s="13">
        <f>SUMPRODUCT($H$24:$M$24,H108:M108)</f>
        <v/>
      </c>
      <c r="O108" s="14">
        <f>SQRT(SUMPRODUCT($H$24:$M$24,(H108:M108-N108)^2))</f>
        <v/>
      </c>
      <c r="P108" s="13">
        <f>MIN(H108:M108)</f>
        <v/>
      </c>
      <c r="Q108" s="13">
        <f>MAX(H108:M108)</f>
        <v/>
      </c>
      <c r="R108" s="27">
        <f>IF(G108,SUMPRODUCT(($G$76:$G$1505)*($N$76:$N$1505&gt;=N108)*($O$76:$O$1505&lt;=O108))=1,FALSE)</f>
        <v/>
      </c>
      <c r="S108" s="16">
        <f>IF(R108,ABS((O108-$AC$76)/MAX(0.0001,$AC$77-$AC$76)-(N108-$AC$78)/MAX(0.0001,$AC$79-$AC$78)),-1)</f>
        <v/>
      </c>
      <c r="T108" s="14">
        <f>IF(G108,O108,NA())</f>
        <v/>
      </c>
      <c r="U108" s="13">
        <f>IF(G108,N108,NA())</f>
        <v/>
      </c>
      <c r="V108" s="14">
        <f>IF(R108,O108,NA())</f>
        <v/>
      </c>
      <c r="W108" s="13">
        <f>IF(R108,N108,NA())</f>
        <v/>
      </c>
      <c r="X108" s="27">
        <f>IF(G108,P108,"")</f>
        <v/>
      </c>
      <c r="Y108" s="27">
        <f>IF(G108,N108,"")</f>
        <v/>
      </c>
      <c r="Z108" s="27">
        <f>IF(R108,O108,"")</f>
        <v/>
      </c>
      <c r="AA108" s="27">
        <f>IF(R108,N108,"")</f>
        <v/>
      </c>
    </row>
    <row r="109">
      <c r="A109" s="31" t="n">
        <v>0</v>
      </c>
      <c r="B109" s="31" t="n">
        <v>0</v>
      </c>
      <c r="C109" s="31" t="n">
        <v>0.6</v>
      </c>
      <c r="D109" s="31" t="n">
        <v>0.4</v>
      </c>
      <c r="E109" s="27" t="inlineStr">
        <is>
          <t>2M 60%/3M 40%</t>
        </is>
      </c>
      <c r="F109" s="27" t="n">
        <v>75</v>
      </c>
      <c r="G109" s="27">
        <f>A109*$B$7&gt;=$B$9</f>
        <v/>
      </c>
      <c r="H109" s="13">
        <f>$B$7*(A109*E$71+B109*F$71+C109*G$71+D109*H$71)+F109/100*$B$7*J$71-$C$71</f>
        <v/>
      </c>
      <c r="I109" s="13">
        <f>$B$7*(A109*L$71+B109*M$71+C109*N$71+D109*O$71)+F109/100*$B$7*Q$71-$C$71</f>
        <v/>
      </c>
      <c r="J109" s="13">
        <f>$B$7*(A109*S$71+B109*T$71+C109*U$71+D109*V$71)+F109/100*$B$7*X$71-$C$71</f>
        <v/>
      </c>
      <c r="K109" s="13">
        <f>$B$7*(A109*Z$71+B109*AA$71+C109*AB$71+D109*AC$71)+F109/100*$B$7*AE$71-$C$71</f>
        <v/>
      </c>
      <c r="L109" s="13">
        <f>$B$7*(A109*AG$71+B109*AH$71+C109*AI$71+D109*AJ$71)+F109/100*$B$7*AL$71-$C$71</f>
        <v/>
      </c>
      <c r="M109" s="13">
        <f>$B$7*(A109*AN$71+B109*AO$71+C109*AP$71+D109*AQ$71)+F109/100*$B$7*AS$71-$C$71</f>
        <v/>
      </c>
      <c r="N109" s="13">
        <f>SUMPRODUCT($H$24:$M$24,H109:M109)</f>
        <v/>
      </c>
      <c r="O109" s="14">
        <f>SQRT(SUMPRODUCT($H$24:$M$24,(H109:M109-N109)^2))</f>
        <v/>
      </c>
      <c r="P109" s="13">
        <f>MIN(H109:M109)</f>
        <v/>
      </c>
      <c r="Q109" s="13">
        <f>MAX(H109:M109)</f>
        <v/>
      </c>
      <c r="R109" s="27">
        <f>IF(G109,SUMPRODUCT(($G$76:$G$1505)*($N$76:$N$1505&gt;=N109)*($O$76:$O$1505&lt;=O109))=1,FALSE)</f>
        <v/>
      </c>
      <c r="S109" s="16">
        <f>IF(R109,ABS((O109-$AC$76)/MAX(0.0001,$AC$77-$AC$76)-(N109-$AC$78)/MAX(0.0001,$AC$79-$AC$78)),-1)</f>
        <v/>
      </c>
      <c r="T109" s="14">
        <f>IF(G109,O109,NA())</f>
        <v/>
      </c>
      <c r="U109" s="13">
        <f>IF(G109,N109,NA())</f>
        <v/>
      </c>
      <c r="V109" s="14">
        <f>IF(R109,O109,NA())</f>
        <v/>
      </c>
      <c r="W109" s="13">
        <f>IF(R109,N109,NA())</f>
        <v/>
      </c>
      <c r="X109" s="27">
        <f>IF(G109,P109,"")</f>
        <v/>
      </c>
      <c r="Y109" s="27">
        <f>IF(G109,N109,"")</f>
        <v/>
      </c>
      <c r="Z109" s="27">
        <f>IF(R109,O109,"")</f>
        <v/>
      </c>
      <c r="AA109" s="27">
        <f>IF(R109,N109,"")</f>
        <v/>
      </c>
    </row>
    <row r="110">
      <c r="A110" s="31" t="n">
        <v>0</v>
      </c>
      <c r="B110" s="31" t="n">
        <v>0</v>
      </c>
      <c r="C110" s="31" t="n">
        <v>0.6</v>
      </c>
      <c r="D110" s="31" t="n">
        <v>0.4</v>
      </c>
      <c r="E110" s="27" t="inlineStr">
        <is>
          <t>2M 60%/3M 40%</t>
        </is>
      </c>
      <c r="F110" s="27" t="n">
        <v>100</v>
      </c>
      <c r="G110" s="27">
        <f>A110*$B$7&gt;=$B$9</f>
        <v/>
      </c>
      <c r="H110" s="13">
        <f>$B$7*(A110*E$71+B110*F$71+C110*G$71+D110*H$71)+F110/100*$B$7*J$71-$C$71</f>
        <v/>
      </c>
      <c r="I110" s="13">
        <f>$B$7*(A110*L$71+B110*M$71+C110*N$71+D110*O$71)+F110/100*$B$7*Q$71-$C$71</f>
        <v/>
      </c>
      <c r="J110" s="13">
        <f>$B$7*(A110*S$71+B110*T$71+C110*U$71+D110*V$71)+F110/100*$B$7*X$71-$C$71</f>
        <v/>
      </c>
      <c r="K110" s="13">
        <f>$B$7*(A110*Z$71+B110*AA$71+C110*AB$71+D110*AC$71)+F110/100*$B$7*AE$71-$C$71</f>
        <v/>
      </c>
      <c r="L110" s="13">
        <f>$B$7*(A110*AG$71+B110*AH$71+C110*AI$71+D110*AJ$71)+F110/100*$B$7*AL$71-$C$71</f>
        <v/>
      </c>
      <c r="M110" s="13">
        <f>$B$7*(A110*AN$71+B110*AO$71+C110*AP$71+D110*AQ$71)+F110/100*$B$7*AS$71-$C$71</f>
        <v/>
      </c>
      <c r="N110" s="13">
        <f>SUMPRODUCT($H$24:$M$24,H110:M110)</f>
        <v/>
      </c>
      <c r="O110" s="14">
        <f>SQRT(SUMPRODUCT($H$24:$M$24,(H110:M110-N110)^2))</f>
        <v/>
      </c>
      <c r="P110" s="13">
        <f>MIN(H110:M110)</f>
        <v/>
      </c>
      <c r="Q110" s="13">
        <f>MAX(H110:M110)</f>
        <v/>
      </c>
      <c r="R110" s="27">
        <f>IF(G110,SUMPRODUCT(($G$76:$G$1505)*($N$76:$N$1505&gt;=N110)*($O$76:$O$1505&lt;=O110))=1,FALSE)</f>
        <v/>
      </c>
      <c r="S110" s="16">
        <f>IF(R110,ABS((O110-$AC$76)/MAX(0.0001,$AC$77-$AC$76)-(N110-$AC$78)/MAX(0.0001,$AC$79-$AC$78)),-1)</f>
        <v/>
      </c>
      <c r="T110" s="14">
        <f>IF(G110,O110,NA())</f>
        <v/>
      </c>
      <c r="U110" s="13">
        <f>IF(G110,N110,NA())</f>
        <v/>
      </c>
      <c r="V110" s="14">
        <f>IF(R110,O110,NA())</f>
        <v/>
      </c>
      <c r="W110" s="13">
        <f>IF(R110,N110,NA())</f>
        <v/>
      </c>
      <c r="X110" s="27">
        <f>IF(G110,P110,"")</f>
        <v/>
      </c>
      <c r="Y110" s="27">
        <f>IF(G110,N110,"")</f>
        <v/>
      </c>
      <c r="Z110" s="27">
        <f>IF(R110,O110,"")</f>
        <v/>
      </c>
      <c r="AA110" s="27">
        <f>IF(R110,N110,"")</f>
        <v/>
      </c>
    </row>
    <row r="111">
      <c r="A111" s="31" t="n">
        <v>0</v>
      </c>
      <c r="B111" s="31" t="n">
        <v>0</v>
      </c>
      <c r="C111" s="31" t="n">
        <v>0.7</v>
      </c>
      <c r="D111" s="31" t="n">
        <v>0.3</v>
      </c>
      <c r="E111" s="27" t="inlineStr">
        <is>
          <t>2M 70%/3M 30%</t>
        </is>
      </c>
      <c r="F111" s="27" t="n">
        <v>0</v>
      </c>
      <c r="G111" s="27">
        <f>A111*$B$7&gt;=$B$9</f>
        <v/>
      </c>
      <c r="H111" s="13">
        <f>$B$7*(A111*E$71+B111*F$71+C111*G$71+D111*H$71)+F111/100*$B$7*J$71-$C$71</f>
        <v/>
      </c>
      <c r="I111" s="13">
        <f>$B$7*(A111*L$71+B111*M$71+C111*N$71+D111*O$71)+F111/100*$B$7*Q$71-$C$71</f>
        <v/>
      </c>
      <c r="J111" s="13">
        <f>$B$7*(A111*S$71+B111*T$71+C111*U$71+D111*V$71)+F111/100*$B$7*X$71-$C$71</f>
        <v/>
      </c>
      <c r="K111" s="13">
        <f>$B$7*(A111*Z$71+B111*AA$71+C111*AB$71+D111*AC$71)+F111/100*$B$7*AE$71-$C$71</f>
        <v/>
      </c>
      <c r="L111" s="13">
        <f>$B$7*(A111*AG$71+B111*AH$71+C111*AI$71+D111*AJ$71)+F111/100*$B$7*AL$71-$C$71</f>
        <v/>
      </c>
      <c r="M111" s="13">
        <f>$B$7*(A111*AN$71+B111*AO$71+C111*AP$71+D111*AQ$71)+F111/100*$B$7*AS$71-$C$71</f>
        <v/>
      </c>
      <c r="N111" s="13">
        <f>SUMPRODUCT($H$24:$M$24,H111:M111)</f>
        <v/>
      </c>
      <c r="O111" s="14">
        <f>SQRT(SUMPRODUCT($H$24:$M$24,(H111:M111-N111)^2))</f>
        <v/>
      </c>
      <c r="P111" s="13">
        <f>MIN(H111:M111)</f>
        <v/>
      </c>
      <c r="Q111" s="13">
        <f>MAX(H111:M111)</f>
        <v/>
      </c>
      <c r="R111" s="27">
        <f>IF(G111,SUMPRODUCT(($G$76:$G$1505)*($N$76:$N$1505&gt;=N111)*($O$76:$O$1505&lt;=O111))=1,FALSE)</f>
        <v/>
      </c>
      <c r="S111" s="16">
        <f>IF(R111,ABS((O111-$AC$76)/MAX(0.0001,$AC$77-$AC$76)-(N111-$AC$78)/MAX(0.0001,$AC$79-$AC$78)),-1)</f>
        <v/>
      </c>
      <c r="T111" s="14">
        <f>IF(G111,O111,NA())</f>
        <v/>
      </c>
      <c r="U111" s="13">
        <f>IF(G111,N111,NA())</f>
        <v/>
      </c>
      <c r="V111" s="14">
        <f>IF(R111,O111,NA())</f>
        <v/>
      </c>
      <c r="W111" s="13">
        <f>IF(R111,N111,NA())</f>
        <v/>
      </c>
      <c r="X111" s="27">
        <f>IF(G111,P111,"")</f>
        <v/>
      </c>
      <c r="Y111" s="27">
        <f>IF(G111,N111,"")</f>
        <v/>
      </c>
      <c r="Z111" s="27">
        <f>IF(R111,O111,"")</f>
        <v/>
      </c>
      <c r="AA111" s="27">
        <f>IF(R111,N111,"")</f>
        <v/>
      </c>
    </row>
    <row r="112">
      <c r="A112" s="31" t="n">
        <v>0</v>
      </c>
      <c r="B112" s="31" t="n">
        <v>0</v>
      </c>
      <c r="C112" s="31" t="n">
        <v>0.7</v>
      </c>
      <c r="D112" s="31" t="n">
        <v>0.3</v>
      </c>
      <c r="E112" s="27" t="inlineStr">
        <is>
          <t>2M 70%/3M 30%</t>
        </is>
      </c>
      <c r="F112" s="27" t="n">
        <v>25</v>
      </c>
      <c r="G112" s="27">
        <f>A112*$B$7&gt;=$B$9</f>
        <v/>
      </c>
      <c r="H112" s="13">
        <f>$B$7*(A112*E$71+B112*F$71+C112*G$71+D112*H$71)+F112/100*$B$7*J$71-$C$71</f>
        <v/>
      </c>
      <c r="I112" s="13">
        <f>$B$7*(A112*L$71+B112*M$71+C112*N$71+D112*O$71)+F112/100*$B$7*Q$71-$C$71</f>
        <v/>
      </c>
      <c r="J112" s="13">
        <f>$B$7*(A112*S$71+B112*T$71+C112*U$71+D112*V$71)+F112/100*$B$7*X$71-$C$71</f>
        <v/>
      </c>
      <c r="K112" s="13">
        <f>$B$7*(A112*Z$71+B112*AA$71+C112*AB$71+D112*AC$71)+F112/100*$B$7*AE$71-$C$71</f>
        <v/>
      </c>
      <c r="L112" s="13">
        <f>$B$7*(A112*AG$71+B112*AH$71+C112*AI$71+D112*AJ$71)+F112/100*$B$7*AL$71-$C$71</f>
        <v/>
      </c>
      <c r="M112" s="13">
        <f>$B$7*(A112*AN$71+B112*AO$71+C112*AP$71+D112*AQ$71)+F112/100*$B$7*AS$71-$C$71</f>
        <v/>
      </c>
      <c r="N112" s="13">
        <f>SUMPRODUCT($H$24:$M$24,H112:M112)</f>
        <v/>
      </c>
      <c r="O112" s="14">
        <f>SQRT(SUMPRODUCT($H$24:$M$24,(H112:M112-N112)^2))</f>
        <v/>
      </c>
      <c r="P112" s="13">
        <f>MIN(H112:M112)</f>
        <v/>
      </c>
      <c r="Q112" s="13">
        <f>MAX(H112:M112)</f>
        <v/>
      </c>
      <c r="R112" s="27">
        <f>IF(G112,SUMPRODUCT(($G$76:$G$1505)*($N$76:$N$1505&gt;=N112)*($O$76:$O$1505&lt;=O112))=1,FALSE)</f>
        <v/>
      </c>
      <c r="S112" s="16">
        <f>IF(R112,ABS((O112-$AC$76)/MAX(0.0001,$AC$77-$AC$76)-(N112-$AC$78)/MAX(0.0001,$AC$79-$AC$78)),-1)</f>
        <v/>
      </c>
      <c r="T112" s="14">
        <f>IF(G112,O112,NA())</f>
        <v/>
      </c>
      <c r="U112" s="13">
        <f>IF(G112,N112,NA())</f>
        <v/>
      </c>
      <c r="V112" s="14">
        <f>IF(R112,O112,NA())</f>
        <v/>
      </c>
      <c r="W112" s="13">
        <f>IF(R112,N112,NA())</f>
        <v/>
      </c>
      <c r="X112" s="27">
        <f>IF(G112,P112,"")</f>
        <v/>
      </c>
      <c r="Y112" s="27">
        <f>IF(G112,N112,"")</f>
        <v/>
      </c>
      <c r="Z112" s="27">
        <f>IF(R112,O112,"")</f>
        <v/>
      </c>
      <c r="AA112" s="27">
        <f>IF(R112,N112,"")</f>
        <v/>
      </c>
    </row>
    <row r="113">
      <c r="A113" s="31" t="n">
        <v>0</v>
      </c>
      <c r="B113" s="31" t="n">
        <v>0</v>
      </c>
      <c r="C113" s="31" t="n">
        <v>0.7</v>
      </c>
      <c r="D113" s="31" t="n">
        <v>0.3</v>
      </c>
      <c r="E113" s="27" t="inlineStr">
        <is>
          <t>2M 70%/3M 30%</t>
        </is>
      </c>
      <c r="F113" s="27" t="n">
        <v>50</v>
      </c>
      <c r="G113" s="27">
        <f>A113*$B$7&gt;=$B$9</f>
        <v/>
      </c>
      <c r="H113" s="13">
        <f>$B$7*(A113*E$71+B113*F$71+C113*G$71+D113*H$71)+F113/100*$B$7*J$71-$C$71</f>
        <v/>
      </c>
      <c r="I113" s="13">
        <f>$B$7*(A113*L$71+B113*M$71+C113*N$71+D113*O$71)+F113/100*$B$7*Q$71-$C$71</f>
        <v/>
      </c>
      <c r="J113" s="13">
        <f>$B$7*(A113*S$71+B113*T$71+C113*U$71+D113*V$71)+F113/100*$B$7*X$71-$C$71</f>
        <v/>
      </c>
      <c r="K113" s="13">
        <f>$B$7*(A113*Z$71+B113*AA$71+C113*AB$71+D113*AC$71)+F113/100*$B$7*AE$71-$C$71</f>
        <v/>
      </c>
      <c r="L113" s="13">
        <f>$B$7*(A113*AG$71+B113*AH$71+C113*AI$71+D113*AJ$71)+F113/100*$B$7*AL$71-$C$71</f>
        <v/>
      </c>
      <c r="M113" s="13">
        <f>$B$7*(A113*AN$71+B113*AO$71+C113*AP$71+D113*AQ$71)+F113/100*$B$7*AS$71-$C$71</f>
        <v/>
      </c>
      <c r="N113" s="13">
        <f>SUMPRODUCT($H$24:$M$24,H113:M113)</f>
        <v/>
      </c>
      <c r="O113" s="14">
        <f>SQRT(SUMPRODUCT($H$24:$M$24,(H113:M113-N113)^2))</f>
        <v/>
      </c>
      <c r="P113" s="13">
        <f>MIN(H113:M113)</f>
        <v/>
      </c>
      <c r="Q113" s="13">
        <f>MAX(H113:M113)</f>
        <v/>
      </c>
      <c r="R113" s="27">
        <f>IF(G113,SUMPRODUCT(($G$76:$G$1505)*($N$76:$N$1505&gt;=N113)*($O$76:$O$1505&lt;=O113))=1,FALSE)</f>
        <v/>
      </c>
      <c r="S113" s="16">
        <f>IF(R113,ABS((O113-$AC$76)/MAX(0.0001,$AC$77-$AC$76)-(N113-$AC$78)/MAX(0.0001,$AC$79-$AC$78)),-1)</f>
        <v/>
      </c>
      <c r="T113" s="14">
        <f>IF(G113,O113,NA())</f>
        <v/>
      </c>
      <c r="U113" s="13">
        <f>IF(G113,N113,NA())</f>
        <v/>
      </c>
      <c r="V113" s="14">
        <f>IF(R113,O113,NA())</f>
        <v/>
      </c>
      <c r="W113" s="13">
        <f>IF(R113,N113,NA())</f>
        <v/>
      </c>
      <c r="X113" s="27">
        <f>IF(G113,P113,"")</f>
        <v/>
      </c>
      <c r="Y113" s="27">
        <f>IF(G113,N113,"")</f>
        <v/>
      </c>
      <c r="Z113" s="27">
        <f>IF(R113,O113,"")</f>
        <v/>
      </c>
      <c r="AA113" s="27">
        <f>IF(R113,N113,"")</f>
        <v/>
      </c>
    </row>
    <row r="114">
      <c r="A114" s="31" t="n">
        <v>0</v>
      </c>
      <c r="B114" s="31" t="n">
        <v>0</v>
      </c>
      <c r="C114" s="31" t="n">
        <v>0.7</v>
      </c>
      <c r="D114" s="31" t="n">
        <v>0.3</v>
      </c>
      <c r="E114" s="27" t="inlineStr">
        <is>
          <t>2M 70%/3M 30%</t>
        </is>
      </c>
      <c r="F114" s="27" t="n">
        <v>75</v>
      </c>
      <c r="G114" s="27">
        <f>A114*$B$7&gt;=$B$9</f>
        <v/>
      </c>
      <c r="H114" s="13">
        <f>$B$7*(A114*E$71+B114*F$71+C114*G$71+D114*H$71)+F114/100*$B$7*J$71-$C$71</f>
        <v/>
      </c>
      <c r="I114" s="13">
        <f>$B$7*(A114*L$71+B114*M$71+C114*N$71+D114*O$71)+F114/100*$B$7*Q$71-$C$71</f>
        <v/>
      </c>
      <c r="J114" s="13">
        <f>$B$7*(A114*S$71+B114*T$71+C114*U$71+D114*V$71)+F114/100*$B$7*X$71-$C$71</f>
        <v/>
      </c>
      <c r="K114" s="13">
        <f>$B$7*(A114*Z$71+B114*AA$71+C114*AB$71+D114*AC$71)+F114/100*$B$7*AE$71-$C$71</f>
        <v/>
      </c>
      <c r="L114" s="13">
        <f>$B$7*(A114*AG$71+B114*AH$71+C114*AI$71+D114*AJ$71)+F114/100*$B$7*AL$71-$C$71</f>
        <v/>
      </c>
      <c r="M114" s="13">
        <f>$B$7*(A114*AN$71+B114*AO$71+C114*AP$71+D114*AQ$71)+F114/100*$B$7*AS$71-$C$71</f>
        <v/>
      </c>
      <c r="N114" s="13">
        <f>SUMPRODUCT($H$24:$M$24,H114:M114)</f>
        <v/>
      </c>
      <c r="O114" s="14">
        <f>SQRT(SUMPRODUCT($H$24:$M$24,(H114:M114-N114)^2))</f>
        <v/>
      </c>
      <c r="P114" s="13">
        <f>MIN(H114:M114)</f>
        <v/>
      </c>
      <c r="Q114" s="13">
        <f>MAX(H114:M114)</f>
        <v/>
      </c>
      <c r="R114" s="27">
        <f>IF(G114,SUMPRODUCT(($G$76:$G$1505)*($N$76:$N$1505&gt;=N114)*($O$76:$O$1505&lt;=O114))=1,FALSE)</f>
        <v/>
      </c>
      <c r="S114" s="16">
        <f>IF(R114,ABS((O114-$AC$76)/MAX(0.0001,$AC$77-$AC$76)-(N114-$AC$78)/MAX(0.0001,$AC$79-$AC$78)),-1)</f>
        <v/>
      </c>
      <c r="T114" s="14">
        <f>IF(G114,O114,NA())</f>
        <v/>
      </c>
      <c r="U114" s="13">
        <f>IF(G114,N114,NA())</f>
        <v/>
      </c>
      <c r="V114" s="14">
        <f>IF(R114,O114,NA())</f>
        <v/>
      </c>
      <c r="W114" s="13">
        <f>IF(R114,N114,NA())</f>
        <v/>
      </c>
      <c r="X114" s="27">
        <f>IF(G114,P114,"")</f>
        <v/>
      </c>
      <c r="Y114" s="27">
        <f>IF(G114,N114,"")</f>
        <v/>
      </c>
      <c r="Z114" s="27">
        <f>IF(R114,O114,"")</f>
        <v/>
      </c>
      <c r="AA114" s="27">
        <f>IF(R114,N114,"")</f>
        <v/>
      </c>
    </row>
    <row r="115">
      <c r="A115" s="31" t="n">
        <v>0</v>
      </c>
      <c r="B115" s="31" t="n">
        <v>0</v>
      </c>
      <c r="C115" s="31" t="n">
        <v>0.7</v>
      </c>
      <c r="D115" s="31" t="n">
        <v>0.3</v>
      </c>
      <c r="E115" s="27" t="inlineStr">
        <is>
          <t>2M 70%/3M 30%</t>
        </is>
      </c>
      <c r="F115" s="27" t="n">
        <v>100</v>
      </c>
      <c r="G115" s="27">
        <f>A115*$B$7&gt;=$B$9</f>
        <v/>
      </c>
      <c r="H115" s="13">
        <f>$B$7*(A115*E$71+B115*F$71+C115*G$71+D115*H$71)+F115/100*$B$7*J$71-$C$71</f>
        <v/>
      </c>
      <c r="I115" s="13">
        <f>$B$7*(A115*L$71+B115*M$71+C115*N$71+D115*O$71)+F115/100*$B$7*Q$71-$C$71</f>
        <v/>
      </c>
      <c r="J115" s="13">
        <f>$B$7*(A115*S$71+B115*T$71+C115*U$71+D115*V$71)+F115/100*$B$7*X$71-$C$71</f>
        <v/>
      </c>
      <c r="K115" s="13">
        <f>$B$7*(A115*Z$71+B115*AA$71+C115*AB$71+D115*AC$71)+F115/100*$B$7*AE$71-$C$71</f>
        <v/>
      </c>
      <c r="L115" s="13">
        <f>$B$7*(A115*AG$71+B115*AH$71+C115*AI$71+D115*AJ$71)+F115/100*$B$7*AL$71-$C$71</f>
        <v/>
      </c>
      <c r="M115" s="13">
        <f>$B$7*(A115*AN$71+B115*AO$71+C115*AP$71+D115*AQ$71)+F115/100*$B$7*AS$71-$C$71</f>
        <v/>
      </c>
      <c r="N115" s="13">
        <f>SUMPRODUCT($H$24:$M$24,H115:M115)</f>
        <v/>
      </c>
      <c r="O115" s="14">
        <f>SQRT(SUMPRODUCT($H$24:$M$24,(H115:M115-N115)^2))</f>
        <v/>
      </c>
      <c r="P115" s="13">
        <f>MIN(H115:M115)</f>
        <v/>
      </c>
      <c r="Q115" s="13">
        <f>MAX(H115:M115)</f>
        <v/>
      </c>
      <c r="R115" s="27">
        <f>IF(G115,SUMPRODUCT(($G$76:$G$1505)*($N$76:$N$1505&gt;=N115)*($O$76:$O$1505&lt;=O115))=1,FALSE)</f>
        <v/>
      </c>
      <c r="S115" s="16">
        <f>IF(R115,ABS((O115-$AC$76)/MAX(0.0001,$AC$77-$AC$76)-(N115-$AC$78)/MAX(0.0001,$AC$79-$AC$78)),-1)</f>
        <v/>
      </c>
      <c r="T115" s="14">
        <f>IF(G115,O115,NA())</f>
        <v/>
      </c>
      <c r="U115" s="13">
        <f>IF(G115,N115,NA())</f>
        <v/>
      </c>
      <c r="V115" s="14">
        <f>IF(R115,O115,NA())</f>
        <v/>
      </c>
      <c r="W115" s="13">
        <f>IF(R115,N115,NA())</f>
        <v/>
      </c>
      <c r="X115" s="27">
        <f>IF(G115,P115,"")</f>
        <v/>
      </c>
      <c r="Y115" s="27">
        <f>IF(G115,N115,"")</f>
        <v/>
      </c>
      <c r="Z115" s="27">
        <f>IF(R115,O115,"")</f>
        <v/>
      </c>
      <c r="AA115" s="27">
        <f>IF(R115,N115,"")</f>
        <v/>
      </c>
    </row>
    <row r="116">
      <c r="A116" s="31" t="n">
        <v>0</v>
      </c>
      <c r="B116" s="31" t="n">
        <v>0</v>
      </c>
      <c r="C116" s="31" t="n">
        <v>0.8</v>
      </c>
      <c r="D116" s="31" t="n">
        <v>0.2</v>
      </c>
      <c r="E116" s="27" t="inlineStr">
        <is>
          <t>2M 80%/3M 20%</t>
        </is>
      </c>
      <c r="F116" s="27" t="n">
        <v>0</v>
      </c>
      <c r="G116" s="27">
        <f>A116*$B$7&gt;=$B$9</f>
        <v/>
      </c>
      <c r="H116" s="13">
        <f>$B$7*(A116*E$71+B116*F$71+C116*G$71+D116*H$71)+F116/100*$B$7*J$71-$C$71</f>
        <v/>
      </c>
      <c r="I116" s="13">
        <f>$B$7*(A116*L$71+B116*M$71+C116*N$71+D116*O$71)+F116/100*$B$7*Q$71-$C$71</f>
        <v/>
      </c>
      <c r="J116" s="13">
        <f>$B$7*(A116*S$71+B116*T$71+C116*U$71+D116*V$71)+F116/100*$B$7*X$71-$C$71</f>
        <v/>
      </c>
      <c r="K116" s="13">
        <f>$B$7*(A116*Z$71+B116*AA$71+C116*AB$71+D116*AC$71)+F116/100*$B$7*AE$71-$C$71</f>
        <v/>
      </c>
      <c r="L116" s="13">
        <f>$B$7*(A116*AG$71+B116*AH$71+C116*AI$71+D116*AJ$71)+F116/100*$B$7*AL$71-$C$71</f>
        <v/>
      </c>
      <c r="M116" s="13">
        <f>$B$7*(A116*AN$71+B116*AO$71+C116*AP$71+D116*AQ$71)+F116/100*$B$7*AS$71-$C$71</f>
        <v/>
      </c>
      <c r="N116" s="13">
        <f>SUMPRODUCT($H$24:$M$24,H116:M116)</f>
        <v/>
      </c>
      <c r="O116" s="14">
        <f>SQRT(SUMPRODUCT($H$24:$M$24,(H116:M116-N116)^2))</f>
        <v/>
      </c>
      <c r="P116" s="13">
        <f>MIN(H116:M116)</f>
        <v/>
      </c>
      <c r="Q116" s="13">
        <f>MAX(H116:M116)</f>
        <v/>
      </c>
      <c r="R116" s="27">
        <f>IF(G116,SUMPRODUCT(($G$76:$G$1505)*($N$76:$N$1505&gt;=N116)*($O$76:$O$1505&lt;=O116))=1,FALSE)</f>
        <v/>
      </c>
      <c r="S116" s="16">
        <f>IF(R116,ABS((O116-$AC$76)/MAX(0.0001,$AC$77-$AC$76)-(N116-$AC$78)/MAX(0.0001,$AC$79-$AC$78)),-1)</f>
        <v/>
      </c>
      <c r="T116" s="14">
        <f>IF(G116,O116,NA())</f>
        <v/>
      </c>
      <c r="U116" s="13">
        <f>IF(G116,N116,NA())</f>
        <v/>
      </c>
      <c r="V116" s="14">
        <f>IF(R116,O116,NA())</f>
        <v/>
      </c>
      <c r="W116" s="13">
        <f>IF(R116,N116,NA())</f>
        <v/>
      </c>
      <c r="X116" s="27">
        <f>IF(G116,P116,"")</f>
        <v/>
      </c>
      <c r="Y116" s="27">
        <f>IF(G116,N116,"")</f>
        <v/>
      </c>
      <c r="Z116" s="27">
        <f>IF(R116,O116,"")</f>
        <v/>
      </c>
      <c r="AA116" s="27">
        <f>IF(R116,N116,"")</f>
        <v/>
      </c>
    </row>
    <row r="117">
      <c r="A117" s="31" t="n">
        <v>0</v>
      </c>
      <c r="B117" s="31" t="n">
        <v>0</v>
      </c>
      <c r="C117" s="31" t="n">
        <v>0.8</v>
      </c>
      <c r="D117" s="31" t="n">
        <v>0.2</v>
      </c>
      <c r="E117" s="27" t="inlineStr">
        <is>
          <t>2M 80%/3M 20%</t>
        </is>
      </c>
      <c r="F117" s="27" t="n">
        <v>25</v>
      </c>
      <c r="G117" s="27">
        <f>A117*$B$7&gt;=$B$9</f>
        <v/>
      </c>
      <c r="H117" s="13">
        <f>$B$7*(A117*E$71+B117*F$71+C117*G$71+D117*H$71)+F117/100*$B$7*J$71-$C$71</f>
        <v/>
      </c>
      <c r="I117" s="13">
        <f>$B$7*(A117*L$71+B117*M$71+C117*N$71+D117*O$71)+F117/100*$B$7*Q$71-$C$71</f>
        <v/>
      </c>
      <c r="J117" s="13">
        <f>$B$7*(A117*S$71+B117*T$71+C117*U$71+D117*V$71)+F117/100*$B$7*X$71-$C$71</f>
        <v/>
      </c>
      <c r="K117" s="13">
        <f>$B$7*(A117*Z$71+B117*AA$71+C117*AB$71+D117*AC$71)+F117/100*$B$7*AE$71-$C$71</f>
        <v/>
      </c>
      <c r="L117" s="13">
        <f>$B$7*(A117*AG$71+B117*AH$71+C117*AI$71+D117*AJ$71)+F117/100*$B$7*AL$71-$C$71</f>
        <v/>
      </c>
      <c r="M117" s="13">
        <f>$B$7*(A117*AN$71+B117*AO$71+C117*AP$71+D117*AQ$71)+F117/100*$B$7*AS$71-$C$71</f>
        <v/>
      </c>
      <c r="N117" s="13">
        <f>SUMPRODUCT($H$24:$M$24,H117:M117)</f>
        <v/>
      </c>
      <c r="O117" s="14">
        <f>SQRT(SUMPRODUCT($H$24:$M$24,(H117:M117-N117)^2))</f>
        <v/>
      </c>
      <c r="P117" s="13">
        <f>MIN(H117:M117)</f>
        <v/>
      </c>
      <c r="Q117" s="13">
        <f>MAX(H117:M117)</f>
        <v/>
      </c>
      <c r="R117" s="27">
        <f>IF(G117,SUMPRODUCT(($G$76:$G$1505)*($N$76:$N$1505&gt;=N117)*($O$76:$O$1505&lt;=O117))=1,FALSE)</f>
        <v/>
      </c>
      <c r="S117" s="16">
        <f>IF(R117,ABS((O117-$AC$76)/MAX(0.0001,$AC$77-$AC$76)-(N117-$AC$78)/MAX(0.0001,$AC$79-$AC$78)),-1)</f>
        <v/>
      </c>
      <c r="T117" s="14">
        <f>IF(G117,O117,NA())</f>
        <v/>
      </c>
      <c r="U117" s="13">
        <f>IF(G117,N117,NA())</f>
        <v/>
      </c>
      <c r="V117" s="14">
        <f>IF(R117,O117,NA())</f>
        <v/>
      </c>
      <c r="W117" s="13">
        <f>IF(R117,N117,NA())</f>
        <v/>
      </c>
      <c r="X117" s="27">
        <f>IF(G117,P117,"")</f>
        <v/>
      </c>
      <c r="Y117" s="27">
        <f>IF(G117,N117,"")</f>
        <v/>
      </c>
      <c r="Z117" s="27">
        <f>IF(R117,O117,"")</f>
        <v/>
      </c>
      <c r="AA117" s="27">
        <f>IF(R117,N117,"")</f>
        <v/>
      </c>
    </row>
    <row r="118">
      <c r="A118" s="31" t="n">
        <v>0</v>
      </c>
      <c r="B118" s="31" t="n">
        <v>0</v>
      </c>
      <c r="C118" s="31" t="n">
        <v>0.8</v>
      </c>
      <c r="D118" s="31" t="n">
        <v>0.2</v>
      </c>
      <c r="E118" s="27" t="inlineStr">
        <is>
          <t>2M 80%/3M 20%</t>
        </is>
      </c>
      <c r="F118" s="27" t="n">
        <v>50</v>
      </c>
      <c r="G118" s="27">
        <f>A118*$B$7&gt;=$B$9</f>
        <v/>
      </c>
      <c r="H118" s="13">
        <f>$B$7*(A118*E$71+B118*F$71+C118*G$71+D118*H$71)+F118/100*$B$7*J$71-$C$71</f>
        <v/>
      </c>
      <c r="I118" s="13">
        <f>$B$7*(A118*L$71+B118*M$71+C118*N$71+D118*O$71)+F118/100*$B$7*Q$71-$C$71</f>
        <v/>
      </c>
      <c r="J118" s="13">
        <f>$B$7*(A118*S$71+B118*T$71+C118*U$71+D118*V$71)+F118/100*$B$7*X$71-$C$71</f>
        <v/>
      </c>
      <c r="K118" s="13">
        <f>$B$7*(A118*Z$71+B118*AA$71+C118*AB$71+D118*AC$71)+F118/100*$B$7*AE$71-$C$71</f>
        <v/>
      </c>
      <c r="L118" s="13">
        <f>$B$7*(A118*AG$71+B118*AH$71+C118*AI$71+D118*AJ$71)+F118/100*$B$7*AL$71-$C$71</f>
        <v/>
      </c>
      <c r="M118" s="13">
        <f>$B$7*(A118*AN$71+B118*AO$71+C118*AP$71+D118*AQ$71)+F118/100*$B$7*AS$71-$C$71</f>
        <v/>
      </c>
      <c r="N118" s="13">
        <f>SUMPRODUCT($H$24:$M$24,H118:M118)</f>
        <v/>
      </c>
      <c r="O118" s="14">
        <f>SQRT(SUMPRODUCT($H$24:$M$24,(H118:M118-N118)^2))</f>
        <v/>
      </c>
      <c r="P118" s="13">
        <f>MIN(H118:M118)</f>
        <v/>
      </c>
      <c r="Q118" s="13">
        <f>MAX(H118:M118)</f>
        <v/>
      </c>
      <c r="R118" s="27">
        <f>IF(G118,SUMPRODUCT(($G$76:$G$1505)*($N$76:$N$1505&gt;=N118)*($O$76:$O$1505&lt;=O118))=1,FALSE)</f>
        <v/>
      </c>
      <c r="S118" s="16">
        <f>IF(R118,ABS((O118-$AC$76)/MAX(0.0001,$AC$77-$AC$76)-(N118-$AC$78)/MAX(0.0001,$AC$79-$AC$78)),-1)</f>
        <v/>
      </c>
      <c r="T118" s="14">
        <f>IF(G118,O118,NA())</f>
        <v/>
      </c>
      <c r="U118" s="13">
        <f>IF(G118,N118,NA())</f>
        <v/>
      </c>
      <c r="V118" s="14">
        <f>IF(R118,O118,NA())</f>
        <v/>
      </c>
      <c r="W118" s="13">
        <f>IF(R118,N118,NA())</f>
        <v/>
      </c>
      <c r="X118" s="27">
        <f>IF(G118,P118,"")</f>
        <v/>
      </c>
      <c r="Y118" s="27">
        <f>IF(G118,N118,"")</f>
        <v/>
      </c>
      <c r="Z118" s="27">
        <f>IF(R118,O118,"")</f>
        <v/>
      </c>
      <c r="AA118" s="27">
        <f>IF(R118,N118,"")</f>
        <v/>
      </c>
    </row>
    <row r="119">
      <c r="A119" s="31" t="n">
        <v>0</v>
      </c>
      <c r="B119" s="31" t="n">
        <v>0</v>
      </c>
      <c r="C119" s="31" t="n">
        <v>0.8</v>
      </c>
      <c r="D119" s="31" t="n">
        <v>0.2</v>
      </c>
      <c r="E119" s="27" t="inlineStr">
        <is>
          <t>2M 80%/3M 20%</t>
        </is>
      </c>
      <c r="F119" s="27" t="n">
        <v>75</v>
      </c>
      <c r="G119" s="27">
        <f>A119*$B$7&gt;=$B$9</f>
        <v/>
      </c>
      <c r="H119" s="13">
        <f>$B$7*(A119*E$71+B119*F$71+C119*G$71+D119*H$71)+F119/100*$B$7*J$71-$C$71</f>
        <v/>
      </c>
      <c r="I119" s="13">
        <f>$B$7*(A119*L$71+B119*M$71+C119*N$71+D119*O$71)+F119/100*$B$7*Q$71-$C$71</f>
        <v/>
      </c>
      <c r="J119" s="13">
        <f>$B$7*(A119*S$71+B119*T$71+C119*U$71+D119*V$71)+F119/100*$B$7*X$71-$C$71</f>
        <v/>
      </c>
      <c r="K119" s="13">
        <f>$B$7*(A119*Z$71+B119*AA$71+C119*AB$71+D119*AC$71)+F119/100*$B$7*AE$71-$C$71</f>
        <v/>
      </c>
      <c r="L119" s="13">
        <f>$B$7*(A119*AG$71+B119*AH$71+C119*AI$71+D119*AJ$71)+F119/100*$B$7*AL$71-$C$71</f>
        <v/>
      </c>
      <c r="M119" s="13">
        <f>$B$7*(A119*AN$71+B119*AO$71+C119*AP$71+D119*AQ$71)+F119/100*$B$7*AS$71-$C$71</f>
        <v/>
      </c>
      <c r="N119" s="13">
        <f>SUMPRODUCT($H$24:$M$24,H119:M119)</f>
        <v/>
      </c>
      <c r="O119" s="14">
        <f>SQRT(SUMPRODUCT($H$24:$M$24,(H119:M119-N119)^2))</f>
        <v/>
      </c>
      <c r="P119" s="13">
        <f>MIN(H119:M119)</f>
        <v/>
      </c>
      <c r="Q119" s="13">
        <f>MAX(H119:M119)</f>
        <v/>
      </c>
      <c r="R119" s="27">
        <f>IF(G119,SUMPRODUCT(($G$76:$G$1505)*($N$76:$N$1505&gt;=N119)*($O$76:$O$1505&lt;=O119))=1,FALSE)</f>
        <v/>
      </c>
      <c r="S119" s="16">
        <f>IF(R119,ABS((O119-$AC$76)/MAX(0.0001,$AC$77-$AC$76)-(N119-$AC$78)/MAX(0.0001,$AC$79-$AC$78)),-1)</f>
        <v/>
      </c>
      <c r="T119" s="14">
        <f>IF(G119,O119,NA())</f>
        <v/>
      </c>
      <c r="U119" s="13">
        <f>IF(G119,N119,NA())</f>
        <v/>
      </c>
      <c r="V119" s="14">
        <f>IF(R119,O119,NA())</f>
        <v/>
      </c>
      <c r="W119" s="13">
        <f>IF(R119,N119,NA())</f>
        <v/>
      </c>
      <c r="X119" s="27">
        <f>IF(G119,P119,"")</f>
        <v/>
      </c>
      <c r="Y119" s="27">
        <f>IF(G119,N119,"")</f>
        <v/>
      </c>
      <c r="Z119" s="27">
        <f>IF(R119,O119,"")</f>
        <v/>
      </c>
      <c r="AA119" s="27">
        <f>IF(R119,N119,"")</f>
        <v/>
      </c>
    </row>
    <row r="120">
      <c r="A120" s="31" t="n">
        <v>0</v>
      </c>
      <c r="B120" s="31" t="n">
        <v>0</v>
      </c>
      <c r="C120" s="31" t="n">
        <v>0.8</v>
      </c>
      <c r="D120" s="31" t="n">
        <v>0.2</v>
      </c>
      <c r="E120" s="27" t="inlineStr">
        <is>
          <t>2M 80%/3M 20%</t>
        </is>
      </c>
      <c r="F120" s="27" t="n">
        <v>100</v>
      </c>
      <c r="G120" s="27">
        <f>A120*$B$7&gt;=$B$9</f>
        <v/>
      </c>
      <c r="H120" s="13">
        <f>$B$7*(A120*E$71+B120*F$71+C120*G$71+D120*H$71)+F120/100*$B$7*J$71-$C$71</f>
        <v/>
      </c>
      <c r="I120" s="13">
        <f>$B$7*(A120*L$71+B120*M$71+C120*N$71+D120*O$71)+F120/100*$B$7*Q$71-$C$71</f>
        <v/>
      </c>
      <c r="J120" s="13">
        <f>$B$7*(A120*S$71+B120*T$71+C120*U$71+D120*V$71)+F120/100*$B$7*X$71-$C$71</f>
        <v/>
      </c>
      <c r="K120" s="13">
        <f>$B$7*(A120*Z$71+B120*AA$71+C120*AB$71+D120*AC$71)+F120/100*$B$7*AE$71-$C$71</f>
        <v/>
      </c>
      <c r="L120" s="13">
        <f>$B$7*(A120*AG$71+B120*AH$71+C120*AI$71+D120*AJ$71)+F120/100*$B$7*AL$71-$C$71</f>
        <v/>
      </c>
      <c r="M120" s="13">
        <f>$B$7*(A120*AN$71+B120*AO$71+C120*AP$71+D120*AQ$71)+F120/100*$B$7*AS$71-$C$71</f>
        <v/>
      </c>
      <c r="N120" s="13">
        <f>SUMPRODUCT($H$24:$M$24,H120:M120)</f>
        <v/>
      </c>
      <c r="O120" s="14">
        <f>SQRT(SUMPRODUCT($H$24:$M$24,(H120:M120-N120)^2))</f>
        <v/>
      </c>
      <c r="P120" s="13">
        <f>MIN(H120:M120)</f>
        <v/>
      </c>
      <c r="Q120" s="13">
        <f>MAX(H120:M120)</f>
        <v/>
      </c>
      <c r="R120" s="27">
        <f>IF(G120,SUMPRODUCT(($G$76:$G$1505)*($N$76:$N$1505&gt;=N120)*($O$76:$O$1505&lt;=O120))=1,FALSE)</f>
        <v/>
      </c>
      <c r="S120" s="16">
        <f>IF(R120,ABS((O120-$AC$76)/MAX(0.0001,$AC$77-$AC$76)-(N120-$AC$78)/MAX(0.0001,$AC$79-$AC$78)),-1)</f>
        <v/>
      </c>
      <c r="T120" s="14">
        <f>IF(G120,O120,NA())</f>
        <v/>
      </c>
      <c r="U120" s="13">
        <f>IF(G120,N120,NA())</f>
        <v/>
      </c>
      <c r="V120" s="14">
        <f>IF(R120,O120,NA())</f>
        <v/>
      </c>
      <c r="W120" s="13">
        <f>IF(R120,N120,NA())</f>
        <v/>
      </c>
      <c r="X120" s="27">
        <f>IF(G120,P120,"")</f>
        <v/>
      </c>
      <c r="Y120" s="27">
        <f>IF(G120,N120,"")</f>
        <v/>
      </c>
      <c r="Z120" s="27">
        <f>IF(R120,O120,"")</f>
        <v/>
      </c>
      <c r="AA120" s="27">
        <f>IF(R120,N120,"")</f>
        <v/>
      </c>
    </row>
    <row r="121">
      <c r="A121" s="31" t="n">
        <v>0</v>
      </c>
      <c r="B121" s="31" t="n">
        <v>0</v>
      </c>
      <c r="C121" s="31" t="n">
        <v>0.9</v>
      </c>
      <c r="D121" s="31" t="n">
        <v>0.1</v>
      </c>
      <c r="E121" s="27" t="inlineStr">
        <is>
          <t>2M 90%/3M 10%</t>
        </is>
      </c>
      <c r="F121" s="27" t="n">
        <v>0</v>
      </c>
      <c r="G121" s="27">
        <f>A121*$B$7&gt;=$B$9</f>
        <v/>
      </c>
      <c r="H121" s="13">
        <f>$B$7*(A121*E$71+B121*F$71+C121*G$71+D121*H$71)+F121/100*$B$7*J$71-$C$71</f>
        <v/>
      </c>
      <c r="I121" s="13">
        <f>$B$7*(A121*L$71+B121*M$71+C121*N$71+D121*O$71)+F121/100*$B$7*Q$71-$C$71</f>
        <v/>
      </c>
      <c r="J121" s="13">
        <f>$B$7*(A121*S$71+B121*T$71+C121*U$71+D121*V$71)+F121/100*$B$7*X$71-$C$71</f>
        <v/>
      </c>
      <c r="K121" s="13">
        <f>$B$7*(A121*Z$71+B121*AA$71+C121*AB$71+D121*AC$71)+F121/100*$B$7*AE$71-$C$71</f>
        <v/>
      </c>
      <c r="L121" s="13">
        <f>$B$7*(A121*AG$71+B121*AH$71+C121*AI$71+D121*AJ$71)+F121/100*$B$7*AL$71-$C$71</f>
        <v/>
      </c>
      <c r="M121" s="13">
        <f>$B$7*(A121*AN$71+B121*AO$71+C121*AP$71+D121*AQ$71)+F121/100*$B$7*AS$71-$C$71</f>
        <v/>
      </c>
      <c r="N121" s="13">
        <f>SUMPRODUCT($H$24:$M$24,H121:M121)</f>
        <v/>
      </c>
      <c r="O121" s="14">
        <f>SQRT(SUMPRODUCT($H$24:$M$24,(H121:M121-N121)^2))</f>
        <v/>
      </c>
      <c r="P121" s="13">
        <f>MIN(H121:M121)</f>
        <v/>
      </c>
      <c r="Q121" s="13">
        <f>MAX(H121:M121)</f>
        <v/>
      </c>
      <c r="R121" s="27">
        <f>IF(G121,SUMPRODUCT(($G$76:$G$1505)*($N$76:$N$1505&gt;=N121)*($O$76:$O$1505&lt;=O121))=1,FALSE)</f>
        <v/>
      </c>
      <c r="S121" s="16">
        <f>IF(R121,ABS((O121-$AC$76)/MAX(0.0001,$AC$77-$AC$76)-(N121-$AC$78)/MAX(0.0001,$AC$79-$AC$78)),-1)</f>
        <v/>
      </c>
      <c r="T121" s="14">
        <f>IF(G121,O121,NA())</f>
        <v/>
      </c>
      <c r="U121" s="13">
        <f>IF(G121,N121,NA())</f>
        <v/>
      </c>
      <c r="V121" s="14">
        <f>IF(R121,O121,NA())</f>
        <v/>
      </c>
      <c r="W121" s="13">
        <f>IF(R121,N121,NA())</f>
        <v/>
      </c>
      <c r="X121" s="27">
        <f>IF(G121,P121,"")</f>
        <v/>
      </c>
      <c r="Y121" s="27">
        <f>IF(G121,N121,"")</f>
        <v/>
      </c>
      <c r="Z121" s="27">
        <f>IF(R121,O121,"")</f>
        <v/>
      </c>
      <c r="AA121" s="27">
        <f>IF(R121,N121,"")</f>
        <v/>
      </c>
    </row>
    <row r="122">
      <c r="A122" s="31" t="n">
        <v>0</v>
      </c>
      <c r="B122" s="31" t="n">
        <v>0</v>
      </c>
      <c r="C122" s="31" t="n">
        <v>0.9</v>
      </c>
      <c r="D122" s="31" t="n">
        <v>0.1</v>
      </c>
      <c r="E122" s="27" t="inlineStr">
        <is>
          <t>2M 90%/3M 10%</t>
        </is>
      </c>
      <c r="F122" s="27" t="n">
        <v>25</v>
      </c>
      <c r="G122" s="27">
        <f>A122*$B$7&gt;=$B$9</f>
        <v/>
      </c>
      <c r="H122" s="13">
        <f>$B$7*(A122*E$71+B122*F$71+C122*G$71+D122*H$71)+F122/100*$B$7*J$71-$C$71</f>
        <v/>
      </c>
      <c r="I122" s="13">
        <f>$B$7*(A122*L$71+B122*M$71+C122*N$71+D122*O$71)+F122/100*$B$7*Q$71-$C$71</f>
        <v/>
      </c>
      <c r="J122" s="13">
        <f>$B$7*(A122*S$71+B122*T$71+C122*U$71+D122*V$71)+F122/100*$B$7*X$71-$C$71</f>
        <v/>
      </c>
      <c r="K122" s="13">
        <f>$B$7*(A122*Z$71+B122*AA$71+C122*AB$71+D122*AC$71)+F122/100*$B$7*AE$71-$C$71</f>
        <v/>
      </c>
      <c r="L122" s="13">
        <f>$B$7*(A122*AG$71+B122*AH$71+C122*AI$71+D122*AJ$71)+F122/100*$B$7*AL$71-$C$71</f>
        <v/>
      </c>
      <c r="M122" s="13">
        <f>$B$7*(A122*AN$71+B122*AO$71+C122*AP$71+D122*AQ$71)+F122/100*$B$7*AS$71-$C$71</f>
        <v/>
      </c>
      <c r="N122" s="13">
        <f>SUMPRODUCT($H$24:$M$24,H122:M122)</f>
        <v/>
      </c>
      <c r="O122" s="14">
        <f>SQRT(SUMPRODUCT($H$24:$M$24,(H122:M122-N122)^2))</f>
        <v/>
      </c>
      <c r="P122" s="13">
        <f>MIN(H122:M122)</f>
        <v/>
      </c>
      <c r="Q122" s="13">
        <f>MAX(H122:M122)</f>
        <v/>
      </c>
      <c r="R122" s="27">
        <f>IF(G122,SUMPRODUCT(($G$76:$G$1505)*($N$76:$N$1505&gt;=N122)*($O$76:$O$1505&lt;=O122))=1,FALSE)</f>
        <v/>
      </c>
      <c r="S122" s="16">
        <f>IF(R122,ABS((O122-$AC$76)/MAX(0.0001,$AC$77-$AC$76)-(N122-$AC$78)/MAX(0.0001,$AC$79-$AC$78)),-1)</f>
        <v/>
      </c>
      <c r="T122" s="14">
        <f>IF(G122,O122,NA())</f>
        <v/>
      </c>
      <c r="U122" s="13">
        <f>IF(G122,N122,NA())</f>
        <v/>
      </c>
      <c r="V122" s="14">
        <f>IF(R122,O122,NA())</f>
        <v/>
      </c>
      <c r="W122" s="13">
        <f>IF(R122,N122,NA())</f>
        <v/>
      </c>
      <c r="X122" s="27">
        <f>IF(G122,P122,"")</f>
        <v/>
      </c>
      <c r="Y122" s="27">
        <f>IF(G122,N122,"")</f>
        <v/>
      </c>
      <c r="Z122" s="27">
        <f>IF(R122,O122,"")</f>
        <v/>
      </c>
      <c r="AA122" s="27">
        <f>IF(R122,N122,"")</f>
        <v/>
      </c>
    </row>
    <row r="123">
      <c r="A123" s="31" t="n">
        <v>0</v>
      </c>
      <c r="B123" s="31" t="n">
        <v>0</v>
      </c>
      <c r="C123" s="31" t="n">
        <v>0.9</v>
      </c>
      <c r="D123" s="31" t="n">
        <v>0.1</v>
      </c>
      <c r="E123" s="27" t="inlineStr">
        <is>
          <t>2M 90%/3M 10%</t>
        </is>
      </c>
      <c r="F123" s="27" t="n">
        <v>50</v>
      </c>
      <c r="G123" s="27">
        <f>A123*$B$7&gt;=$B$9</f>
        <v/>
      </c>
      <c r="H123" s="13">
        <f>$B$7*(A123*E$71+B123*F$71+C123*G$71+D123*H$71)+F123/100*$B$7*J$71-$C$71</f>
        <v/>
      </c>
      <c r="I123" s="13">
        <f>$B$7*(A123*L$71+B123*M$71+C123*N$71+D123*O$71)+F123/100*$B$7*Q$71-$C$71</f>
        <v/>
      </c>
      <c r="J123" s="13">
        <f>$B$7*(A123*S$71+B123*T$71+C123*U$71+D123*V$71)+F123/100*$B$7*X$71-$C$71</f>
        <v/>
      </c>
      <c r="K123" s="13">
        <f>$B$7*(A123*Z$71+B123*AA$71+C123*AB$71+D123*AC$71)+F123/100*$B$7*AE$71-$C$71</f>
        <v/>
      </c>
      <c r="L123" s="13">
        <f>$B$7*(A123*AG$71+B123*AH$71+C123*AI$71+D123*AJ$71)+F123/100*$B$7*AL$71-$C$71</f>
        <v/>
      </c>
      <c r="M123" s="13">
        <f>$B$7*(A123*AN$71+B123*AO$71+C123*AP$71+D123*AQ$71)+F123/100*$B$7*AS$71-$C$71</f>
        <v/>
      </c>
      <c r="N123" s="13">
        <f>SUMPRODUCT($H$24:$M$24,H123:M123)</f>
        <v/>
      </c>
      <c r="O123" s="14">
        <f>SQRT(SUMPRODUCT($H$24:$M$24,(H123:M123-N123)^2))</f>
        <v/>
      </c>
      <c r="P123" s="13">
        <f>MIN(H123:M123)</f>
        <v/>
      </c>
      <c r="Q123" s="13">
        <f>MAX(H123:M123)</f>
        <v/>
      </c>
      <c r="R123" s="27">
        <f>IF(G123,SUMPRODUCT(($G$76:$G$1505)*($N$76:$N$1505&gt;=N123)*($O$76:$O$1505&lt;=O123))=1,FALSE)</f>
        <v/>
      </c>
      <c r="S123" s="16">
        <f>IF(R123,ABS((O123-$AC$76)/MAX(0.0001,$AC$77-$AC$76)-(N123-$AC$78)/MAX(0.0001,$AC$79-$AC$78)),-1)</f>
        <v/>
      </c>
      <c r="T123" s="14">
        <f>IF(G123,O123,NA())</f>
        <v/>
      </c>
      <c r="U123" s="13">
        <f>IF(G123,N123,NA())</f>
        <v/>
      </c>
      <c r="V123" s="14">
        <f>IF(R123,O123,NA())</f>
        <v/>
      </c>
      <c r="W123" s="13">
        <f>IF(R123,N123,NA())</f>
        <v/>
      </c>
      <c r="X123" s="27">
        <f>IF(G123,P123,"")</f>
        <v/>
      </c>
      <c r="Y123" s="27">
        <f>IF(G123,N123,"")</f>
        <v/>
      </c>
      <c r="Z123" s="27">
        <f>IF(R123,O123,"")</f>
        <v/>
      </c>
      <c r="AA123" s="27">
        <f>IF(R123,N123,"")</f>
        <v/>
      </c>
    </row>
    <row r="124">
      <c r="A124" s="31" t="n">
        <v>0</v>
      </c>
      <c r="B124" s="31" t="n">
        <v>0</v>
      </c>
      <c r="C124" s="31" t="n">
        <v>0.9</v>
      </c>
      <c r="D124" s="31" t="n">
        <v>0.1</v>
      </c>
      <c r="E124" s="27" t="inlineStr">
        <is>
          <t>2M 90%/3M 10%</t>
        </is>
      </c>
      <c r="F124" s="27" t="n">
        <v>75</v>
      </c>
      <c r="G124" s="27">
        <f>A124*$B$7&gt;=$B$9</f>
        <v/>
      </c>
      <c r="H124" s="13">
        <f>$B$7*(A124*E$71+B124*F$71+C124*G$71+D124*H$71)+F124/100*$B$7*J$71-$C$71</f>
        <v/>
      </c>
      <c r="I124" s="13">
        <f>$B$7*(A124*L$71+B124*M$71+C124*N$71+D124*O$71)+F124/100*$B$7*Q$71-$C$71</f>
        <v/>
      </c>
      <c r="J124" s="13">
        <f>$B$7*(A124*S$71+B124*T$71+C124*U$71+D124*V$71)+F124/100*$B$7*X$71-$C$71</f>
        <v/>
      </c>
      <c r="K124" s="13">
        <f>$B$7*(A124*Z$71+B124*AA$71+C124*AB$71+D124*AC$71)+F124/100*$B$7*AE$71-$C$71</f>
        <v/>
      </c>
      <c r="L124" s="13">
        <f>$B$7*(A124*AG$71+B124*AH$71+C124*AI$71+D124*AJ$71)+F124/100*$B$7*AL$71-$C$71</f>
        <v/>
      </c>
      <c r="M124" s="13">
        <f>$B$7*(A124*AN$71+B124*AO$71+C124*AP$71+D124*AQ$71)+F124/100*$B$7*AS$71-$C$71</f>
        <v/>
      </c>
      <c r="N124" s="13">
        <f>SUMPRODUCT($H$24:$M$24,H124:M124)</f>
        <v/>
      </c>
      <c r="O124" s="14">
        <f>SQRT(SUMPRODUCT($H$24:$M$24,(H124:M124-N124)^2))</f>
        <v/>
      </c>
      <c r="P124" s="13">
        <f>MIN(H124:M124)</f>
        <v/>
      </c>
      <c r="Q124" s="13">
        <f>MAX(H124:M124)</f>
        <v/>
      </c>
      <c r="R124" s="27">
        <f>IF(G124,SUMPRODUCT(($G$76:$G$1505)*($N$76:$N$1505&gt;=N124)*($O$76:$O$1505&lt;=O124))=1,FALSE)</f>
        <v/>
      </c>
      <c r="S124" s="16">
        <f>IF(R124,ABS((O124-$AC$76)/MAX(0.0001,$AC$77-$AC$76)-(N124-$AC$78)/MAX(0.0001,$AC$79-$AC$78)),-1)</f>
        <v/>
      </c>
      <c r="T124" s="14">
        <f>IF(G124,O124,NA())</f>
        <v/>
      </c>
      <c r="U124" s="13">
        <f>IF(G124,N124,NA())</f>
        <v/>
      </c>
      <c r="V124" s="14">
        <f>IF(R124,O124,NA())</f>
        <v/>
      </c>
      <c r="W124" s="13">
        <f>IF(R124,N124,NA())</f>
        <v/>
      </c>
      <c r="X124" s="27">
        <f>IF(G124,P124,"")</f>
        <v/>
      </c>
      <c r="Y124" s="27">
        <f>IF(G124,N124,"")</f>
        <v/>
      </c>
      <c r="Z124" s="27">
        <f>IF(R124,O124,"")</f>
        <v/>
      </c>
      <c r="AA124" s="27">
        <f>IF(R124,N124,"")</f>
        <v/>
      </c>
    </row>
    <row r="125">
      <c r="A125" s="31" t="n">
        <v>0</v>
      </c>
      <c r="B125" s="31" t="n">
        <v>0</v>
      </c>
      <c r="C125" s="31" t="n">
        <v>0.9</v>
      </c>
      <c r="D125" s="31" t="n">
        <v>0.1</v>
      </c>
      <c r="E125" s="27" t="inlineStr">
        <is>
          <t>2M 90%/3M 10%</t>
        </is>
      </c>
      <c r="F125" s="27" t="n">
        <v>100</v>
      </c>
      <c r="G125" s="27">
        <f>A125*$B$7&gt;=$B$9</f>
        <v/>
      </c>
      <c r="H125" s="13">
        <f>$B$7*(A125*E$71+B125*F$71+C125*G$71+D125*H$71)+F125/100*$B$7*J$71-$C$71</f>
        <v/>
      </c>
      <c r="I125" s="13">
        <f>$B$7*(A125*L$71+B125*M$71+C125*N$71+D125*O$71)+F125/100*$B$7*Q$71-$C$71</f>
        <v/>
      </c>
      <c r="J125" s="13">
        <f>$B$7*(A125*S$71+B125*T$71+C125*U$71+D125*V$71)+F125/100*$B$7*X$71-$C$71</f>
        <v/>
      </c>
      <c r="K125" s="13">
        <f>$B$7*(A125*Z$71+B125*AA$71+C125*AB$71+D125*AC$71)+F125/100*$B$7*AE$71-$C$71</f>
        <v/>
      </c>
      <c r="L125" s="13">
        <f>$B$7*(A125*AG$71+B125*AH$71+C125*AI$71+D125*AJ$71)+F125/100*$B$7*AL$71-$C$71</f>
        <v/>
      </c>
      <c r="M125" s="13">
        <f>$B$7*(A125*AN$71+B125*AO$71+C125*AP$71+D125*AQ$71)+F125/100*$B$7*AS$71-$C$71</f>
        <v/>
      </c>
      <c r="N125" s="13">
        <f>SUMPRODUCT($H$24:$M$24,H125:M125)</f>
        <v/>
      </c>
      <c r="O125" s="14">
        <f>SQRT(SUMPRODUCT($H$24:$M$24,(H125:M125-N125)^2))</f>
        <v/>
      </c>
      <c r="P125" s="13">
        <f>MIN(H125:M125)</f>
        <v/>
      </c>
      <c r="Q125" s="13">
        <f>MAX(H125:M125)</f>
        <v/>
      </c>
      <c r="R125" s="27">
        <f>IF(G125,SUMPRODUCT(($G$76:$G$1505)*($N$76:$N$1505&gt;=N125)*($O$76:$O$1505&lt;=O125))=1,FALSE)</f>
        <v/>
      </c>
      <c r="S125" s="16">
        <f>IF(R125,ABS((O125-$AC$76)/MAX(0.0001,$AC$77-$AC$76)-(N125-$AC$78)/MAX(0.0001,$AC$79-$AC$78)),-1)</f>
        <v/>
      </c>
      <c r="T125" s="14">
        <f>IF(G125,O125,NA())</f>
        <v/>
      </c>
      <c r="U125" s="13">
        <f>IF(G125,N125,NA())</f>
        <v/>
      </c>
      <c r="V125" s="14">
        <f>IF(R125,O125,NA())</f>
        <v/>
      </c>
      <c r="W125" s="13">
        <f>IF(R125,N125,NA())</f>
        <v/>
      </c>
      <c r="X125" s="27">
        <f>IF(G125,P125,"")</f>
        <v/>
      </c>
      <c r="Y125" s="27">
        <f>IF(G125,N125,"")</f>
        <v/>
      </c>
      <c r="Z125" s="27">
        <f>IF(R125,O125,"")</f>
        <v/>
      </c>
      <c r="AA125" s="27">
        <f>IF(R125,N125,"")</f>
        <v/>
      </c>
    </row>
    <row r="126">
      <c r="A126" s="31" t="n">
        <v>0</v>
      </c>
      <c r="B126" s="31" t="n">
        <v>0</v>
      </c>
      <c r="C126" s="31" t="n">
        <v>1</v>
      </c>
      <c r="D126" s="31" t="n">
        <v>0</v>
      </c>
      <c r="E126" s="27" t="inlineStr">
        <is>
          <t>2M 100%</t>
        </is>
      </c>
      <c r="F126" s="27" t="n">
        <v>0</v>
      </c>
      <c r="G126" s="27">
        <f>A126*$B$7&gt;=$B$9</f>
        <v/>
      </c>
      <c r="H126" s="13">
        <f>$B$7*(A126*E$71+B126*F$71+C126*G$71+D126*H$71)+F126/100*$B$7*J$71-$C$71</f>
        <v/>
      </c>
      <c r="I126" s="13">
        <f>$B$7*(A126*L$71+B126*M$71+C126*N$71+D126*O$71)+F126/100*$B$7*Q$71-$C$71</f>
        <v/>
      </c>
      <c r="J126" s="13">
        <f>$B$7*(A126*S$71+B126*T$71+C126*U$71+D126*V$71)+F126/100*$B$7*X$71-$C$71</f>
        <v/>
      </c>
      <c r="K126" s="13">
        <f>$B$7*(A126*Z$71+B126*AA$71+C126*AB$71+D126*AC$71)+F126/100*$B$7*AE$71-$C$71</f>
        <v/>
      </c>
      <c r="L126" s="13">
        <f>$B$7*(A126*AG$71+B126*AH$71+C126*AI$71+D126*AJ$71)+F126/100*$B$7*AL$71-$C$71</f>
        <v/>
      </c>
      <c r="M126" s="13">
        <f>$B$7*(A126*AN$71+B126*AO$71+C126*AP$71+D126*AQ$71)+F126/100*$B$7*AS$71-$C$71</f>
        <v/>
      </c>
      <c r="N126" s="13">
        <f>SUMPRODUCT($H$24:$M$24,H126:M126)</f>
        <v/>
      </c>
      <c r="O126" s="14">
        <f>SQRT(SUMPRODUCT($H$24:$M$24,(H126:M126-N126)^2))</f>
        <v/>
      </c>
      <c r="P126" s="13">
        <f>MIN(H126:M126)</f>
        <v/>
      </c>
      <c r="Q126" s="13">
        <f>MAX(H126:M126)</f>
        <v/>
      </c>
      <c r="R126" s="27">
        <f>IF(G126,SUMPRODUCT(($G$76:$G$1505)*($N$76:$N$1505&gt;=N126)*($O$76:$O$1505&lt;=O126))=1,FALSE)</f>
        <v/>
      </c>
      <c r="S126" s="16">
        <f>IF(R126,ABS((O126-$AC$76)/MAX(0.0001,$AC$77-$AC$76)-(N126-$AC$78)/MAX(0.0001,$AC$79-$AC$78)),-1)</f>
        <v/>
      </c>
      <c r="T126" s="14">
        <f>IF(G126,O126,NA())</f>
        <v/>
      </c>
      <c r="U126" s="13">
        <f>IF(G126,N126,NA())</f>
        <v/>
      </c>
      <c r="V126" s="14">
        <f>IF(R126,O126,NA())</f>
        <v/>
      </c>
      <c r="W126" s="13">
        <f>IF(R126,N126,NA())</f>
        <v/>
      </c>
      <c r="X126" s="27">
        <f>IF(G126,P126,"")</f>
        <v/>
      </c>
      <c r="Y126" s="27">
        <f>IF(G126,N126,"")</f>
        <v/>
      </c>
      <c r="Z126" s="27">
        <f>IF(R126,O126,"")</f>
        <v/>
      </c>
      <c r="AA126" s="27">
        <f>IF(R126,N126,"")</f>
        <v/>
      </c>
    </row>
    <row r="127">
      <c r="A127" s="31" t="n">
        <v>0</v>
      </c>
      <c r="B127" s="31" t="n">
        <v>0</v>
      </c>
      <c r="C127" s="31" t="n">
        <v>1</v>
      </c>
      <c r="D127" s="31" t="n">
        <v>0</v>
      </c>
      <c r="E127" s="27" t="inlineStr">
        <is>
          <t>2M 100%</t>
        </is>
      </c>
      <c r="F127" s="27" t="n">
        <v>25</v>
      </c>
      <c r="G127" s="27">
        <f>A127*$B$7&gt;=$B$9</f>
        <v/>
      </c>
      <c r="H127" s="13">
        <f>$B$7*(A127*E$71+B127*F$71+C127*G$71+D127*H$71)+F127/100*$B$7*J$71-$C$71</f>
        <v/>
      </c>
      <c r="I127" s="13">
        <f>$B$7*(A127*L$71+B127*M$71+C127*N$71+D127*O$71)+F127/100*$B$7*Q$71-$C$71</f>
        <v/>
      </c>
      <c r="J127" s="13">
        <f>$B$7*(A127*S$71+B127*T$71+C127*U$71+D127*V$71)+F127/100*$B$7*X$71-$C$71</f>
        <v/>
      </c>
      <c r="K127" s="13">
        <f>$B$7*(A127*Z$71+B127*AA$71+C127*AB$71+D127*AC$71)+F127/100*$B$7*AE$71-$C$71</f>
        <v/>
      </c>
      <c r="L127" s="13">
        <f>$B$7*(A127*AG$71+B127*AH$71+C127*AI$71+D127*AJ$71)+F127/100*$B$7*AL$71-$C$71</f>
        <v/>
      </c>
      <c r="M127" s="13">
        <f>$B$7*(A127*AN$71+B127*AO$71+C127*AP$71+D127*AQ$71)+F127/100*$B$7*AS$71-$C$71</f>
        <v/>
      </c>
      <c r="N127" s="13">
        <f>SUMPRODUCT($H$24:$M$24,H127:M127)</f>
        <v/>
      </c>
      <c r="O127" s="14">
        <f>SQRT(SUMPRODUCT($H$24:$M$24,(H127:M127-N127)^2))</f>
        <v/>
      </c>
      <c r="P127" s="13">
        <f>MIN(H127:M127)</f>
        <v/>
      </c>
      <c r="Q127" s="13">
        <f>MAX(H127:M127)</f>
        <v/>
      </c>
      <c r="R127" s="27">
        <f>IF(G127,SUMPRODUCT(($G$76:$G$1505)*($N$76:$N$1505&gt;=N127)*($O$76:$O$1505&lt;=O127))=1,FALSE)</f>
        <v/>
      </c>
      <c r="S127" s="16">
        <f>IF(R127,ABS((O127-$AC$76)/MAX(0.0001,$AC$77-$AC$76)-(N127-$AC$78)/MAX(0.0001,$AC$79-$AC$78)),-1)</f>
        <v/>
      </c>
      <c r="T127" s="14">
        <f>IF(G127,O127,NA())</f>
        <v/>
      </c>
      <c r="U127" s="13">
        <f>IF(G127,N127,NA())</f>
        <v/>
      </c>
      <c r="V127" s="14">
        <f>IF(R127,O127,NA())</f>
        <v/>
      </c>
      <c r="W127" s="13">
        <f>IF(R127,N127,NA())</f>
        <v/>
      </c>
      <c r="X127" s="27">
        <f>IF(G127,P127,"")</f>
        <v/>
      </c>
      <c r="Y127" s="27">
        <f>IF(G127,N127,"")</f>
        <v/>
      </c>
      <c r="Z127" s="27">
        <f>IF(R127,O127,"")</f>
        <v/>
      </c>
      <c r="AA127" s="27">
        <f>IF(R127,N127,"")</f>
        <v/>
      </c>
    </row>
    <row r="128">
      <c r="A128" s="31" t="n">
        <v>0</v>
      </c>
      <c r="B128" s="31" t="n">
        <v>0</v>
      </c>
      <c r="C128" s="31" t="n">
        <v>1</v>
      </c>
      <c r="D128" s="31" t="n">
        <v>0</v>
      </c>
      <c r="E128" s="27" t="inlineStr">
        <is>
          <t>2M 100%</t>
        </is>
      </c>
      <c r="F128" s="27" t="n">
        <v>50</v>
      </c>
      <c r="G128" s="27">
        <f>A128*$B$7&gt;=$B$9</f>
        <v/>
      </c>
      <c r="H128" s="13">
        <f>$B$7*(A128*E$71+B128*F$71+C128*G$71+D128*H$71)+F128/100*$B$7*J$71-$C$71</f>
        <v/>
      </c>
      <c r="I128" s="13">
        <f>$B$7*(A128*L$71+B128*M$71+C128*N$71+D128*O$71)+F128/100*$B$7*Q$71-$C$71</f>
        <v/>
      </c>
      <c r="J128" s="13">
        <f>$B$7*(A128*S$71+B128*T$71+C128*U$71+D128*V$71)+F128/100*$B$7*X$71-$C$71</f>
        <v/>
      </c>
      <c r="K128" s="13">
        <f>$B$7*(A128*Z$71+B128*AA$71+C128*AB$71+D128*AC$71)+F128/100*$B$7*AE$71-$C$71</f>
        <v/>
      </c>
      <c r="L128" s="13">
        <f>$B$7*(A128*AG$71+B128*AH$71+C128*AI$71+D128*AJ$71)+F128/100*$B$7*AL$71-$C$71</f>
        <v/>
      </c>
      <c r="M128" s="13">
        <f>$B$7*(A128*AN$71+B128*AO$71+C128*AP$71+D128*AQ$71)+F128/100*$B$7*AS$71-$C$71</f>
        <v/>
      </c>
      <c r="N128" s="13">
        <f>SUMPRODUCT($H$24:$M$24,H128:M128)</f>
        <v/>
      </c>
      <c r="O128" s="14">
        <f>SQRT(SUMPRODUCT($H$24:$M$24,(H128:M128-N128)^2))</f>
        <v/>
      </c>
      <c r="P128" s="13">
        <f>MIN(H128:M128)</f>
        <v/>
      </c>
      <c r="Q128" s="13">
        <f>MAX(H128:M128)</f>
        <v/>
      </c>
      <c r="R128" s="27">
        <f>IF(G128,SUMPRODUCT(($G$76:$G$1505)*($N$76:$N$1505&gt;=N128)*($O$76:$O$1505&lt;=O128))=1,FALSE)</f>
        <v/>
      </c>
      <c r="S128" s="16">
        <f>IF(R128,ABS((O128-$AC$76)/MAX(0.0001,$AC$77-$AC$76)-(N128-$AC$78)/MAX(0.0001,$AC$79-$AC$78)),-1)</f>
        <v/>
      </c>
      <c r="T128" s="14">
        <f>IF(G128,O128,NA())</f>
        <v/>
      </c>
      <c r="U128" s="13">
        <f>IF(G128,N128,NA())</f>
        <v/>
      </c>
      <c r="V128" s="14">
        <f>IF(R128,O128,NA())</f>
        <v/>
      </c>
      <c r="W128" s="13">
        <f>IF(R128,N128,NA())</f>
        <v/>
      </c>
      <c r="X128" s="27">
        <f>IF(G128,P128,"")</f>
        <v/>
      </c>
      <c r="Y128" s="27">
        <f>IF(G128,N128,"")</f>
        <v/>
      </c>
      <c r="Z128" s="27">
        <f>IF(R128,O128,"")</f>
        <v/>
      </c>
      <c r="AA128" s="27">
        <f>IF(R128,N128,"")</f>
        <v/>
      </c>
    </row>
    <row r="129">
      <c r="A129" s="31" t="n">
        <v>0</v>
      </c>
      <c r="B129" s="31" t="n">
        <v>0</v>
      </c>
      <c r="C129" s="31" t="n">
        <v>1</v>
      </c>
      <c r="D129" s="31" t="n">
        <v>0</v>
      </c>
      <c r="E129" s="27" t="inlineStr">
        <is>
          <t>2M 100%</t>
        </is>
      </c>
      <c r="F129" s="27" t="n">
        <v>75</v>
      </c>
      <c r="G129" s="27">
        <f>A129*$B$7&gt;=$B$9</f>
        <v/>
      </c>
      <c r="H129" s="13">
        <f>$B$7*(A129*E$71+B129*F$71+C129*G$71+D129*H$71)+F129/100*$B$7*J$71-$C$71</f>
        <v/>
      </c>
      <c r="I129" s="13">
        <f>$B$7*(A129*L$71+B129*M$71+C129*N$71+D129*O$71)+F129/100*$B$7*Q$71-$C$71</f>
        <v/>
      </c>
      <c r="J129" s="13">
        <f>$B$7*(A129*S$71+B129*T$71+C129*U$71+D129*V$71)+F129/100*$B$7*X$71-$C$71</f>
        <v/>
      </c>
      <c r="K129" s="13">
        <f>$B$7*(A129*Z$71+B129*AA$71+C129*AB$71+D129*AC$71)+F129/100*$B$7*AE$71-$C$71</f>
        <v/>
      </c>
      <c r="L129" s="13">
        <f>$B$7*(A129*AG$71+B129*AH$71+C129*AI$71+D129*AJ$71)+F129/100*$B$7*AL$71-$C$71</f>
        <v/>
      </c>
      <c r="M129" s="13">
        <f>$B$7*(A129*AN$71+B129*AO$71+C129*AP$71+D129*AQ$71)+F129/100*$B$7*AS$71-$C$71</f>
        <v/>
      </c>
      <c r="N129" s="13">
        <f>SUMPRODUCT($H$24:$M$24,H129:M129)</f>
        <v/>
      </c>
      <c r="O129" s="14">
        <f>SQRT(SUMPRODUCT($H$24:$M$24,(H129:M129-N129)^2))</f>
        <v/>
      </c>
      <c r="P129" s="13">
        <f>MIN(H129:M129)</f>
        <v/>
      </c>
      <c r="Q129" s="13">
        <f>MAX(H129:M129)</f>
        <v/>
      </c>
      <c r="R129" s="27">
        <f>IF(G129,SUMPRODUCT(($G$76:$G$1505)*($N$76:$N$1505&gt;=N129)*($O$76:$O$1505&lt;=O129))=1,FALSE)</f>
        <v/>
      </c>
      <c r="S129" s="16">
        <f>IF(R129,ABS((O129-$AC$76)/MAX(0.0001,$AC$77-$AC$76)-(N129-$AC$78)/MAX(0.0001,$AC$79-$AC$78)),-1)</f>
        <v/>
      </c>
      <c r="T129" s="14">
        <f>IF(G129,O129,NA())</f>
        <v/>
      </c>
      <c r="U129" s="13">
        <f>IF(G129,N129,NA())</f>
        <v/>
      </c>
      <c r="V129" s="14">
        <f>IF(R129,O129,NA())</f>
        <v/>
      </c>
      <c r="W129" s="13">
        <f>IF(R129,N129,NA())</f>
        <v/>
      </c>
      <c r="X129" s="27">
        <f>IF(G129,P129,"")</f>
        <v/>
      </c>
      <c r="Y129" s="27">
        <f>IF(G129,N129,"")</f>
        <v/>
      </c>
      <c r="Z129" s="27">
        <f>IF(R129,O129,"")</f>
        <v/>
      </c>
      <c r="AA129" s="27">
        <f>IF(R129,N129,"")</f>
        <v/>
      </c>
    </row>
    <row r="130">
      <c r="A130" s="31" t="n">
        <v>0</v>
      </c>
      <c r="B130" s="31" t="n">
        <v>0</v>
      </c>
      <c r="C130" s="31" t="n">
        <v>1</v>
      </c>
      <c r="D130" s="31" t="n">
        <v>0</v>
      </c>
      <c r="E130" s="27" t="inlineStr">
        <is>
          <t>2M 100%</t>
        </is>
      </c>
      <c r="F130" s="27" t="n">
        <v>100</v>
      </c>
      <c r="G130" s="27">
        <f>A130*$B$7&gt;=$B$9</f>
        <v/>
      </c>
      <c r="H130" s="13">
        <f>$B$7*(A130*E$71+B130*F$71+C130*G$71+D130*H$71)+F130/100*$B$7*J$71-$C$71</f>
        <v/>
      </c>
      <c r="I130" s="13">
        <f>$B$7*(A130*L$71+B130*M$71+C130*N$71+D130*O$71)+F130/100*$B$7*Q$71-$C$71</f>
        <v/>
      </c>
      <c r="J130" s="13">
        <f>$B$7*(A130*S$71+B130*T$71+C130*U$71+D130*V$71)+F130/100*$B$7*X$71-$C$71</f>
        <v/>
      </c>
      <c r="K130" s="13">
        <f>$B$7*(A130*Z$71+B130*AA$71+C130*AB$71+D130*AC$71)+F130/100*$B$7*AE$71-$C$71</f>
        <v/>
      </c>
      <c r="L130" s="13">
        <f>$B$7*(A130*AG$71+B130*AH$71+C130*AI$71+D130*AJ$71)+F130/100*$B$7*AL$71-$C$71</f>
        <v/>
      </c>
      <c r="M130" s="13">
        <f>$B$7*(A130*AN$71+B130*AO$71+C130*AP$71+D130*AQ$71)+F130/100*$B$7*AS$71-$C$71</f>
        <v/>
      </c>
      <c r="N130" s="13">
        <f>SUMPRODUCT($H$24:$M$24,H130:M130)</f>
        <v/>
      </c>
      <c r="O130" s="14">
        <f>SQRT(SUMPRODUCT($H$24:$M$24,(H130:M130-N130)^2))</f>
        <v/>
      </c>
      <c r="P130" s="13">
        <f>MIN(H130:M130)</f>
        <v/>
      </c>
      <c r="Q130" s="13">
        <f>MAX(H130:M130)</f>
        <v/>
      </c>
      <c r="R130" s="27">
        <f>IF(G130,SUMPRODUCT(($G$76:$G$1505)*($N$76:$N$1505&gt;=N130)*($O$76:$O$1505&lt;=O130))=1,FALSE)</f>
        <v/>
      </c>
      <c r="S130" s="16">
        <f>IF(R130,ABS((O130-$AC$76)/MAX(0.0001,$AC$77-$AC$76)-(N130-$AC$78)/MAX(0.0001,$AC$79-$AC$78)),-1)</f>
        <v/>
      </c>
      <c r="T130" s="14">
        <f>IF(G130,O130,NA())</f>
        <v/>
      </c>
      <c r="U130" s="13">
        <f>IF(G130,N130,NA())</f>
        <v/>
      </c>
      <c r="V130" s="14">
        <f>IF(R130,O130,NA())</f>
        <v/>
      </c>
      <c r="W130" s="13">
        <f>IF(R130,N130,NA())</f>
        <v/>
      </c>
      <c r="X130" s="27">
        <f>IF(G130,P130,"")</f>
        <v/>
      </c>
      <c r="Y130" s="27">
        <f>IF(G130,N130,"")</f>
        <v/>
      </c>
      <c r="Z130" s="27">
        <f>IF(R130,O130,"")</f>
        <v/>
      </c>
      <c r="AA130" s="27">
        <f>IF(R130,N130,"")</f>
        <v/>
      </c>
    </row>
    <row r="131">
      <c r="A131" s="31" t="n">
        <v>0</v>
      </c>
      <c r="B131" s="31" t="n">
        <v>0.1</v>
      </c>
      <c r="C131" s="31" t="n">
        <v>0</v>
      </c>
      <c r="D131" s="31" t="n">
        <v>0.9</v>
      </c>
      <c r="E131" s="27" t="inlineStr">
        <is>
          <t>1M 10%/3M 90%</t>
        </is>
      </c>
      <c r="F131" s="27" t="n">
        <v>0</v>
      </c>
      <c r="G131" s="27">
        <f>A131*$B$7&gt;=$B$9</f>
        <v/>
      </c>
      <c r="H131" s="13">
        <f>$B$7*(A131*E$71+B131*F$71+C131*G$71+D131*H$71)+F131/100*$B$7*J$71-$C$71</f>
        <v/>
      </c>
      <c r="I131" s="13">
        <f>$B$7*(A131*L$71+B131*M$71+C131*N$71+D131*O$71)+F131/100*$B$7*Q$71-$C$71</f>
        <v/>
      </c>
      <c r="J131" s="13">
        <f>$B$7*(A131*S$71+B131*T$71+C131*U$71+D131*V$71)+F131/100*$B$7*X$71-$C$71</f>
        <v/>
      </c>
      <c r="K131" s="13">
        <f>$B$7*(A131*Z$71+B131*AA$71+C131*AB$71+D131*AC$71)+F131/100*$B$7*AE$71-$C$71</f>
        <v/>
      </c>
      <c r="L131" s="13">
        <f>$B$7*(A131*AG$71+B131*AH$71+C131*AI$71+D131*AJ$71)+F131/100*$B$7*AL$71-$C$71</f>
        <v/>
      </c>
      <c r="M131" s="13">
        <f>$B$7*(A131*AN$71+B131*AO$71+C131*AP$71+D131*AQ$71)+F131/100*$B$7*AS$71-$C$71</f>
        <v/>
      </c>
      <c r="N131" s="13">
        <f>SUMPRODUCT($H$24:$M$24,H131:M131)</f>
        <v/>
      </c>
      <c r="O131" s="14">
        <f>SQRT(SUMPRODUCT($H$24:$M$24,(H131:M131-N131)^2))</f>
        <v/>
      </c>
      <c r="P131" s="13">
        <f>MIN(H131:M131)</f>
        <v/>
      </c>
      <c r="Q131" s="13">
        <f>MAX(H131:M131)</f>
        <v/>
      </c>
      <c r="R131" s="27">
        <f>IF(G131,SUMPRODUCT(($G$76:$G$1505)*($N$76:$N$1505&gt;=N131)*($O$76:$O$1505&lt;=O131))=1,FALSE)</f>
        <v/>
      </c>
      <c r="S131" s="16">
        <f>IF(R131,ABS((O131-$AC$76)/MAX(0.0001,$AC$77-$AC$76)-(N131-$AC$78)/MAX(0.0001,$AC$79-$AC$78)),-1)</f>
        <v/>
      </c>
      <c r="T131" s="14">
        <f>IF(G131,O131,NA())</f>
        <v/>
      </c>
      <c r="U131" s="13">
        <f>IF(G131,N131,NA())</f>
        <v/>
      </c>
      <c r="V131" s="14">
        <f>IF(R131,O131,NA())</f>
        <v/>
      </c>
      <c r="W131" s="13">
        <f>IF(R131,N131,NA())</f>
        <v/>
      </c>
      <c r="X131" s="27">
        <f>IF(G131,P131,"")</f>
        <v/>
      </c>
      <c r="Y131" s="27">
        <f>IF(G131,N131,"")</f>
        <v/>
      </c>
      <c r="Z131" s="27">
        <f>IF(R131,O131,"")</f>
        <v/>
      </c>
      <c r="AA131" s="27">
        <f>IF(R131,N131,"")</f>
        <v/>
      </c>
    </row>
    <row r="132">
      <c r="A132" s="31" t="n">
        <v>0</v>
      </c>
      <c r="B132" s="31" t="n">
        <v>0.1</v>
      </c>
      <c r="C132" s="31" t="n">
        <v>0</v>
      </c>
      <c r="D132" s="31" t="n">
        <v>0.9</v>
      </c>
      <c r="E132" s="27" t="inlineStr">
        <is>
          <t>1M 10%/3M 90%</t>
        </is>
      </c>
      <c r="F132" s="27" t="n">
        <v>25</v>
      </c>
      <c r="G132" s="27">
        <f>A132*$B$7&gt;=$B$9</f>
        <v/>
      </c>
      <c r="H132" s="13">
        <f>$B$7*(A132*E$71+B132*F$71+C132*G$71+D132*H$71)+F132/100*$B$7*J$71-$C$71</f>
        <v/>
      </c>
      <c r="I132" s="13">
        <f>$B$7*(A132*L$71+B132*M$71+C132*N$71+D132*O$71)+F132/100*$B$7*Q$71-$C$71</f>
        <v/>
      </c>
      <c r="J132" s="13">
        <f>$B$7*(A132*S$71+B132*T$71+C132*U$71+D132*V$71)+F132/100*$B$7*X$71-$C$71</f>
        <v/>
      </c>
      <c r="K132" s="13">
        <f>$B$7*(A132*Z$71+B132*AA$71+C132*AB$71+D132*AC$71)+F132/100*$B$7*AE$71-$C$71</f>
        <v/>
      </c>
      <c r="L132" s="13">
        <f>$B$7*(A132*AG$71+B132*AH$71+C132*AI$71+D132*AJ$71)+F132/100*$B$7*AL$71-$C$71</f>
        <v/>
      </c>
      <c r="M132" s="13">
        <f>$B$7*(A132*AN$71+B132*AO$71+C132*AP$71+D132*AQ$71)+F132/100*$B$7*AS$71-$C$71</f>
        <v/>
      </c>
      <c r="N132" s="13">
        <f>SUMPRODUCT($H$24:$M$24,H132:M132)</f>
        <v/>
      </c>
      <c r="O132" s="14">
        <f>SQRT(SUMPRODUCT($H$24:$M$24,(H132:M132-N132)^2))</f>
        <v/>
      </c>
      <c r="P132" s="13">
        <f>MIN(H132:M132)</f>
        <v/>
      </c>
      <c r="Q132" s="13">
        <f>MAX(H132:M132)</f>
        <v/>
      </c>
      <c r="R132" s="27">
        <f>IF(G132,SUMPRODUCT(($G$76:$G$1505)*($N$76:$N$1505&gt;=N132)*($O$76:$O$1505&lt;=O132))=1,FALSE)</f>
        <v/>
      </c>
      <c r="S132" s="16">
        <f>IF(R132,ABS((O132-$AC$76)/MAX(0.0001,$AC$77-$AC$76)-(N132-$AC$78)/MAX(0.0001,$AC$79-$AC$78)),-1)</f>
        <v/>
      </c>
      <c r="T132" s="14">
        <f>IF(G132,O132,NA())</f>
        <v/>
      </c>
      <c r="U132" s="13">
        <f>IF(G132,N132,NA())</f>
        <v/>
      </c>
      <c r="V132" s="14">
        <f>IF(R132,O132,NA())</f>
        <v/>
      </c>
      <c r="W132" s="13">
        <f>IF(R132,N132,NA())</f>
        <v/>
      </c>
      <c r="X132" s="27">
        <f>IF(G132,P132,"")</f>
        <v/>
      </c>
      <c r="Y132" s="27">
        <f>IF(G132,N132,"")</f>
        <v/>
      </c>
      <c r="Z132" s="27">
        <f>IF(R132,O132,"")</f>
        <v/>
      </c>
      <c r="AA132" s="27">
        <f>IF(R132,N132,"")</f>
        <v/>
      </c>
    </row>
    <row r="133">
      <c r="A133" s="31" t="n">
        <v>0</v>
      </c>
      <c r="B133" s="31" t="n">
        <v>0.1</v>
      </c>
      <c r="C133" s="31" t="n">
        <v>0</v>
      </c>
      <c r="D133" s="31" t="n">
        <v>0.9</v>
      </c>
      <c r="E133" s="27" t="inlineStr">
        <is>
          <t>1M 10%/3M 90%</t>
        </is>
      </c>
      <c r="F133" s="27" t="n">
        <v>50</v>
      </c>
      <c r="G133" s="27">
        <f>A133*$B$7&gt;=$B$9</f>
        <v/>
      </c>
      <c r="H133" s="13">
        <f>$B$7*(A133*E$71+B133*F$71+C133*G$71+D133*H$71)+F133/100*$B$7*J$71-$C$71</f>
        <v/>
      </c>
      <c r="I133" s="13">
        <f>$B$7*(A133*L$71+B133*M$71+C133*N$71+D133*O$71)+F133/100*$B$7*Q$71-$C$71</f>
        <v/>
      </c>
      <c r="J133" s="13">
        <f>$B$7*(A133*S$71+B133*T$71+C133*U$71+D133*V$71)+F133/100*$B$7*X$71-$C$71</f>
        <v/>
      </c>
      <c r="K133" s="13">
        <f>$B$7*(A133*Z$71+B133*AA$71+C133*AB$71+D133*AC$71)+F133/100*$B$7*AE$71-$C$71</f>
        <v/>
      </c>
      <c r="L133" s="13">
        <f>$B$7*(A133*AG$71+B133*AH$71+C133*AI$71+D133*AJ$71)+F133/100*$B$7*AL$71-$C$71</f>
        <v/>
      </c>
      <c r="M133" s="13">
        <f>$B$7*(A133*AN$71+B133*AO$71+C133*AP$71+D133*AQ$71)+F133/100*$B$7*AS$71-$C$71</f>
        <v/>
      </c>
      <c r="N133" s="13">
        <f>SUMPRODUCT($H$24:$M$24,H133:M133)</f>
        <v/>
      </c>
      <c r="O133" s="14">
        <f>SQRT(SUMPRODUCT($H$24:$M$24,(H133:M133-N133)^2))</f>
        <v/>
      </c>
      <c r="P133" s="13">
        <f>MIN(H133:M133)</f>
        <v/>
      </c>
      <c r="Q133" s="13">
        <f>MAX(H133:M133)</f>
        <v/>
      </c>
      <c r="R133" s="27">
        <f>IF(G133,SUMPRODUCT(($G$76:$G$1505)*($N$76:$N$1505&gt;=N133)*($O$76:$O$1505&lt;=O133))=1,FALSE)</f>
        <v/>
      </c>
      <c r="S133" s="16">
        <f>IF(R133,ABS((O133-$AC$76)/MAX(0.0001,$AC$77-$AC$76)-(N133-$AC$78)/MAX(0.0001,$AC$79-$AC$78)),-1)</f>
        <v/>
      </c>
      <c r="T133" s="14">
        <f>IF(G133,O133,NA())</f>
        <v/>
      </c>
      <c r="U133" s="13">
        <f>IF(G133,N133,NA())</f>
        <v/>
      </c>
      <c r="V133" s="14">
        <f>IF(R133,O133,NA())</f>
        <v/>
      </c>
      <c r="W133" s="13">
        <f>IF(R133,N133,NA())</f>
        <v/>
      </c>
      <c r="X133" s="27">
        <f>IF(G133,P133,"")</f>
        <v/>
      </c>
      <c r="Y133" s="27">
        <f>IF(G133,N133,"")</f>
        <v/>
      </c>
      <c r="Z133" s="27">
        <f>IF(R133,O133,"")</f>
        <v/>
      </c>
      <c r="AA133" s="27">
        <f>IF(R133,N133,"")</f>
        <v/>
      </c>
    </row>
    <row r="134">
      <c r="A134" s="31" t="n">
        <v>0</v>
      </c>
      <c r="B134" s="31" t="n">
        <v>0.1</v>
      </c>
      <c r="C134" s="31" t="n">
        <v>0</v>
      </c>
      <c r="D134" s="31" t="n">
        <v>0.9</v>
      </c>
      <c r="E134" s="27" t="inlineStr">
        <is>
          <t>1M 10%/3M 90%</t>
        </is>
      </c>
      <c r="F134" s="27" t="n">
        <v>75</v>
      </c>
      <c r="G134" s="27">
        <f>A134*$B$7&gt;=$B$9</f>
        <v/>
      </c>
      <c r="H134" s="13">
        <f>$B$7*(A134*E$71+B134*F$71+C134*G$71+D134*H$71)+F134/100*$B$7*J$71-$C$71</f>
        <v/>
      </c>
      <c r="I134" s="13">
        <f>$B$7*(A134*L$71+B134*M$71+C134*N$71+D134*O$71)+F134/100*$B$7*Q$71-$C$71</f>
        <v/>
      </c>
      <c r="J134" s="13">
        <f>$B$7*(A134*S$71+B134*T$71+C134*U$71+D134*V$71)+F134/100*$B$7*X$71-$C$71</f>
        <v/>
      </c>
      <c r="K134" s="13">
        <f>$B$7*(A134*Z$71+B134*AA$71+C134*AB$71+D134*AC$71)+F134/100*$B$7*AE$71-$C$71</f>
        <v/>
      </c>
      <c r="L134" s="13">
        <f>$B$7*(A134*AG$71+B134*AH$71+C134*AI$71+D134*AJ$71)+F134/100*$B$7*AL$71-$C$71</f>
        <v/>
      </c>
      <c r="M134" s="13">
        <f>$B$7*(A134*AN$71+B134*AO$71+C134*AP$71+D134*AQ$71)+F134/100*$B$7*AS$71-$C$71</f>
        <v/>
      </c>
      <c r="N134" s="13">
        <f>SUMPRODUCT($H$24:$M$24,H134:M134)</f>
        <v/>
      </c>
      <c r="O134" s="14">
        <f>SQRT(SUMPRODUCT($H$24:$M$24,(H134:M134-N134)^2))</f>
        <v/>
      </c>
      <c r="P134" s="13">
        <f>MIN(H134:M134)</f>
        <v/>
      </c>
      <c r="Q134" s="13">
        <f>MAX(H134:M134)</f>
        <v/>
      </c>
      <c r="R134" s="27">
        <f>IF(G134,SUMPRODUCT(($G$76:$G$1505)*($N$76:$N$1505&gt;=N134)*($O$76:$O$1505&lt;=O134))=1,FALSE)</f>
        <v/>
      </c>
      <c r="S134" s="16">
        <f>IF(R134,ABS((O134-$AC$76)/MAX(0.0001,$AC$77-$AC$76)-(N134-$AC$78)/MAX(0.0001,$AC$79-$AC$78)),-1)</f>
        <v/>
      </c>
      <c r="T134" s="14">
        <f>IF(G134,O134,NA())</f>
        <v/>
      </c>
      <c r="U134" s="13">
        <f>IF(G134,N134,NA())</f>
        <v/>
      </c>
      <c r="V134" s="14">
        <f>IF(R134,O134,NA())</f>
        <v/>
      </c>
      <c r="W134" s="13">
        <f>IF(R134,N134,NA())</f>
        <v/>
      </c>
      <c r="X134" s="27">
        <f>IF(G134,P134,"")</f>
        <v/>
      </c>
      <c r="Y134" s="27">
        <f>IF(G134,N134,"")</f>
        <v/>
      </c>
      <c r="Z134" s="27">
        <f>IF(R134,O134,"")</f>
        <v/>
      </c>
      <c r="AA134" s="27">
        <f>IF(R134,N134,"")</f>
        <v/>
      </c>
    </row>
    <row r="135">
      <c r="A135" s="31" t="n">
        <v>0</v>
      </c>
      <c r="B135" s="31" t="n">
        <v>0.1</v>
      </c>
      <c r="C135" s="31" t="n">
        <v>0</v>
      </c>
      <c r="D135" s="31" t="n">
        <v>0.9</v>
      </c>
      <c r="E135" s="27" t="inlineStr">
        <is>
          <t>1M 10%/3M 90%</t>
        </is>
      </c>
      <c r="F135" s="27" t="n">
        <v>100</v>
      </c>
      <c r="G135" s="27">
        <f>A135*$B$7&gt;=$B$9</f>
        <v/>
      </c>
      <c r="H135" s="13">
        <f>$B$7*(A135*E$71+B135*F$71+C135*G$71+D135*H$71)+F135/100*$B$7*J$71-$C$71</f>
        <v/>
      </c>
      <c r="I135" s="13">
        <f>$B$7*(A135*L$71+B135*M$71+C135*N$71+D135*O$71)+F135/100*$B$7*Q$71-$C$71</f>
        <v/>
      </c>
      <c r="J135" s="13">
        <f>$B$7*(A135*S$71+B135*T$71+C135*U$71+D135*V$71)+F135/100*$B$7*X$71-$C$71</f>
        <v/>
      </c>
      <c r="K135" s="13">
        <f>$B$7*(A135*Z$71+B135*AA$71+C135*AB$71+D135*AC$71)+F135/100*$B$7*AE$71-$C$71</f>
        <v/>
      </c>
      <c r="L135" s="13">
        <f>$B$7*(A135*AG$71+B135*AH$71+C135*AI$71+D135*AJ$71)+F135/100*$B$7*AL$71-$C$71</f>
        <v/>
      </c>
      <c r="M135" s="13">
        <f>$B$7*(A135*AN$71+B135*AO$71+C135*AP$71+D135*AQ$71)+F135/100*$B$7*AS$71-$C$71</f>
        <v/>
      </c>
      <c r="N135" s="13">
        <f>SUMPRODUCT($H$24:$M$24,H135:M135)</f>
        <v/>
      </c>
      <c r="O135" s="14">
        <f>SQRT(SUMPRODUCT($H$24:$M$24,(H135:M135-N135)^2))</f>
        <v/>
      </c>
      <c r="P135" s="13">
        <f>MIN(H135:M135)</f>
        <v/>
      </c>
      <c r="Q135" s="13">
        <f>MAX(H135:M135)</f>
        <v/>
      </c>
      <c r="R135" s="27">
        <f>IF(G135,SUMPRODUCT(($G$76:$G$1505)*($N$76:$N$1505&gt;=N135)*($O$76:$O$1505&lt;=O135))=1,FALSE)</f>
        <v/>
      </c>
      <c r="S135" s="16">
        <f>IF(R135,ABS((O135-$AC$76)/MAX(0.0001,$AC$77-$AC$76)-(N135-$AC$78)/MAX(0.0001,$AC$79-$AC$78)),-1)</f>
        <v/>
      </c>
      <c r="T135" s="14">
        <f>IF(G135,O135,NA())</f>
        <v/>
      </c>
      <c r="U135" s="13">
        <f>IF(G135,N135,NA())</f>
        <v/>
      </c>
      <c r="V135" s="14">
        <f>IF(R135,O135,NA())</f>
        <v/>
      </c>
      <c r="W135" s="13">
        <f>IF(R135,N135,NA())</f>
        <v/>
      </c>
      <c r="X135" s="27">
        <f>IF(G135,P135,"")</f>
        <v/>
      </c>
      <c r="Y135" s="27">
        <f>IF(G135,N135,"")</f>
        <v/>
      </c>
      <c r="Z135" s="27">
        <f>IF(R135,O135,"")</f>
        <v/>
      </c>
      <c r="AA135" s="27">
        <f>IF(R135,N135,"")</f>
        <v/>
      </c>
    </row>
    <row r="136">
      <c r="A136" s="31" t="n">
        <v>0</v>
      </c>
      <c r="B136" s="31" t="n">
        <v>0.1</v>
      </c>
      <c r="C136" s="31" t="n">
        <v>0.1</v>
      </c>
      <c r="D136" s="31" t="n">
        <v>0.8</v>
      </c>
      <c r="E136" s="27" t="inlineStr">
        <is>
          <t>1M 10%/2M 10%/3M 80%</t>
        </is>
      </c>
      <c r="F136" s="27" t="n">
        <v>0</v>
      </c>
      <c r="G136" s="27">
        <f>A136*$B$7&gt;=$B$9</f>
        <v/>
      </c>
      <c r="H136" s="13">
        <f>$B$7*(A136*E$71+B136*F$71+C136*G$71+D136*H$71)+F136/100*$B$7*J$71-$C$71</f>
        <v/>
      </c>
      <c r="I136" s="13">
        <f>$B$7*(A136*L$71+B136*M$71+C136*N$71+D136*O$71)+F136/100*$B$7*Q$71-$C$71</f>
        <v/>
      </c>
      <c r="J136" s="13">
        <f>$B$7*(A136*S$71+B136*T$71+C136*U$71+D136*V$71)+F136/100*$B$7*X$71-$C$71</f>
        <v/>
      </c>
      <c r="K136" s="13">
        <f>$B$7*(A136*Z$71+B136*AA$71+C136*AB$71+D136*AC$71)+F136/100*$B$7*AE$71-$C$71</f>
        <v/>
      </c>
      <c r="L136" s="13">
        <f>$B$7*(A136*AG$71+B136*AH$71+C136*AI$71+D136*AJ$71)+F136/100*$B$7*AL$71-$C$71</f>
        <v/>
      </c>
      <c r="M136" s="13">
        <f>$B$7*(A136*AN$71+B136*AO$71+C136*AP$71+D136*AQ$71)+F136/100*$B$7*AS$71-$C$71</f>
        <v/>
      </c>
      <c r="N136" s="13">
        <f>SUMPRODUCT($H$24:$M$24,H136:M136)</f>
        <v/>
      </c>
      <c r="O136" s="14">
        <f>SQRT(SUMPRODUCT($H$24:$M$24,(H136:M136-N136)^2))</f>
        <v/>
      </c>
      <c r="P136" s="13">
        <f>MIN(H136:M136)</f>
        <v/>
      </c>
      <c r="Q136" s="13">
        <f>MAX(H136:M136)</f>
        <v/>
      </c>
      <c r="R136" s="27">
        <f>IF(G136,SUMPRODUCT(($G$76:$G$1505)*($N$76:$N$1505&gt;=N136)*($O$76:$O$1505&lt;=O136))=1,FALSE)</f>
        <v/>
      </c>
      <c r="S136" s="16">
        <f>IF(R136,ABS((O136-$AC$76)/MAX(0.0001,$AC$77-$AC$76)-(N136-$AC$78)/MAX(0.0001,$AC$79-$AC$78)),-1)</f>
        <v/>
      </c>
      <c r="T136" s="14">
        <f>IF(G136,O136,NA())</f>
        <v/>
      </c>
      <c r="U136" s="13">
        <f>IF(G136,N136,NA())</f>
        <v/>
      </c>
      <c r="V136" s="14">
        <f>IF(R136,O136,NA())</f>
        <v/>
      </c>
      <c r="W136" s="13">
        <f>IF(R136,N136,NA())</f>
        <v/>
      </c>
      <c r="X136" s="27">
        <f>IF(G136,P136,"")</f>
        <v/>
      </c>
      <c r="Y136" s="27">
        <f>IF(G136,N136,"")</f>
        <v/>
      </c>
      <c r="Z136" s="27">
        <f>IF(R136,O136,"")</f>
        <v/>
      </c>
      <c r="AA136" s="27">
        <f>IF(R136,N136,"")</f>
        <v/>
      </c>
    </row>
    <row r="137">
      <c r="A137" s="31" t="n">
        <v>0</v>
      </c>
      <c r="B137" s="31" t="n">
        <v>0.1</v>
      </c>
      <c r="C137" s="31" t="n">
        <v>0.1</v>
      </c>
      <c r="D137" s="31" t="n">
        <v>0.8</v>
      </c>
      <c r="E137" s="27" t="inlineStr">
        <is>
          <t>1M 10%/2M 10%/3M 80%</t>
        </is>
      </c>
      <c r="F137" s="27" t="n">
        <v>25</v>
      </c>
      <c r="G137" s="27">
        <f>A137*$B$7&gt;=$B$9</f>
        <v/>
      </c>
      <c r="H137" s="13">
        <f>$B$7*(A137*E$71+B137*F$71+C137*G$71+D137*H$71)+F137/100*$B$7*J$71-$C$71</f>
        <v/>
      </c>
      <c r="I137" s="13">
        <f>$B$7*(A137*L$71+B137*M$71+C137*N$71+D137*O$71)+F137/100*$B$7*Q$71-$C$71</f>
        <v/>
      </c>
      <c r="J137" s="13">
        <f>$B$7*(A137*S$71+B137*T$71+C137*U$71+D137*V$71)+F137/100*$B$7*X$71-$C$71</f>
        <v/>
      </c>
      <c r="K137" s="13">
        <f>$B$7*(A137*Z$71+B137*AA$71+C137*AB$71+D137*AC$71)+F137/100*$B$7*AE$71-$C$71</f>
        <v/>
      </c>
      <c r="L137" s="13">
        <f>$B$7*(A137*AG$71+B137*AH$71+C137*AI$71+D137*AJ$71)+F137/100*$B$7*AL$71-$C$71</f>
        <v/>
      </c>
      <c r="M137" s="13">
        <f>$B$7*(A137*AN$71+B137*AO$71+C137*AP$71+D137*AQ$71)+F137/100*$B$7*AS$71-$C$71</f>
        <v/>
      </c>
      <c r="N137" s="13">
        <f>SUMPRODUCT($H$24:$M$24,H137:M137)</f>
        <v/>
      </c>
      <c r="O137" s="14">
        <f>SQRT(SUMPRODUCT($H$24:$M$24,(H137:M137-N137)^2))</f>
        <v/>
      </c>
      <c r="P137" s="13">
        <f>MIN(H137:M137)</f>
        <v/>
      </c>
      <c r="Q137" s="13">
        <f>MAX(H137:M137)</f>
        <v/>
      </c>
      <c r="R137" s="27">
        <f>IF(G137,SUMPRODUCT(($G$76:$G$1505)*($N$76:$N$1505&gt;=N137)*($O$76:$O$1505&lt;=O137))=1,FALSE)</f>
        <v/>
      </c>
      <c r="S137" s="16">
        <f>IF(R137,ABS((O137-$AC$76)/MAX(0.0001,$AC$77-$AC$76)-(N137-$AC$78)/MAX(0.0001,$AC$79-$AC$78)),-1)</f>
        <v/>
      </c>
      <c r="T137" s="14">
        <f>IF(G137,O137,NA())</f>
        <v/>
      </c>
      <c r="U137" s="13">
        <f>IF(G137,N137,NA())</f>
        <v/>
      </c>
      <c r="V137" s="14">
        <f>IF(R137,O137,NA())</f>
        <v/>
      </c>
      <c r="W137" s="13">
        <f>IF(R137,N137,NA())</f>
        <v/>
      </c>
      <c r="X137" s="27">
        <f>IF(G137,P137,"")</f>
        <v/>
      </c>
      <c r="Y137" s="27">
        <f>IF(G137,N137,"")</f>
        <v/>
      </c>
      <c r="Z137" s="27">
        <f>IF(R137,O137,"")</f>
        <v/>
      </c>
      <c r="AA137" s="27">
        <f>IF(R137,N137,"")</f>
        <v/>
      </c>
    </row>
    <row r="138">
      <c r="A138" s="31" t="n">
        <v>0</v>
      </c>
      <c r="B138" s="31" t="n">
        <v>0.1</v>
      </c>
      <c r="C138" s="31" t="n">
        <v>0.1</v>
      </c>
      <c r="D138" s="31" t="n">
        <v>0.8</v>
      </c>
      <c r="E138" s="27" t="inlineStr">
        <is>
          <t>1M 10%/2M 10%/3M 80%</t>
        </is>
      </c>
      <c r="F138" s="27" t="n">
        <v>50</v>
      </c>
      <c r="G138" s="27">
        <f>A138*$B$7&gt;=$B$9</f>
        <v/>
      </c>
      <c r="H138" s="13">
        <f>$B$7*(A138*E$71+B138*F$71+C138*G$71+D138*H$71)+F138/100*$B$7*J$71-$C$71</f>
        <v/>
      </c>
      <c r="I138" s="13">
        <f>$B$7*(A138*L$71+B138*M$71+C138*N$71+D138*O$71)+F138/100*$B$7*Q$71-$C$71</f>
        <v/>
      </c>
      <c r="J138" s="13">
        <f>$B$7*(A138*S$71+B138*T$71+C138*U$71+D138*V$71)+F138/100*$B$7*X$71-$C$71</f>
        <v/>
      </c>
      <c r="K138" s="13">
        <f>$B$7*(A138*Z$71+B138*AA$71+C138*AB$71+D138*AC$71)+F138/100*$B$7*AE$71-$C$71</f>
        <v/>
      </c>
      <c r="L138" s="13">
        <f>$B$7*(A138*AG$71+B138*AH$71+C138*AI$71+D138*AJ$71)+F138/100*$B$7*AL$71-$C$71</f>
        <v/>
      </c>
      <c r="M138" s="13">
        <f>$B$7*(A138*AN$71+B138*AO$71+C138*AP$71+D138*AQ$71)+F138/100*$B$7*AS$71-$C$71</f>
        <v/>
      </c>
      <c r="N138" s="13">
        <f>SUMPRODUCT($H$24:$M$24,H138:M138)</f>
        <v/>
      </c>
      <c r="O138" s="14">
        <f>SQRT(SUMPRODUCT($H$24:$M$24,(H138:M138-N138)^2))</f>
        <v/>
      </c>
      <c r="P138" s="13">
        <f>MIN(H138:M138)</f>
        <v/>
      </c>
      <c r="Q138" s="13">
        <f>MAX(H138:M138)</f>
        <v/>
      </c>
      <c r="R138" s="27">
        <f>IF(G138,SUMPRODUCT(($G$76:$G$1505)*($N$76:$N$1505&gt;=N138)*($O$76:$O$1505&lt;=O138))=1,FALSE)</f>
        <v/>
      </c>
      <c r="S138" s="16">
        <f>IF(R138,ABS((O138-$AC$76)/MAX(0.0001,$AC$77-$AC$76)-(N138-$AC$78)/MAX(0.0001,$AC$79-$AC$78)),-1)</f>
        <v/>
      </c>
      <c r="T138" s="14">
        <f>IF(G138,O138,NA())</f>
        <v/>
      </c>
      <c r="U138" s="13">
        <f>IF(G138,N138,NA())</f>
        <v/>
      </c>
      <c r="V138" s="14">
        <f>IF(R138,O138,NA())</f>
        <v/>
      </c>
      <c r="W138" s="13">
        <f>IF(R138,N138,NA())</f>
        <v/>
      </c>
      <c r="X138" s="27">
        <f>IF(G138,P138,"")</f>
        <v/>
      </c>
      <c r="Y138" s="27">
        <f>IF(G138,N138,"")</f>
        <v/>
      </c>
      <c r="Z138" s="27">
        <f>IF(R138,O138,"")</f>
        <v/>
      </c>
      <c r="AA138" s="27">
        <f>IF(R138,N138,"")</f>
        <v/>
      </c>
    </row>
    <row r="139">
      <c r="A139" s="31" t="n">
        <v>0</v>
      </c>
      <c r="B139" s="31" t="n">
        <v>0.1</v>
      </c>
      <c r="C139" s="31" t="n">
        <v>0.1</v>
      </c>
      <c r="D139" s="31" t="n">
        <v>0.8</v>
      </c>
      <c r="E139" s="27" t="inlineStr">
        <is>
          <t>1M 10%/2M 10%/3M 80%</t>
        </is>
      </c>
      <c r="F139" s="27" t="n">
        <v>75</v>
      </c>
      <c r="G139" s="27">
        <f>A139*$B$7&gt;=$B$9</f>
        <v/>
      </c>
      <c r="H139" s="13">
        <f>$B$7*(A139*E$71+B139*F$71+C139*G$71+D139*H$71)+F139/100*$B$7*J$71-$C$71</f>
        <v/>
      </c>
      <c r="I139" s="13">
        <f>$B$7*(A139*L$71+B139*M$71+C139*N$71+D139*O$71)+F139/100*$B$7*Q$71-$C$71</f>
        <v/>
      </c>
      <c r="J139" s="13">
        <f>$B$7*(A139*S$71+B139*T$71+C139*U$71+D139*V$71)+F139/100*$B$7*X$71-$C$71</f>
        <v/>
      </c>
      <c r="K139" s="13">
        <f>$B$7*(A139*Z$71+B139*AA$71+C139*AB$71+D139*AC$71)+F139/100*$B$7*AE$71-$C$71</f>
        <v/>
      </c>
      <c r="L139" s="13">
        <f>$B$7*(A139*AG$71+B139*AH$71+C139*AI$71+D139*AJ$71)+F139/100*$B$7*AL$71-$C$71</f>
        <v/>
      </c>
      <c r="M139" s="13">
        <f>$B$7*(A139*AN$71+B139*AO$71+C139*AP$71+D139*AQ$71)+F139/100*$B$7*AS$71-$C$71</f>
        <v/>
      </c>
      <c r="N139" s="13">
        <f>SUMPRODUCT($H$24:$M$24,H139:M139)</f>
        <v/>
      </c>
      <c r="O139" s="14">
        <f>SQRT(SUMPRODUCT($H$24:$M$24,(H139:M139-N139)^2))</f>
        <v/>
      </c>
      <c r="P139" s="13">
        <f>MIN(H139:M139)</f>
        <v/>
      </c>
      <c r="Q139" s="13">
        <f>MAX(H139:M139)</f>
        <v/>
      </c>
      <c r="R139" s="27">
        <f>IF(G139,SUMPRODUCT(($G$76:$G$1505)*($N$76:$N$1505&gt;=N139)*($O$76:$O$1505&lt;=O139))=1,FALSE)</f>
        <v/>
      </c>
      <c r="S139" s="16">
        <f>IF(R139,ABS((O139-$AC$76)/MAX(0.0001,$AC$77-$AC$76)-(N139-$AC$78)/MAX(0.0001,$AC$79-$AC$78)),-1)</f>
        <v/>
      </c>
      <c r="T139" s="14">
        <f>IF(G139,O139,NA())</f>
        <v/>
      </c>
      <c r="U139" s="13">
        <f>IF(G139,N139,NA())</f>
        <v/>
      </c>
      <c r="V139" s="14">
        <f>IF(R139,O139,NA())</f>
        <v/>
      </c>
      <c r="W139" s="13">
        <f>IF(R139,N139,NA())</f>
        <v/>
      </c>
      <c r="X139" s="27">
        <f>IF(G139,P139,"")</f>
        <v/>
      </c>
      <c r="Y139" s="27">
        <f>IF(G139,N139,"")</f>
        <v/>
      </c>
      <c r="Z139" s="27">
        <f>IF(R139,O139,"")</f>
        <v/>
      </c>
      <c r="AA139" s="27">
        <f>IF(R139,N139,"")</f>
        <v/>
      </c>
    </row>
    <row r="140">
      <c r="A140" s="31" t="n">
        <v>0</v>
      </c>
      <c r="B140" s="31" t="n">
        <v>0.1</v>
      </c>
      <c r="C140" s="31" t="n">
        <v>0.1</v>
      </c>
      <c r="D140" s="31" t="n">
        <v>0.8</v>
      </c>
      <c r="E140" s="27" t="inlineStr">
        <is>
          <t>1M 10%/2M 10%/3M 80%</t>
        </is>
      </c>
      <c r="F140" s="27" t="n">
        <v>100</v>
      </c>
      <c r="G140" s="27">
        <f>A140*$B$7&gt;=$B$9</f>
        <v/>
      </c>
      <c r="H140" s="13">
        <f>$B$7*(A140*E$71+B140*F$71+C140*G$71+D140*H$71)+F140/100*$B$7*J$71-$C$71</f>
        <v/>
      </c>
      <c r="I140" s="13">
        <f>$B$7*(A140*L$71+B140*M$71+C140*N$71+D140*O$71)+F140/100*$B$7*Q$71-$C$71</f>
        <v/>
      </c>
      <c r="J140" s="13">
        <f>$B$7*(A140*S$71+B140*T$71+C140*U$71+D140*V$71)+F140/100*$B$7*X$71-$C$71</f>
        <v/>
      </c>
      <c r="K140" s="13">
        <f>$B$7*(A140*Z$71+B140*AA$71+C140*AB$71+D140*AC$71)+F140/100*$B$7*AE$71-$C$71</f>
        <v/>
      </c>
      <c r="L140" s="13">
        <f>$B$7*(A140*AG$71+B140*AH$71+C140*AI$71+D140*AJ$71)+F140/100*$B$7*AL$71-$C$71</f>
        <v/>
      </c>
      <c r="M140" s="13">
        <f>$B$7*(A140*AN$71+B140*AO$71+C140*AP$71+D140*AQ$71)+F140/100*$B$7*AS$71-$C$71</f>
        <v/>
      </c>
      <c r="N140" s="13">
        <f>SUMPRODUCT($H$24:$M$24,H140:M140)</f>
        <v/>
      </c>
      <c r="O140" s="14">
        <f>SQRT(SUMPRODUCT($H$24:$M$24,(H140:M140-N140)^2))</f>
        <v/>
      </c>
      <c r="P140" s="13">
        <f>MIN(H140:M140)</f>
        <v/>
      </c>
      <c r="Q140" s="13">
        <f>MAX(H140:M140)</f>
        <v/>
      </c>
      <c r="R140" s="27">
        <f>IF(G140,SUMPRODUCT(($G$76:$G$1505)*($N$76:$N$1505&gt;=N140)*($O$76:$O$1505&lt;=O140))=1,FALSE)</f>
        <v/>
      </c>
      <c r="S140" s="16">
        <f>IF(R140,ABS((O140-$AC$76)/MAX(0.0001,$AC$77-$AC$76)-(N140-$AC$78)/MAX(0.0001,$AC$79-$AC$78)),-1)</f>
        <v/>
      </c>
      <c r="T140" s="14">
        <f>IF(G140,O140,NA())</f>
        <v/>
      </c>
      <c r="U140" s="13">
        <f>IF(G140,N140,NA())</f>
        <v/>
      </c>
      <c r="V140" s="14">
        <f>IF(R140,O140,NA())</f>
        <v/>
      </c>
      <c r="W140" s="13">
        <f>IF(R140,N140,NA())</f>
        <v/>
      </c>
      <c r="X140" s="27">
        <f>IF(G140,P140,"")</f>
        <v/>
      </c>
      <c r="Y140" s="27">
        <f>IF(G140,N140,"")</f>
        <v/>
      </c>
      <c r="Z140" s="27">
        <f>IF(R140,O140,"")</f>
        <v/>
      </c>
      <c r="AA140" s="27">
        <f>IF(R140,N140,"")</f>
        <v/>
      </c>
    </row>
    <row r="141">
      <c r="A141" s="31" t="n">
        <v>0</v>
      </c>
      <c r="B141" s="31" t="n">
        <v>0.1</v>
      </c>
      <c r="C141" s="31" t="n">
        <v>0.2</v>
      </c>
      <c r="D141" s="31" t="n">
        <v>0.7</v>
      </c>
      <c r="E141" s="27" t="inlineStr">
        <is>
          <t>1M 10%/2M 20%/3M 70%</t>
        </is>
      </c>
      <c r="F141" s="27" t="n">
        <v>0</v>
      </c>
      <c r="G141" s="27">
        <f>A141*$B$7&gt;=$B$9</f>
        <v/>
      </c>
      <c r="H141" s="13">
        <f>$B$7*(A141*E$71+B141*F$71+C141*G$71+D141*H$71)+F141/100*$B$7*J$71-$C$71</f>
        <v/>
      </c>
      <c r="I141" s="13">
        <f>$B$7*(A141*L$71+B141*M$71+C141*N$71+D141*O$71)+F141/100*$B$7*Q$71-$C$71</f>
        <v/>
      </c>
      <c r="J141" s="13">
        <f>$B$7*(A141*S$71+B141*T$71+C141*U$71+D141*V$71)+F141/100*$B$7*X$71-$C$71</f>
        <v/>
      </c>
      <c r="K141" s="13">
        <f>$B$7*(A141*Z$71+B141*AA$71+C141*AB$71+D141*AC$71)+F141/100*$B$7*AE$71-$C$71</f>
        <v/>
      </c>
      <c r="L141" s="13">
        <f>$B$7*(A141*AG$71+B141*AH$71+C141*AI$71+D141*AJ$71)+F141/100*$B$7*AL$71-$C$71</f>
        <v/>
      </c>
      <c r="M141" s="13">
        <f>$B$7*(A141*AN$71+B141*AO$71+C141*AP$71+D141*AQ$71)+F141/100*$B$7*AS$71-$C$71</f>
        <v/>
      </c>
      <c r="N141" s="13">
        <f>SUMPRODUCT($H$24:$M$24,H141:M141)</f>
        <v/>
      </c>
      <c r="O141" s="14">
        <f>SQRT(SUMPRODUCT($H$24:$M$24,(H141:M141-N141)^2))</f>
        <v/>
      </c>
      <c r="P141" s="13">
        <f>MIN(H141:M141)</f>
        <v/>
      </c>
      <c r="Q141" s="13">
        <f>MAX(H141:M141)</f>
        <v/>
      </c>
      <c r="R141" s="27">
        <f>IF(G141,SUMPRODUCT(($G$76:$G$1505)*($N$76:$N$1505&gt;=N141)*($O$76:$O$1505&lt;=O141))=1,FALSE)</f>
        <v/>
      </c>
      <c r="S141" s="16">
        <f>IF(R141,ABS((O141-$AC$76)/MAX(0.0001,$AC$77-$AC$76)-(N141-$AC$78)/MAX(0.0001,$AC$79-$AC$78)),-1)</f>
        <v/>
      </c>
      <c r="T141" s="14">
        <f>IF(G141,O141,NA())</f>
        <v/>
      </c>
      <c r="U141" s="13">
        <f>IF(G141,N141,NA())</f>
        <v/>
      </c>
      <c r="V141" s="14">
        <f>IF(R141,O141,NA())</f>
        <v/>
      </c>
      <c r="W141" s="13">
        <f>IF(R141,N141,NA())</f>
        <v/>
      </c>
      <c r="X141" s="27">
        <f>IF(G141,P141,"")</f>
        <v/>
      </c>
      <c r="Y141" s="27">
        <f>IF(G141,N141,"")</f>
        <v/>
      </c>
      <c r="Z141" s="27">
        <f>IF(R141,O141,"")</f>
        <v/>
      </c>
      <c r="AA141" s="27">
        <f>IF(R141,N141,"")</f>
        <v/>
      </c>
    </row>
    <row r="142">
      <c r="A142" s="31" t="n">
        <v>0</v>
      </c>
      <c r="B142" s="31" t="n">
        <v>0.1</v>
      </c>
      <c r="C142" s="31" t="n">
        <v>0.2</v>
      </c>
      <c r="D142" s="31" t="n">
        <v>0.7</v>
      </c>
      <c r="E142" s="27" t="inlineStr">
        <is>
          <t>1M 10%/2M 20%/3M 70%</t>
        </is>
      </c>
      <c r="F142" s="27" t="n">
        <v>25</v>
      </c>
      <c r="G142" s="27">
        <f>A142*$B$7&gt;=$B$9</f>
        <v/>
      </c>
      <c r="H142" s="13">
        <f>$B$7*(A142*E$71+B142*F$71+C142*G$71+D142*H$71)+F142/100*$B$7*J$71-$C$71</f>
        <v/>
      </c>
      <c r="I142" s="13">
        <f>$B$7*(A142*L$71+B142*M$71+C142*N$71+D142*O$71)+F142/100*$B$7*Q$71-$C$71</f>
        <v/>
      </c>
      <c r="J142" s="13">
        <f>$B$7*(A142*S$71+B142*T$71+C142*U$71+D142*V$71)+F142/100*$B$7*X$71-$C$71</f>
        <v/>
      </c>
      <c r="K142" s="13">
        <f>$B$7*(A142*Z$71+B142*AA$71+C142*AB$71+D142*AC$71)+F142/100*$B$7*AE$71-$C$71</f>
        <v/>
      </c>
      <c r="L142" s="13">
        <f>$B$7*(A142*AG$71+B142*AH$71+C142*AI$71+D142*AJ$71)+F142/100*$B$7*AL$71-$C$71</f>
        <v/>
      </c>
      <c r="M142" s="13">
        <f>$B$7*(A142*AN$71+B142*AO$71+C142*AP$71+D142*AQ$71)+F142/100*$B$7*AS$71-$C$71</f>
        <v/>
      </c>
      <c r="N142" s="13">
        <f>SUMPRODUCT($H$24:$M$24,H142:M142)</f>
        <v/>
      </c>
      <c r="O142" s="14">
        <f>SQRT(SUMPRODUCT($H$24:$M$24,(H142:M142-N142)^2))</f>
        <v/>
      </c>
      <c r="P142" s="13">
        <f>MIN(H142:M142)</f>
        <v/>
      </c>
      <c r="Q142" s="13">
        <f>MAX(H142:M142)</f>
        <v/>
      </c>
      <c r="R142" s="27">
        <f>IF(G142,SUMPRODUCT(($G$76:$G$1505)*($N$76:$N$1505&gt;=N142)*($O$76:$O$1505&lt;=O142))=1,FALSE)</f>
        <v/>
      </c>
      <c r="S142" s="16">
        <f>IF(R142,ABS((O142-$AC$76)/MAX(0.0001,$AC$77-$AC$76)-(N142-$AC$78)/MAX(0.0001,$AC$79-$AC$78)),-1)</f>
        <v/>
      </c>
      <c r="T142" s="14">
        <f>IF(G142,O142,NA())</f>
        <v/>
      </c>
      <c r="U142" s="13">
        <f>IF(G142,N142,NA())</f>
        <v/>
      </c>
      <c r="V142" s="14">
        <f>IF(R142,O142,NA())</f>
        <v/>
      </c>
      <c r="W142" s="13">
        <f>IF(R142,N142,NA())</f>
        <v/>
      </c>
      <c r="X142" s="27">
        <f>IF(G142,P142,"")</f>
        <v/>
      </c>
      <c r="Y142" s="27">
        <f>IF(G142,N142,"")</f>
        <v/>
      </c>
      <c r="Z142" s="27">
        <f>IF(R142,O142,"")</f>
        <v/>
      </c>
      <c r="AA142" s="27">
        <f>IF(R142,N142,"")</f>
        <v/>
      </c>
    </row>
    <row r="143">
      <c r="A143" s="31" t="n">
        <v>0</v>
      </c>
      <c r="B143" s="31" t="n">
        <v>0.1</v>
      </c>
      <c r="C143" s="31" t="n">
        <v>0.2</v>
      </c>
      <c r="D143" s="31" t="n">
        <v>0.7</v>
      </c>
      <c r="E143" s="27" t="inlineStr">
        <is>
          <t>1M 10%/2M 20%/3M 70%</t>
        </is>
      </c>
      <c r="F143" s="27" t="n">
        <v>50</v>
      </c>
      <c r="G143" s="27">
        <f>A143*$B$7&gt;=$B$9</f>
        <v/>
      </c>
      <c r="H143" s="13">
        <f>$B$7*(A143*E$71+B143*F$71+C143*G$71+D143*H$71)+F143/100*$B$7*J$71-$C$71</f>
        <v/>
      </c>
      <c r="I143" s="13">
        <f>$B$7*(A143*L$71+B143*M$71+C143*N$71+D143*O$71)+F143/100*$B$7*Q$71-$C$71</f>
        <v/>
      </c>
      <c r="J143" s="13">
        <f>$B$7*(A143*S$71+B143*T$71+C143*U$71+D143*V$71)+F143/100*$B$7*X$71-$C$71</f>
        <v/>
      </c>
      <c r="K143" s="13">
        <f>$B$7*(A143*Z$71+B143*AA$71+C143*AB$71+D143*AC$71)+F143/100*$B$7*AE$71-$C$71</f>
        <v/>
      </c>
      <c r="L143" s="13">
        <f>$B$7*(A143*AG$71+B143*AH$71+C143*AI$71+D143*AJ$71)+F143/100*$B$7*AL$71-$C$71</f>
        <v/>
      </c>
      <c r="M143" s="13">
        <f>$B$7*(A143*AN$71+B143*AO$71+C143*AP$71+D143*AQ$71)+F143/100*$B$7*AS$71-$C$71</f>
        <v/>
      </c>
      <c r="N143" s="13">
        <f>SUMPRODUCT($H$24:$M$24,H143:M143)</f>
        <v/>
      </c>
      <c r="O143" s="14">
        <f>SQRT(SUMPRODUCT($H$24:$M$24,(H143:M143-N143)^2))</f>
        <v/>
      </c>
      <c r="P143" s="13">
        <f>MIN(H143:M143)</f>
        <v/>
      </c>
      <c r="Q143" s="13">
        <f>MAX(H143:M143)</f>
        <v/>
      </c>
      <c r="R143" s="27">
        <f>IF(G143,SUMPRODUCT(($G$76:$G$1505)*($N$76:$N$1505&gt;=N143)*($O$76:$O$1505&lt;=O143))=1,FALSE)</f>
        <v/>
      </c>
      <c r="S143" s="16">
        <f>IF(R143,ABS((O143-$AC$76)/MAX(0.0001,$AC$77-$AC$76)-(N143-$AC$78)/MAX(0.0001,$AC$79-$AC$78)),-1)</f>
        <v/>
      </c>
      <c r="T143" s="14">
        <f>IF(G143,O143,NA())</f>
        <v/>
      </c>
      <c r="U143" s="13">
        <f>IF(G143,N143,NA())</f>
        <v/>
      </c>
      <c r="V143" s="14">
        <f>IF(R143,O143,NA())</f>
        <v/>
      </c>
      <c r="W143" s="13">
        <f>IF(R143,N143,NA())</f>
        <v/>
      </c>
      <c r="X143" s="27">
        <f>IF(G143,P143,"")</f>
        <v/>
      </c>
      <c r="Y143" s="27">
        <f>IF(G143,N143,"")</f>
        <v/>
      </c>
      <c r="Z143" s="27">
        <f>IF(R143,O143,"")</f>
        <v/>
      </c>
      <c r="AA143" s="27">
        <f>IF(R143,N143,"")</f>
        <v/>
      </c>
    </row>
    <row r="144">
      <c r="A144" s="31" t="n">
        <v>0</v>
      </c>
      <c r="B144" s="31" t="n">
        <v>0.1</v>
      </c>
      <c r="C144" s="31" t="n">
        <v>0.2</v>
      </c>
      <c r="D144" s="31" t="n">
        <v>0.7</v>
      </c>
      <c r="E144" s="27" t="inlineStr">
        <is>
          <t>1M 10%/2M 20%/3M 70%</t>
        </is>
      </c>
      <c r="F144" s="27" t="n">
        <v>75</v>
      </c>
      <c r="G144" s="27">
        <f>A144*$B$7&gt;=$B$9</f>
        <v/>
      </c>
      <c r="H144" s="13">
        <f>$B$7*(A144*E$71+B144*F$71+C144*G$71+D144*H$71)+F144/100*$B$7*J$71-$C$71</f>
        <v/>
      </c>
      <c r="I144" s="13">
        <f>$B$7*(A144*L$71+B144*M$71+C144*N$71+D144*O$71)+F144/100*$B$7*Q$71-$C$71</f>
        <v/>
      </c>
      <c r="J144" s="13">
        <f>$B$7*(A144*S$71+B144*T$71+C144*U$71+D144*V$71)+F144/100*$B$7*X$71-$C$71</f>
        <v/>
      </c>
      <c r="K144" s="13">
        <f>$B$7*(A144*Z$71+B144*AA$71+C144*AB$71+D144*AC$71)+F144/100*$B$7*AE$71-$C$71</f>
        <v/>
      </c>
      <c r="L144" s="13">
        <f>$B$7*(A144*AG$71+B144*AH$71+C144*AI$71+D144*AJ$71)+F144/100*$B$7*AL$71-$C$71</f>
        <v/>
      </c>
      <c r="M144" s="13">
        <f>$B$7*(A144*AN$71+B144*AO$71+C144*AP$71+D144*AQ$71)+F144/100*$B$7*AS$71-$C$71</f>
        <v/>
      </c>
      <c r="N144" s="13">
        <f>SUMPRODUCT($H$24:$M$24,H144:M144)</f>
        <v/>
      </c>
      <c r="O144" s="14">
        <f>SQRT(SUMPRODUCT($H$24:$M$24,(H144:M144-N144)^2))</f>
        <v/>
      </c>
      <c r="P144" s="13">
        <f>MIN(H144:M144)</f>
        <v/>
      </c>
      <c r="Q144" s="13">
        <f>MAX(H144:M144)</f>
        <v/>
      </c>
      <c r="R144" s="27">
        <f>IF(G144,SUMPRODUCT(($G$76:$G$1505)*($N$76:$N$1505&gt;=N144)*($O$76:$O$1505&lt;=O144))=1,FALSE)</f>
        <v/>
      </c>
      <c r="S144" s="16">
        <f>IF(R144,ABS((O144-$AC$76)/MAX(0.0001,$AC$77-$AC$76)-(N144-$AC$78)/MAX(0.0001,$AC$79-$AC$78)),-1)</f>
        <v/>
      </c>
      <c r="T144" s="14">
        <f>IF(G144,O144,NA())</f>
        <v/>
      </c>
      <c r="U144" s="13">
        <f>IF(G144,N144,NA())</f>
        <v/>
      </c>
      <c r="V144" s="14">
        <f>IF(R144,O144,NA())</f>
        <v/>
      </c>
      <c r="W144" s="13">
        <f>IF(R144,N144,NA())</f>
        <v/>
      </c>
      <c r="X144" s="27">
        <f>IF(G144,P144,"")</f>
        <v/>
      </c>
      <c r="Y144" s="27">
        <f>IF(G144,N144,"")</f>
        <v/>
      </c>
      <c r="Z144" s="27">
        <f>IF(R144,O144,"")</f>
        <v/>
      </c>
      <c r="AA144" s="27">
        <f>IF(R144,N144,"")</f>
        <v/>
      </c>
    </row>
    <row r="145">
      <c r="A145" s="31" t="n">
        <v>0</v>
      </c>
      <c r="B145" s="31" t="n">
        <v>0.1</v>
      </c>
      <c r="C145" s="31" t="n">
        <v>0.2</v>
      </c>
      <c r="D145" s="31" t="n">
        <v>0.7</v>
      </c>
      <c r="E145" s="27" t="inlineStr">
        <is>
          <t>1M 10%/2M 20%/3M 70%</t>
        </is>
      </c>
      <c r="F145" s="27" t="n">
        <v>100</v>
      </c>
      <c r="G145" s="27">
        <f>A145*$B$7&gt;=$B$9</f>
        <v/>
      </c>
      <c r="H145" s="13">
        <f>$B$7*(A145*E$71+B145*F$71+C145*G$71+D145*H$71)+F145/100*$B$7*J$71-$C$71</f>
        <v/>
      </c>
      <c r="I145" s="13">
        <f>$B$7*(A145*L$71+B145*M$71+C145*N$71+D145*O$71)+F145/100*$B$7*Q$71-$C$71</f>
        <v/>
      </c>
      <c r="J145" s="13">
        <f>$B$7*(A145*S$71+B145*T$71+C145*U$71+D145*V$71)+F145/100*$B$7*X$71-$C$71</f>
        <v/>
      </c>
      <c r="K145" s="13">
        <f>$B$7*(A145*Z$71+B145*AA$71+C145*AB$71+D145*AC$71)+F145/100*$B$7*AE$71-$C$71</f>
        <v/>
      </c>
      <c r="L145" s="13">
        <f>$B$7*(A145*AG$71+B145*AH$71+C145*AI$71+D145*AJ$71)+F145/100*$B$7*AL$71-$C$71</f>
        <v/>
      </c>
      <c r="M145" s="13">
        <f>$B$7*(A145*AN$71+B145*AO$71+C145*AP$71+D145*AQ$71)+F145/100*$B$7*AS$71-$C$71</f>
        <v/>
      </c>
      <c r="N145" s="13">
        <f>SUMPRODUCT($H$24:$M$24,H145:M145)</f>
        <v/>
      </c>
      <c r="O145" s="14">
        <f>SQRT(SUMPRODUCT($H$24:$M$24,(H145:M145-N145)^2))</f>
        <v/>
      </c>
      <c r="P145" s="13">
        <f>MIN(H145:M145)</f>
        <v/>
      </c>
      <c r="Q145" s="13">
        <f>MAX(H145:M145)</f>
        <v/>
      </c>
      <c r="R145" s="27">
        <f>IF(G145,SUMPRODUCT(($G$76:$G$1505)*($N$76:$N$1505&gt;=N145)*($O$76:$O$1505&lt;=O145))=1,FALSE)</f>
        <v/>
      </c>
      <c r="S145" s="16">
        <f>IF(R145,ABS((O145-$AC$76)/MAX(0.0001,$AC$77-$AC$76)-(N145-$AC$78)/MAX(0.0001,$AC$79-$AC$78)),-1)</f>
        <v/>
      </c>
      <c r="T145" s="14">
        <f>IF(G145,O145,NA())</f>
        <v/>
      </c>
      <c r="U145" s="13">
        <f>IF(G145,N145,NA())</f>
        <v/>
      </c>
      <c r="V145" s="14">
        <f>IF(R145,O145,NA())</f>
        <v/>
      </c>
      <c r="W145" s="13">
        <f>IF(R145,N145,NA())</f>
        <v/>
      </c>
      <c r="X145" s="27">
        <f>IF(G145,P145,"")</f>
        <v/>
      </c>
      <c r="Y145" s="27">
        <f>IF(G145,N145,"")</f>
        <v/>
      </c>
      <c r="Z145" s="27">
        <f>IF(R145,O145,"")</f>
        <v/>
      </c>
      <c r="AA145" s="27">
        <f>IF(R145,N145,"")</f>
        <v/>
      </c>
    </row>
    <row r="146">
      <c r="A146" s="31" t="n">
        <v>0</v>
      </c>
      <c r="B146" s="31" t="n">
        <v>0.1</v>
      </c>
      <c r="C146" s="31" t="n">
        <v>0.3</v>
      </c>
      <c r="D146" s="31" t="n">
        <v>0.6</v>
      </c>
      <c r="E146" s="27" t="inlineStr">
        <is>
          <t>1M 10%/2M 30%/3M 60%</t>
        </is>
      </c>
      <c r="F146" s="27" t="n">
        <v>0</v>
      </c>
      <c r="G146" s="27">
        <f>A146*$B$7&gt;=$B$9</f>
        <v/>
      </c>
      <c r="H146" s="13">
        <f>$B$7*(A146*E$71+B146*F$71+C146*G$71+D146*H$71)+F146/100*$B$7*J$71-$C$71</f>
        <v/>
      </c>
      <c r="I146" s="13">
        <f>$B$7*(A146*L$71+B146*M$71+C146*N$71+D146*O$71)+F146/100*$B$7*Q$71-$C$71</f>
        <v/>
      </c>
      <c r="J146" s="13">
        <f>$B$7*(A146*S$71+B146*T$71+C146*U$71+D146*V$71)+F146/100*$B$7*X$71-$C$71</f>
        <v/>
      </c>
      <c r="K146" s="13">
        <f>$B$7*(A146*Z$71+B146*AA$71+C146*AB$71+D146*AC$71)+F146/100*$B$7*AE$71-$C$71</f>
        <v/>
      </c>
      <c r="L146" s="13">
        <f>$B$7*(A146*AG$71+B146*AH$71+C146*AI$71+D146*AJ$71)+F146/100*$B$7*AL$71-$C$71</f>
        <v/>
      </c>
      <c r="M146" s="13">
        <f>$B$7*(A146*AN$71+B146*AO$71+C146*AP$71+D146*AQ$71)+F146/100*$B$7*AS$71-$C$71</f>
        <v/>
      </c>
      <c r="N146" s="13">
        <f>SUMPRODUCT($H$24:$M$24,H146:M146)</f>
        <v/>
      </c>
      <c r="O146" s="14">
        <f>SQRT(SUMPRODUCT($H$24:$M$24,(H146:M146-N146)^2))</f>
        <v/>
      </c>
      <c r="P146" s="13">
        <f>MIN(H146:M146)</f>
        <v/>
      </c>
      <c r="Q146" s="13">
        <f>MAX(H146:M146)</f>
        <v/>
      </c>
      <c r="R146" s="27">
        <f>IF(G146,SUMPRODUCT(($G$76:$G$1505)*($N$76:$N$1505&gt;=N146)*($O$76:$O$1505&lt;=O146))=1,FALSE)</f>
        <v/>
      </c>
      <c r="S146" s="16">
        <f>IF(R146,ABS((O146-$AC$76)/MAX(0.0001,$AC$77-$AC$76)-(N146-$AC$78)/MAX(0.0001,$AC$79-$AC$78)),-1)</f>
        <v/>
      </c>
      <c r="T146" s="14">
        <f>IF(G146,O146,NA())</f>
        <v/>
      </c>
      <c r="U146" s="13">
        <f>IF(G146,N146,NA())</f>
        <v/>
      </c>
      <c r="V146" s="14">
        <f>IF(R146,O146,NA())</f>
        <v/>
      </c>
      <c r="W146" s="13">
        <f>IF(R146,N146,NA())</f>
        <v/>
      </c>
      <c r="X146" s="27">
        <f>IF(G146,P146,"")</f>
        <v/>
      </c>
      <c r="Y146" s="27">
        <f>IF(G146,N146,"")</f>
        <v/>
      </c>
      <c r="Z146" s="27">
        <f>IF(R146,O146,"")</f>
        <v/>
      </c>
      <c r="AA146" s="27">
        <f>IF(R146,N146,"")</f>
        <v/>
      </c>
    </row>
    <row r="147">
      <c r="A147" s="31" t="n">
        <v>0</v>
      </c>
      <c r="B147" s="31" t="n">
        <v>0.1</v>
      </c>
      <c r="C147" s="31" t="n">
        <v>0.3</v>
      </c>
      <c r="D147" s="31" t="n">
        <v>0.6</v>
      </c>
      <c r="E147" s="27" t="inlineStr">
        <is>
          <t>1M 10%/2M 30%/3M 60%</t>
        </is>
      </c>
      <c r="F147" s="27" t="n">
        <v>25</v>
      </c>
      <c r="G147" s="27">
        <f>A147*$B$7&gt;=$B$9</f>
        <v/>
      </c>
      <c r="H147" s="13">
        <f>$B$7*(A147*E$71+B147*F$71+C147*G$71+D147*H$71)+F147/100*$B$7*J$71-$C$71</f>
        <v/>
      </c>
      <c r="I147" s="13">
        <f>$B$7*(A147*L$71+B147*M$71+C147*N$71+D147*O$71)+F147/100*$B$7*Q$71-$C$71</f>
        <v/>
      </c>
      <c r="J147" s="13">
        <f>$B$7*(A147*S$71+B147*T$71+C147*U$71+D147*V$71)+F147/100*$B$7*X$71-$C$71</f>
        <v/>
      </c>
      <c r="K147" s="13">
        <f>$B$7*(A147*Z$71+B147*AA$71+C147*AB$71+D147*AC$71)+F147/100*$B$7*AE$71-$C$71</f>
        <v/>
      </c>
      <c r="L147" s="13">
        <f>$B$7*(A147*AG$71+B147*AH$71+C147*AI$71+D147*AJ$71)+F147/100*$B$7*AL$71-$C$71</f>
        <v/>
      </c>
      <c r="M147" s="13">
        <f>$B$7*(A147*AN$71+B147*AO$71+C147*AP$71+D147*AQ$71)+F147/100*$B$7*AS$71-$C$71</f>
        <v/>
      </c>
      <c r="N147" s="13">
        <f>SUMPRODUCT($H$24:$M$24,H147:M147)</f>
        <v/>
      </c>
      <c r="O147" s="14">
        <f>SQRT(SUMPRODUCT($H$24:$M$24,(H147:M147-N147)^2))</f>
        <v/>
      </c>
      <c r="P147" s="13">
        <f>MIN(H147:M147)</f>
        <v/>
      </c>
      <c r="Q147" s="13">
        <f>MAX(H147:M147)</f>
        <v/>
      </c>
      <c r="R147" s="27">
        <f>IF(G147,SUMPRODUCT(($G$76:$G$1505)*($N$76:$N$1505&gt;=N147)*($O$76:$O$1505&lt;=O147))=1,FALSE)</f>
        <v/>
      </c>
      <c r="S147" s="16">
        <f>IF(R147,ABS((O147-$AC$76)/MAX(0.0001,$AC$77-$AC$76)-(N147-$AC$78)/MAX(0.0001,$AC$79-$AC$78)),-1)</f>
        <v/>
      </c>
      <c r="T147" s="14">
        <f>IF(G147,O147,NA())</f>
        <v/>
      </c>
      <c r="U147" s="13">
        <f>IF(G147,N147,NA())</f>
        <v/>
      </c>
      <c r="V147" s="14">
        <f>IF(R147,O147,NA())</f>
        <v/>
      </c>
      <c r="W147" s="13">
        <f>IF(R147,N147,NA())</f>
        <v/>
      </c>
      <c r="X147" s="27">
        <f>IF(G147,P147,"")</f>
        <v/>
      </c>
      <c r="Y147" s="27">
        <f>IF(G147,N147,"")</f>
        <v/>
      </c>
      <c r="Z147" s="27">
        <f>IF(R147,O147,"")</f>
        <v/>
      </c>
      <c r="AA147" s="27">
        <f>IF(R147,N147,"")</f>
        <v/>
      </c>
    </row>
    <row r="148">
      <c r="A148" s="31" t="n">
        <v>0</v>
      </c>
      <c r="B148" s="31" t="n">
        <v>0.1</v>
      </c>
      <c r="C148" s="31" t="n">
        <v>0.3</v>
      </c>
      <c r="D148" s="31" t="n">
        <v>0.6</v>
      </c>
      <c r="E148" s="27" t="inlineStr">
        <is>
          <t>1M 10%/2M 30%/3M 60%</t>
        </is>
      </c>
      <c r="F148" s="27" t="n">
        <v>50</v>
      </c>
      <c r="G148" s="27">
        <f>A148*$B$7&gt;=$B$9</f>
        <v/>
      </c>
      <c r="H148" s="13">
        <f>$B$7*(A148*E$71+B148*F$71+C148*G$71+D148*H$71)+F148/100*$B$7*J$71-$C$71</f>
        <v/>
      </c>
      <c r="I148" s="13">
        <f>$B$7*(A148*L$71+B148*M$71+C148*N$71+D148*O$71)+F148/100*$B$7*Q$71-$C$71</f>
        <v/>
      </c>
      <c r="J148" s="13">
        <f>$B$7*(A148*S$71+B148*T$71+C148*U$71+D148*V$71)+F148/100*$B$7*X$71-$C$71</f>
        <v/>
      </c>
      <c r="K148" s="13">
        <f>$B$7*(A148*Z$71+B148*AA$71+C148*AB$71+D148*AC$71)+F148/100*$B$7*AE$71-$C$71</f>
        <v/>
      </c>
      <c r="L148" s="13">
        <f>$B$7*(A148*AG$71+B148*AH$71+C148*AI$71+D148*AJ$71)+F148/100*$B$7*AL$71-$C$71</f>
        <v/>
      </c>
      <c r="M148" s="13">
        <f>$B$7*(A148*AN$71+B148*AO$71+C148*AP$71+D148*AQ$71)+F148/100*$B$7*AS$71-$C$71</f>
        <v/>
      </c>
      <c r="N148" s="13">
        <f>SUMPRODUCT($H$24:$M$24,H148:M148)</f>
        <v/>
      </c>
      <c r="O148" s="14">
        <f>SQRT(SUMPRODUCT($H$24:$M$24,(H148:M148-N148)^2))</f>
        <v/>
      </c>
      <c r="P148" s="13">
        <f>MIN(H148:M148)</f>
        <v/>
      </c>
      <c r="Q148" s="13">
        <f>MAX(H148:M148)</f>
        <v/>
      </c>
      <c r="R148" s="27">
        <f>IF(G148,SUMPRODUCT(($G$76:$G$1505)*($N$76:$N$1505&gt;=N148)*($O$76:$O$1505&lt;=O148))=1,FALSE)</f>
        <v/>
      </c>
      <c r="S148" s="16">
        <f>IF(R148,ABS((O148-$AC$76)/MAX(0.0001,$AC$77-$AC$76)-(N148-$AC$78)/MAX(0.0001,$AC$79-$AC$78)),-1)</f>
        <v/>
      </c>
      <c r="T148" s="14">
        <f>IF(G148,O148,NA())</f>
        <v/>
      </c>
      <c r="U148" s="13">
        <f>IF(G148,N148,NA())</f>
        <v/>
      </c>
      <c r="V148" s="14">
        <f>IF(R148,O148,NA())</f>
        <v/>
      </c>
      <c r="W148" s="13">
        <f>IF(R148,N148,NA())</f>
        <v/>
      </c>
      <c r="X148" s="27">
        <f>IF(G148,P148,"")</f>
        <v/>
      </c>
      <c r="Y148" s="27">
        <f>IF(G148,N148,"")</f>
        <v/>
      </c>
      <c r="Z148" s="27">
        <f>IF(R148,O148,"")</f>
        <v/>
      </c>
      <c r="AA148" s="27">
        <f>IF(R148,N148,"")</f>
        <v/>
      </c>
    </row>
    <row r="149">
      <c r="A149" s="31" t="n">
        <v>0</v>
      </c>
      <c r="B149" s="31" t="n">
        <v>0.1</v>
      </c>
      <c r="C149" s="31" t="n">
        <v>0.3</v>
      </c>
      <c r="D149" s="31" t="n">
        <v>0.6</v>
      </c>
      <c r="E149" s="27" t="inlineStr">
        <is>
          <t>1M 10%/2M 30%/3M 60%</t>
        </is>
      </c>
      <c r="F149" s="27" t="n">
        <v>75</v>
      </c>
      <c r="G149" s="27">
        <f>A149*$B$7&gt;=$B$9</f>
        <v/>
      </c>
      <c r="H149" s="13">
        <f>$B$7*(A149*E$71+B149*F$71+C149*G$71+D149*H$71)+F149/100*$B$7*J$71-$C$71</f>
        <v/>
      </c>
      <c r="I149" s="13">
        <f>$B$7*(A149*L$71+B149*M$71+C149*N$71+D149*O$71)+F149/100*$B$7*Q$71-$C$71</f>
        <v/>
      </c>
      <c r="J149" s="13">
        <f>$B$7*(A149*S$71+B149*T$71+C149*U$71+D149*V$71)+F149/100*$B$7*X$71-$C$71</f>
        <v/>
      </c>
      <c r="K149" s="13">
        <f>$B$7*(A149*Z$71+B149*AA$71+C149*AB$71+D149*AC$71)+F149/100*$B$7*AE$71-$C$71</f>
        <v/>
      </c>
      <c r="L149" s="13">
        <f>$B$7*(A149*AG$71+B149*AH$71+C149*AI$71+D149*AJ$71)+F149/100*$B$7*AL$71-$C$71</f>
        <v/>
      </c>
      <c r="M149" s="13">
        <f>$B$7*(A149*AN$71+B149*AO$71+C149*AP$71+D149*AQ$71)+F149/100*$B$7*AS$71-$C$71</f>
        <v/>
      </c>
      <c r="N149" s="13">
        <f>SUMPRODUCT($H$24:$M$24,H149:M149)</f>
        <v/>
      </c>
      <c r="O149" s="14">
        <f>SQRT(SUMPRODUCT($H$24:$M$24,(H149:M149-N149)^2))</f>
        <v/>
      </c>
      <c r="P149" s="13">
        <f>MIN(H149:M149)</f>
        <v/>
      </c>
      <c r="Q149" s="13">
        <f>MAX(H149:M149)</f>
        <v/>
      </c>
      <c r="R149" s="27">
        <f>IF(G149,SUMPRODUCT(($G$76:$G$1505)*($N$76:$N$1505&gt;=N149)*($O$76:$O$1505&lt;=O149))=1,FALSE)</f>
        <v/>
      </c>
      <c r="S149" s="16">
        <f>IF(R149,ABS((O149-$AC$76)/MAX(0.0001,$AC$77-$AC$76)-(N149-$AC$78)/MAX(0.0001,$AC$79-$AC$78)),-1)</f>
        <v/>
      </c>
      <c r="T149" s="14">
        <f>IF(G149,O149,NA())</f>
        <v/>
      </c>
      <c r="U149" s="13">
        <f>IF(G149,N149,NA())</f>
        <v/>
      </c>
      <c r="V149" s="14">
        <f>IF(R149,O149,NA())</f>
        <v/>
      </c>
      <c r="W149" s="13">
        <f>IF(R149,N149,NA())</f>
        <v/>
      </c>
      <c r="X149" s="27">
        <f>IF(G149,P149,"")</f>
        <v/>
      </c>
      <c r="Y149" s="27">
        <f>IF(G149,N149,"")</f>
        <v/>
      </c>
      <c r="Z149" s="27">
        <f>IF(R149,O149,"")</f>
        <v/>
      </c>
      <c r="AA149" s="27">
        <f>IF(R149,N149,"")</f>
        <v/>
      </c>
    </row>
    <row r="150">
      <c r="A150" s="31" t="n">
        <v>0</v>
      </c>
      <c r="B150" s="31" t="n">
        <v>0.1</v>
      </c>
      <c r="C150" s="31" t="n">
        <v>0.3</v>
      </c>
      <c r="D150" s="31" t="n">
        <v>0.6</v>
      </c>
      <c r="E150" s="27" t="inlineStr">
        <is>
          <t>1M 10%/2M 30%/3M 60%</t>
        </is>
      </c>
      <c r="F150" s="27" t="n">
        <v>100</v>
      </c>
      <c r="G150" s="27">
        <f>A150*$B$7&gt;=$B$9</f>
        <v/>
      </c>
      <c r="H150" s="13">
        <f>$B$7*(A150*E$71+B150*F$71+C150*G$71+D150*H$71)+F150/100*$B$7*J$71-$C$71</f>
        <v/>
      </c>
      <c r="I150" s="13">
        <f>$B$7*(A150*L$71+B150*M$71+C150*N$71+D150*O$71)+F150/100*$B$7*Q$71-$C$71</f>
        <v/>
      </c>
      <c r="J150" s="13">
        <f>$B$7*(A150*S$71+B150*T$71+C150*U$71+D150*V$71)+F150/100*$B$7*X$71-$C$71</f>
        <v/>
      </c>
      <c r="K150" s="13">
        <f>$B$7*(A150*Z$71+B150*AA$71+C150*AB$71+D150*AC$71)+F150/100*$B$7*AE$71-$C$71</f>
        <v/>
      </c>
      <c r="L150" s="13">
        <f>$B$7*(A150*AG$71+B150*AH$71+C150*AI$71+D150*AJ$71)+F150/100*$B$7*AL$71-$C$71</f>
        <v/>
      </c>
      <c r="M150" s="13">
        <f>$B$7*(A150*AN$71+B150*AO$71+C150*AP$71+D150*AQ$71)+F150/100*$B$7*AS$71-$C$71</f>
        <v/>
      </c>
      <c r="N150" s="13">
        <f>SUMPRODUCT($H$24:$M$24,H150:M150)</f>
        <v/>
      </c>
      <c r="O150" s="14">
        <f>SQRT(SUMPRODUCT($H$24:$M$24,(H150:M150-N150)^2))</f>
        <v/>
      </c>
      <c r="P150" s="13">
        <f>MIN(H150:M150)</f>
        <v/>
      </c>
      <c r="Q150" s="13">
        <f>MAX(H150:M150)</f>
        <v/>
      </c>
      <c r="R150" s="27">
        <f>IF(G150,SUMPRODUCT(($G$76:$G$1505)*($N$76:$N$1505&gt;=N150)*($O$76:$O$1505&lt;=O150))=1,FALSE)</f>
        <v/>
      </c>
      <c r="S150" s="16">
        <f>IF(R150,ABS((O150-$AC$76)/MAX(0.0001,$AC$77-$AC$76)-(N150-$AC$78)/MAX(0.0001,$AC$79-$AC$78)),-1)</f>
        <v/>
      </c>
      <c r="T150" s="14">
        <f>IF(G150,O150,NA())</f>
        <v/>
      </c>
      <c r="U150" s="13">
        <f>IF(G150,N150,NA())</f>
        <v/>
      </c>
      <c r="V150" s="14">
        <f>IF(R150,O150,NA())</f>
        <v/>
      </c>
      <c r="W150" s="13">
        <f>IF(R150,N150,NA())</f>
        <v/>
      </c>
      <c r="X150" s="27">
        <f>IF(G150,P150,"")</f>
        <v/>
      </c>
      <c r="Y150" s="27">
        <f>IF(G150,N150,"")</f>
        <v/>
      </c>
      <c r="Z150" s="27">
        <f>IF(R150,O150,"")</f>
        <v/>
      </c>
      <c r="AA150" s="27">
        <f>IF(R150,N150,"")</f>
        <v/>
      </c>
    </row>
    <row r="151">
      <c r="A151" s="31" t="n">
        <v>0</v>
      </c>
      <c r="B151" s="31" t="n">
        <v>0.1</v>
      </c>
      <c r="C151" s="31" t="n">
        <v>0.4</v>
      </c>
      <c r="D151" s="31" t="n">
        <v>0.5</v>
      </c>
      <c r="E151" s="27" t="inlineStr">
        <is>
          <t>1M 10%/2M 40%/3M 50%</t>
        </is>
      </c>
      <c r="F151" s="27" t="n">
        <v>0</v>
      </c>
      <c r="G151" s="27">
        <f>A151*$B$7&gt;=$B$9</f>
        <v/>
      </c>
      <c r="H151" s="13">
        <f>$B$7*(A151*E$71+B151*F$71+C151*G$71+D151*H$71)+F151/100*$B$7*J$71-$C$71</f>
        <v/>
      </c>
      <c r="I151" s="13">
        <f>$B$7*(A151*L$71+B151*M$71+C151*N$71+D151*O$71)+F151/100*$B$7*Q$71-$C$71</f>
        <v/>
      </c>
      <c r="J151" s="13">
        <f>$B$7*(A151*S$71+B151*T$71+C151*U$71+D151*V$71)+F151/100*$B$7*X$71-$C$71</f>
        <v/>
      </c>
      <c r="K151" s="13">
        <f>$B$7*(A151*Z$71+B151*AA$71+C151*AB$71+D151*AC$71)+F151/100*$B$7*AE$71-$C$71</f>
        <v/>
      </c>
      <c r="L151" s="13">
        <f>$B$7*(A151*AG$71+B151*AH$71+C151*AI$71+D151*AJ$71)+F151/100*$B$7*AL$71-$C$71</f>
        <v/>
      </c>
      <c r="M151" s="13">
        <f>$B$7*(A151*AN$71+B151*AO$71+C151*AP$71+D151*AQ$71)+F151/100*$B$7*AS$71-$C$71</f>
        <v/>
      </c>
      <c r="N151" s="13">
        <f>SUMPRODUCT($H$24:$M$24,H151:M151)</f>
        <v/>
      </c>
      <c r="O151" s="14">
        <f>SQRT(SUMPRODUCT($H$24:$M$24,(H151:M151-N151)^2))</f>
        <v/>
      </c>
      <c r="P151" s="13">
        <f>MIN(H151:M151)</f>
        <v/>
      </c>
      <c r="Q151" s="13">
        <f>MAX(H151:M151)</f>
        <v/>
      </c>
      <c r="R151" s="27">
        <f>IF(G151,SUMPRODUCT(($G$76:$G$1505)*($N$76:$N$1505&gt;=N151)*($O$76:$O$1505&lt;=O151))=1,FALSE)</f>
        <v/>
      </c>
      <c r="S151" s="16">
        <f>IF(R151,ABS((O151-$AC$76)/MAX(0.0001,$AC$77-$AC$76)-(N151-$AC$78)/MAX(0.0001,$AC$79-$AC$78)),-1)</f>
        <v/>
      </c>
      <c r="T151" s="14">
        <f>IF(G151,O151,NA())</f>
        <v/>
      </c>
      <c r="U151" s="13">
        <f>IF(G151,N151,NA())</f>
        <v/>
      </c>
      <c r="V151" s="14">
        <f>IF(R151,O151,NA())</f>
        <v/>
      </c>
      <c r="W151" s="13">
        <f>IF(R151,N151,NA())</f>
        <v/>
      </c>
      <c r="X151" s="27">
        <f>IF(G151,P151,"")</f>
        <v/>
      </c>
      <c r="Y151" s="27">
        <f>IF(G151,N151,"")</f>
        <v/>
      </c>
      <c r="Z151" s="27">
        <f>IF(R151,O151,"")</f>
        <v/>
      </c>
      <c r="AA151" s="27">
        <f>IF(R151,N151,"")</f>
        <v/>
      </c>
    </row>
    <row r="152">
      <c r="A152" s="31" t="n">
        <v>0</v>
      </c>
      <c r="B152" s="31" t="n">
        <v>0.1</v>
      </c>
      <c r="C152" s="31" t="n">
        <v>0.4</v>
      </c>
      <c r="D152" s="31" t="n">
        <v>0.5</v>
      </c>
      <c r="E152" s="27" t="inlineStr">
        <is>
          <t>1M 10%/2M 40%/3M 50%</t>
        </is>
      </c>
      <c r="F152" s="27" t="n">
        <v>25</v>
      </c>
      <c r="G152" s="27">
        <f>A152*$B$7&gt;=$B$9</f>
        <v/>
      </c>
      <c r="H152" s="13">
        <f>$B$7*(A152*E$71+B152*F$71+C152*G$71+D152*H$71)+F152/100*$B$7*J$71-$C$71</f>
        <v/>
      </c>
      <c r="I152" s="13">
        <f>$B$7*(A152*L$71+B152*M$71+C152*N$71+D152*O$71)+F152/100*$B$7*Q$71-$C$71</f>
        <v/>
      </c>
      <c r="J152" s="13">
        <f>$B$7*(A152*S$71+B152*T$71+C152*U$71+D152*V$71)+F152/100*$B$7*X$71-$C$71</f>
        <v/>
      </c>
      <c r="K152" s="13">
        <f>$B$7*(A152*Z$71+B152*AA$71+C152*AB$71+D152*AC$71)+F152/100*$B$7*AE$71-$C$71</f>
        <v/>
      </c>
      <c r="L152" s="13">
        <f>$B$7*(A152*AG$71+B152*AH$71+C152*AI$71+D152*AJ$71)+F152/100*$B$7*AL$71-$C$71</f>
        <v/>
      </c>
      <c r="M152" s="13">
        <f>$B$7*(A152*AN$71+B152*AO$71+C152*AP$71+D152*AQ$71)+F152/100*$B$7*AS$71-$C$71</f>
        <v/>
      </c>
      <c r="N152" s="13">
        <f>SUMPRODUCT($H$24:$M$24,H152:M152)</f>
        <v/>
      </c>
      <c r="O152" s="14">
        <f>SQRT(SUMPRODUCT($H$24:$M$24,(H152:M152-N152)^2))</f>
        <v/>
      </c>
      <c r="P152" s="13">
        <f>MIN(H152:M152)</f>
        <v/>
      </c>
      <c r="Q152" s="13">
        <f>MAX(H152:M152)</f>
        <v/>
      </c>
      <c r="R152" s="27">
        <f>IF(G152,SUMPRODUCT(($G$76:$G$1505)*($N$76:$N$1505&gt;=N152)*($O$76:$O$1505&lt;=O152))=1,FALSE)</f>
        <v/>
      </c>
      <c r="S152" s="16">
        <f>IF(R152,ABS((O152-$AC$76)/MAX(0.0001,$AC$77-$AC$76)-(N152-$AC$78)/MAX(0.0001,$AC$79-$AC$78)),-1)</f>
        <v/>
      </c>
      <c r="T152" s="14">
        <f>IF(G152,O152,NA())</f>
        <v/>
      </c>
      <c r="U152" s="13">
        <f>IF(G152,N152,NA())</f>
        <v/>
      </c>
      <c r="V152" s="14">
        <f>IF(R152,O152,NA())</f>
        <v/>
      </c>
      <c r="W152" s="13">
        <f>IF(R152,N152,NA())</f>
        <v/>
      </c>
      <c r="X152" s="27">
        <f>IF(G152,P152,"")</f>
        <v/>
      </c>
      <c r="Y152" s="27">
        <f>IF(G152,N152,"")</f>
        <v/>
      </c>
      <c r="Z152" s="27">
        <f>IF(R152,O152,"")</f>
        <v/>
      </c>
      <c r="AA152" s="27">
        <f>IF(R152,N152,"")</f>
        <v/>
      </c>
    </row>
    <row r="153">
      <c r="A153" s="31" t="n">
        <v>0</v>
      </c>
      <c r="B153" s="31" t="n">
        <v>0.1</v>
      </c>
      <c r="C153" s="31" t="n">
        <v>0.4</v>
      </c>
      <c r="D153" s="31" t="n">
        <v>0.5</v>
      </c>
      <c r="E153" s="27" t="inlineStr">
        <is>
          <t>1M 10%/2M 40%/3M 50%</t>
        </is>
      </c>
      <c r="F153" s="27" t="n">
        <v>50</v>
      </c>
      <c r="G153" s="27">
        <f>A153*$B$7&gt;=$B$9</f>
        <v/>
      </c>
      <c r="H153" s="13">
        <f>$B$7*(A153*E$71+B153*F$71+C153*G$71+D153*H$71)+F153/100*$B$7*J$71-$C$71</f>
        <v/>
      </c>
      <c r="I153" s="13">
        <f>$B$7*(A153*L$71+B153*M$71+C153*N$71+D153*O$71)+F153/100*$B$7*Q$71-$C$71</f>
        <v/>
      </c>
      <c r="J153" s="13">
        <f>$B$7*(A153*S$71+B153*T$71+C153*U$71+D153*V$71)+F153/100*$B$7*X$71-$C$71</f>
        <v/>
      </c>
      <c r="K153" s="13">
        <f>$B$7*(A153*Z$71+B153*AA$71+C153*AB$71+D153*AC$71)+F153/100*$B$7*AE$71-$C$71</f>
        <v/>
      </c>
      <c r="L153" s="13">
        <f>$B$7*(A153*AG$71+B153*AH$71+C153*AI$71+D153*AJ$71)+F153/100*$B$7*AL$71-$C$71</f>
        <v/>
      </c>
      <c r="M153" s="13">
        <f>$B$7*(A153*AN$71+B153*AO$71+C153*AP$71+D153*AQ$71)+F153/100*$B$7*AS$71-$C$71</f>
        <v/>
      </c>
      <c r="N153" s="13">
        <f>SUMPRODUCT($H$24:$M$24,H153:M153)</f>
        <v/>
      </c>
      <c r="O153" s="14">
        <f>SQRT(SUMPRODUCT($H$24:$M$24,(H153:M153-N153)^2))</f>
        <v/>
      </c>
      <c r="P153" s="13">
        <f>MIN(H153:M153)</f>
        <v/>
      </c>
      <c r="Q153" s="13">
        <f>MAX(H153:M153)</f>
        <v/>
      </c>
      <c r="R153" s="27">
        <f>IF(G153,SUMPRODUCT(($G$76:$G$1505)*($N$76:$N$1505&gt;=N153)*($O$76:$O$1505&lt;=O153))=1,FALSE)</f>
        <v/>
      </c>
      <c r="S153" s="16">
        <f>IF(R153,ABS((O153-$AC$76)/MAX(0.0001,$AC$77-$AC$76)-(N153-$AC$78)/MAX(0.0001,$AC$79-$AC$78)),-1)</f>
        <v/>
      </c>
      <c r="T153" s="14">
        <f>IF(G153,O153,NA())</f>
        <v/>
      </c>
      <c r="U153" s="13">
        <f>IF(G153,N153,NA())</f>
        <v/>
      </c>
      <c r="V153" s="14">
        <f>IF(R153,O153,NA())</f>
        <v/>
      </c>
      <c r="W153" s="13">
        <f>IF(R153,N153,NA())</f>
        <v/>
      </c>
      <c r="X153" s="27">
        <f>IF(G153,P153,"")</f>
        <v/>
      </c>
      <c r="Y153" s="27">
        <f>IF(G153,N153,"")</f>
        <v/>
      </c>
      <c r="Z153" s="27">
        <f>IF(R153,O153,"")</f>
        <v/>
      </c>
      <c r="AA153" s="27">
        <f>IF(R153,N153,"")</f>
        <v/>
      </c>
    </row>
    <row r="154">
      <c r="A154" s="31" t="n">
        <v>0</v>
      </c>
      <c r="B154" s="31" t="n">
        <v>0.1</v>
      </c>
      <c r="C154" s="31" t="n">
        <v>0.4</v>
      </c>
      <c r="D154" s="31" t="n">
        <v>0.5</v>
      </c>
      <c r="E154" s="27" t="inlineStr">
        <is>
          <t>1M 10%/2M 40%/3M 50%</t>
        </is>
      </c>
      <c r="F154" s="27" t="n">
        <v>75</v>
      </c>
      <c r="G154" s="27">
        <f>A154*$B$7&gt;=$B$9</f>
        <v/>
      </c>
      <c r="H154" s="13">
        <f>$B$7*(A154*E$71+B154*F$71+C154*G$71+D154*H$71)+F154/100*$B$7*J$71-$C$71</f>
        <v/>
      </c>
      <c r="I154" s="13">
        <f>$B$7*(A154*L$71+B154*M$71+C154*N$71+D154*O$71)+F154/100*$B$7*Q$71-$C$71</f>
        <v/>
      </c>
      <c r="J154" s="13">
        <f>$B$7*(A154*S$71+B154*T$71+C154*U$71+D154*V$71)+F154/100*$B$7*X$71-$C$71</f>
        <v/>
      </c>
      <c r="K154" s="13">
        <f>$B$7*(A154*Z$71+B154*AA$71+C154*AB$71+D154*AC$71)+F154/100*$B$7*AE$71-$C$71</f>
        <v/>
      </c>
      <c r="L154" s="13">
        <f>$B$7*(A154*AG$71+B154*AH$71+C154*AI$71+D154*AJ$71)+F154/100*$B$7*AL$71-$C$71</f>
        <v/>
      </c>
      <c r="M154" s="13">
        <f>$B$7*(A154*AN$71+B154*AO$71+C154*AP$71+D154*AQ$71)+F154/100*$B$7*AS$71-$C$71</f>
        <v/>
      </c>
      <c r="N154" s="13">
        <f>SUMPRODUCT($H$24:$M$24,H154:M154)</f>
        <v/>
      </c>
      <c r="O154" s="14">
        <f>SQRT(SUMPRODUCT($H$24:$M$24,(H154:M154-N154)^2))</f>
        <v/>
      </c>
      <c r="P154" s="13">
        <f>MIN(H154:M154)</f>
        <v/>
      </c>
      <c r="Q154" s="13">
        <f>MAX(H154:M154)</f>
        <v/>
      </c>
      <c r="R154" s="27">
        <f>IF(G154,SUMPRODUCT(($G$76:$G$1505)*($N$76:$N$1505&gt;=N154)*($O$76:$O$1505&lt;=O154))=1,FALSE)</f>
        <v/>
      </c>
      <c r="S154" s="16">
        <f>IF(R154,ABS((O154-$AC$76)/MAX(0.0001,$AC$77-$AC$76)-(N154-$AC$78)/MAX(0.0001,$AC$79-$AC$78)),-1)</f>
        <v/>
      </c>
      <c r="T154" s="14">
        <f>IF(G154,O154,NA())</f>
        <v/>
      </c>
      <c r="U154" s="13">
        <f>IF(G154,N154,NA())</f>
        <v/>
      </c>
      <c r="V154" s="14">
        <f>IF(R154,O154,NA())</f>
        <v/>
      </c>
      <c r="W154" s="13">
        <f>IF(R154,N154,NA())</f>
        <v/>
      </c>
      <c r="X154" s="27">
        <f>IF(G154,P154,"")</f>
        <v/>
      </c>
      <c r="Y154" s="27">
        <f>IF(G154,N154,"")</f>
        <v/>
      </c>
      <c r="Z154" s="27">
        <f>IF(R154,O154,"")</f>
        <v/>
      </c>
      <c r="AA154" s="27">
        <f>IF(R154,N154,"")</f>
        <v/>
      </c>
    </row>
    <row r="155">
      <c r="A155" s="31" t="n">
        <v>0</v>
      </c>
      <c r="B155" s="31" t="n">
        <v>0.1</v>
      </c>
      <c r="C155" s="31" t="n">
        <v>0.4</v>
      </c>
      <c r="D155" s="31" t="n">
        <v>0.5</v>
      </c>
      <c r="E155" s="27" t="inlineStr">
        <is>
          <t>1M 10%/2M 40%/3M 50%</t>
        </is>
      </c>
      <c r="F155" s="27" t="n">
        <v>100</v>
      </c>
      <c r="G155" s="27">
        <f>A155*$B$7&gt;=$B$9</f>
        <v/>
      </c>
      <c r="H155" s="13">
        <f>$B$7*(A155*E$71+B155*F$71+C155*G$71+D155*H$71)+F155/100*$B$7*J$71-$C$71</f>
        <v/>
      </c>
      <c r="I155" s="13">
        <f>$B$7*(A155*L$71+B155*M$71+C155*N$71+D155*O$71)+F155/100*$B$7*Q$71-$C$71</f>
        <v/>
      </c>
      <c r="J155" s="13">
        <f>$B$7*(A155*S$71+B155*T$71+C155*U$71+D155*V$71)+F155/100*$B$7*X$71-$C$71</f>
        <v/>
      </c>
      <c r="K155" s="13">
        <f>$B$7*(A155*Z$71+B155*AA$71+C155*AB$71+D155*AC$71)+F155/100*$B$7*AE$71-$C$71</f>
        <v/>
      </c>
      <c r="L155" s="13">
        <f>$B$7*(A155*AG$71+B155*AH$71+C155*AI$71+D155*AJ$71)+F155/100*$B$7*AL$71-$C$71</f>
        <v/>
      </c>
      <c r="M155" s="13">
        <f>$B$7*(A155*AN$71+B155*AO$71+C155*AP$71+D155*AQ$71)+F155/100*$B$7*AS$71-$C$71</f>
        <v/>
      </c>
      <c r="N155" s="13">
        <f>SUMPRODUCT($H$24:$M$24,H155:M155)</f>
        <v/>
      </c>
      <c r="O155" s="14">
        <f>SQRT(SUMPRODUCT($H$24:$M$24,(H155:M155-N155)^2))</f>
        <v/>
      </c>
      <c r="P155" s="13">
        <f>MIN(H155:M155)</f>
        <v/>
      </c>
      <c r="Q155" s="13">
        <f>MAX(H155:M155)</f>
        <v/>
      </c>
      <c r="R155" s="27">
        <f>IF(G155,SUMPRODUCT(($G$76:$G$1505)*($N$76:$N$1505&gt;=N155)*($O$76:$O$1505&lt;=O155))=1,FALSE)</f>
        <v/>
      </c>
      <c r="S155" s="16">
        <f>IF(R155,ABS((O155-$AC$76)/MAX(0.0001,$AC$77-$AC$76)-(N155-$AC$78)/MAX(0.0001,$AC$79-$AC$78)),-1)</f>
        <v/>
      </c>
      <c r="T155" s="14">
        <f>IF(G155,O155,NA())</f>
        <v/>
      </c>
      <c r="U155" s="13">
        <f>IF(G155,N155,NA())</f>
        <v/>
      </c>
      <c r="V155" s="14">
        <f>IF(R155,O155,NA())</f>
        <v/>
      </c>
      <c r="W155" s="13">
        <f>IF(R155,N155,NA())</f>
        <v/>
      </c>
      <c r="X155" s="27">
        <f>IF(G155,P155,"")</f>
        <v/>
      </c>
      <c r="Y155" s="27">
        <f>IF(G155,N155,"")</f>
        <v/>
      </c>
      <c r="Z155" s="27">
        <f>IF(R155,O155,"")</f>
        <v/>
      </c>
      <c r="AA155" s="27">
        <f>IF(R155,N155,"")</f>
        <v/>
      </c>
    </row>
    <row r="156">
      <c r="A156" s="31" t="n">
        <v>0</v>
      </c>
      <c r="B156" s="31" t="n">
        <v>0.1</v>
      </c>
      <c r="C156" s="31" t="n">
        <v>0.5</v>
      </c>
      <c r="D156" s="31" t="n">
        <v>0.4</v>
      </c>
      <c r="E156" s="27" t="inlineStr">
        <is>
          <t>1M 10%/2M 50%/3M 40%</t>
        </is>
      </c>
      <c r="F156" s="27" t="n">
        <v>0</v>
      </c>
      <c r="G156" s="27">
        <f>A156*$B$7&gt;=$B$9</f>
        <v/>
      </c>
      <c r="H156" s="13">
        <f>$B$7*(A156*E$71+B156*F$71+C156*G$71+D156*H$71)+F156/100*$B$7*J$71-$C$71</f>
        <v/>
      </c>
      <c r="I156" s="13">
        <f>$B$7*(A156*L$71+B156*M$71+C156*N$71+D156*O$71)+F156/100*$B$7*Q$71-$C$71</f>
        <v/>
      </c>
      <c r="J156" s="13">
        <f>$B$7*(A156*S$71+B156*T$71+C156*U$71+D156*V$71)+F156/100*$B$7*X$71-$C$71</f>
        <v/>
      </c>
      <c r="K156" s="13">
        <f>$B$7*(A156*Z$71+B156*AA$71+C156*AB$71+D156*AC$71)+F156/100*$B$7*AE$71-$C$71</f>
        <v/>
      </c>
      <c r="L156" s="13">
        <f>$B$7*(A156*AG$71+B156*AH$71+C156*AI$71+D156*AJ$71)+F156/100*$B$7*AL$71-$C$71</f>
        <v/>
      </c>
      <c r="M156" s="13">
        <f>$B$7*(A156*AN$71+B156*AO$71+C156*AP$71+D156*AQ$71)+F156/100*$B$7*AS$71-$C$71</f>
        <v/>
      </c>
      <c r="N156" s="13">
        <f>SUMPRODUCT($H$24:$M$24,H156:M156)</f>
        <v/>
      </c>
      <c r="O156" s="14">
        <f>SQRT(SUMPRODUCT($H$24:$M$24,(H156:M156-N156)^2))</f>
        <v/>
      </c>
      <c r="P156" s="13">
        <f>MIN(H156:M156)</f>
        <v/>
      </c>
      <c r="Q156" s="13">
        <f>MAX(H156:M156)</f>
        <v/>
      </c>
      <c r="R156" s="27">
        <f>IF(G156,SUMPRODUCT(($G$76:$G$1505)*($N$76:$N$1505&gt;=N156)*($O$76:$O$1505&lt;=O156))=1,FALSE)</f>
        <v/>
      </c>
      <c r="S156" s="16">
        <f>IF(R156,ABS((O156-$AC$76)/MAX(0.0001,$AC$77-$AC$76)-(N156-$AC$78)/MAX(0.0001,$AC$79-$AC$78)),-1)</f>
        <v/>
      </c>
      <c r="T156" s="14">
        <f>IF(G156,O156,NA())</f>
        <v/>
      </c>
      <c r="U156" s="13">
        <f>IF(G156,N156,NA())</f>
        <v/>
      </c>
      <c r="V156" s="14">
        <f>IF(R156,O156,NA())</f>
        <v/>
      </c>
      <c r="W156" s="13">
        <f>IF(R156,N156,NA())</f>
        <v/>
      </c>
      <c r="X156" s="27">
        <f>IF(G156,P156,"")</f>
        <v/>
      </c>
      <c r="Y156" s="27">
        <f>IF(G156,N156,"")</f>
        <v/>
      </c>
      <c r="Z156" s="27">
        <f>IF(R156,O156,"")</f>
        <v/>
      </c>
      <c r="AA156" s="27">
        <f>IF(R156,N156,"")</f>
        <v/>
      </c>
    </row>
    <row r="157">
      <c r="A157" s="31" t="n">
        <v>0</v>
      </c>
      <c r="B157" s="31" t="n">
        <v>0.1</v>
      </c>
      <c r="C157" s="31" t="n">
        <v>0.5</v>
      </c>
      <c r="D157" s="31" t="n">
        <v>0.4</v>
      </c>
      <c r="E157" s="27" t="inlineStr">
        <is>
          <t>1M 10%/2M 50%/3M 40%</t>
        </is>
      </c>
      <c r="F157" s="27" t="n">
        <v>25</v>
      </c>
      <c r="G157" s="27">
        <f>A157*$B$7&gt;=$B$9</f>
        <v/>
      </c>
      <c r="H157" s="13">
        <f>$B$7*(A157*E$71+B157*F$71+C157*G$71+D157*H$71)+F157/100*$B$7*J$71-$C$71</f>
        <v/>
      </c>
      <c r="I157" s="13">
        <f>$B$7*(A157*L$71+B157*M$71+C157*N$71+D157*O$71)+F157/100*$B$7*Q$71-$C$71</f>
        <v/>
      </c>
      <c r="J157" s="13">
        <f>$B$7*(A157*S$71+B157*T$71+C157*U$71+D157*V$71)+F157/100*$B$7*X$71-$C$71</f>
        <v/>
      </c>
      <c r="K157" s="13">
        <f>$B$7*(A157*Z$71+B157*AA$71+C157*AB$71+D157*AC$71)+F157/100*$B$7*AE$71-$C$71</f>
        <v/>
      </c>
      <c r="L157" s="13">
        <f>$B$7*(A157*AG$71+B157*AH$71+C157*AI$71+D157*AJ$71)+F157/100*$B$7*AL$71-$C$71</f>
        <v/>
      </c>
      <c r="M157" s="13">
        <f>$B$7*(A157*AN$71+B157*AO$71+C157*AP$71+D157*AQ$71)+F157/100*$B$7*AS$71-$C$71</f>
        <v/>
      </c>
      <c r="N157" s="13">
        <f>SUMPRODUCT($H$24:$M$24,H157:M157)</f>
        <v/>
      </c>
      <c r="O157" s="14">
        <f>SQRT(SUMPRODUCT($H$24:$M$24,(H157:M157-N157)^2))</f>
        <v/>
      </c>
      <c r="P157" s="13">
        <f>MIN(H157:M157)</f>
        <v/>
      </c>
      <c r="Q157" s="13">
        <f>MAX(H157:M157)</f>
        <v/>
      </c>
      <c r="R157" s="27">
        <f>IF(G157,SUMPRODUCT(($G$76:$G$1505)*($N$76:$N$1505&gt;=N157)*($O$76:$O$1505&lt;=O157))=1,FALSE)</f>
        <v/>
      </c>
      <c r="S157" s="16">
        <f>IF(R157,ABS((O157-$AC$76)/MAX(0.0001,$AC$77-$AC$76)-(N157-$AC$78)/MAX(0.0001,$AC$79-$AC$78)),-1)</f>
        <v/>
      </c>
      <c r="T157" s="14">
        <f>IF(G157,O157,NA())</f>
        <v/>
      </c>
      <c r="U157" s="13">
        <f>IF(G157,N157,NA())</f>
        <v/>
      </c>
      <c r="V157" s="14">
        <f>IF(R157,O157,NA())</f>
        <v/>
      </c>
      <c r="W157" s="13">
        <f>IF(R157,N157,NA())</f>
        <v/>
      </c>
      <c r="X157" s="27">
        <f>IF(G157,P157,"")</f>
        <v/>
      </c>
      <c r="Y157" s="27">
        <f>IF(G157,N157,"")</f>
        <v/>
      </c>
      <c r="Z157" s="27">
        <f>IF(R157,O157,"")</f>
        <v/>
      </c>
      <c r="AA157" s="27">
        <f>IF(R157,N157,"")</f>
        <v/>
      </c>
    </row>
    <row r="158">
      <c r="A158" s="31" t="n">
        <v>0</v>
      </c>
      <c r="B158" s="31" t="n">
        <v>0.1</v>
      </c>
      <c r="C158" s="31" t="n">
        <v>0.5</v>
      </c>
      <c r="D158" s="31" t="n">
        <v>0.4</v>
      </c>
      <c r="E158" s="27" t="inlineStr">
        <is>
          <t>1M 10%/2M 50%/3M 40%</t>
        </is>
      </c>
      <c r="F158" s="27" t="n">
        <v>50</v>
      </c>
      <c r="G158" s="27">
        <f>A158*$B$7&gt;=$B$9</f>
        <v/>
      </c>
      <c r="H158" s="13">
        <f>$B$7*(A158*E$71+B158*F$71+C158*G$71+D158*H$71)+F158/100*$B$7*J$71-$C$71</f>
        <v/>
      </c>
      <c r="I158" s="13">
        <f>$B$7*(A158*L$71+B158*M$71+C158*N$71+D158*O$71)+F158/100*$B$7*Q$71-$C$71</f>
        <v/>
      </c>
      <c r="J158" s="13">
        <f>$B$7*(A158*S$71+B158*T$71+C158*U$71+D158*V$71)+F158/100*$B$7*X$71-$C$71</f>
        <v/>
      </c>
      <c r="K158" s="13">
        <f>$B$7*(A158*Z$71+B158*AA$71+C158*AB$71+D158*AC$71)+F158/100*$B$7*AE$71-$C$71</f>
        <v/>
      </c>
      <c r="L158" s="13">
        <f>$B$7*(A158*AG$71+B158*AH$71+C158*AI$71+D158*AJ$71)+F158/100*$B$7*AL$71-$C$71</f>
        <v/>
      </c>
      <c r="M158" s="13">
        <f>$B$7*(A158*AN$71+B158*AO$71+C158*AP$71+D158*AQ$71)+F158/100*$B$7*AS$71-$C$71</f>
        <v/>
      </c>
      <c r="N158" s="13">
        <f>SUMPRODUCT($H$24:$M$24,H158:M158)</f>
        <v/>
      </c>
      <c r="O158" s="14">
        <f>SQRT(SUMPRODUCT($H$24:$M$24,(H158:M158-N158)^2))</f>
        <v/>
      </c>
      <c r="P158" s="13">
        <f>MIN(H158:M158)</f>
        <v/>
      </c>
      <c r="Q158" s="13">
        <f>MAX(H158:M158)</f>
        <v/>
      </c>
      <c r="R158" s="27">
        <f>IF(G158,SUMPRODUCT(($G$76:$G$1505)*($N$76:$N$1505&gt;=N158)*($O$76:$O$1505&lt;=O158))=1,FALSE)</f>
        <v/>
      </c>
      <c r="S158" s="16">
        <f>IF(R158,ABS((O158-$AC$76)/MAX(0.0001,$AC$77-$AC$76)-(N158-$AC$78)/MAX(0.0001,$AC$79-$AC$78)),-1)</f>
        <v/>
      </c>
      <c r="T158" s="14">
        <f>IF(G158,O158,NA())</f>
        <v/>
      </c>
      <c r="U158" s="13">
        <f>IF(G158,N158,NA())</f>
        <v/>
      </c>
      <c r="V158" s="14">
        <f>IF(R158,O158,NA())</f>
        <v/>
      </c>
      <c r="W158" s="13">
        <f>IF(R158,N158,NA())</f>
        <v/>
      </c>
      <c r="X158" s="27">
        <f>IF(G158,P158,"")</f>
        <v/>
      </c>
      <c r="Y158" s="27">
        <f>IF(G158,N158,"")</f>
        <v/>
      </c>
      <c r="Z158" s="27">
        <f>IF(R158,O158,"")</f>
        <v/>
      </c>
      <c r="AA158" s="27">
        <f>IF(R158,N158,"")</f>
        <v/>
      </c>
    </row>
    <row r="159">
      <c r="A159" s="31" t="n">
        <v>0</v>
      </c>
      <c r="B159" s="31" t="n">
        <v>0.1</v>
      </c>
      <c r="C159" s="31" t="n">
        <v>0.5</v>
      </c>
      <c r="D159" s="31" t="n">
        <v>0.4</v>
      </c>
      <c r="E159" s="27" t="inlineStr">
        <is>
          <t>1M 10%/2M 50%/3M 40%</t>
        </is>
      </c>
      <c r="F159" s="27" t="n">
        <v>75</v>
      </c>
      <c r="G159" s="27">
        <f>A159*$B$7&gt;=$B$9</f>
        <v/>
      </c>
      <c r="H159" s="13">
        <f>$B$7*(A159*E$71+B159*F$71+C159*G$71+D159*H$71)+F159/100*$B$7*J$71-$C$71</f>
        <v/>
      </c>
      <c r="I159" s="13">
        <f>$B$7*(A159*L$71+B159*M$71+C159*N$71+D159*O$71)+F159/100*$B$7*Q$71-$C$71</f>
        <v/>
      </c>
      <c r="J159" s="13">
        <f>$B$7*(A159*S$71+B159*T$71+C159*U$71+D159*V$71)+F159/100*$B$7*X$71-$C$71</f>
        <v/>
      </c>
      <c r="K159" s="13">
        <f>$B$7*(A159*Z$71+B159*AA$71+C159*AB$71+D159*AC$71)+F159/100*$B$7*AE$71-$C$71</f>
        <v/>
      </c>
      <c r="L159" s="13">
        <f>$B$7*(A159*AG$71+B159*AH$71+C159*AI$71+D159*AJ$71)+F159/100*$B$7*AL$71-$C$71</f>
        <v/>
      </c>
      <c r="M159" s="13">
        <f>$B$7*(A159*AN$71+B159*AO$71+C159*AP$71+D159*AQ$71)+F159/100*$B$7*AS$71-$C$71</f>
        <v/>
      </c>
      <c r="N159" s="13">
        <f>SUMPRODUCT($H$24:$M$24,H159:M159)</f>
        <v/>
      </c>
      <c r="O159" s="14">
        <f>SQRT(SUMPRODUCT($H$24:$M$24,(H159:M159-N159)^2))</f>
        <v/>
      </c>
      <c r="P159" s="13">
        <f>MIN(H159:M159)</f>
        <v/>
      </c>
      <c r="Q159" s="13">
        <f>MAX(H159:M159)</f>
        <v/>
      </c>
      <c r="R159" s="27">
        <f>IF(G159,SUMPRODUCT(($G$76:$G$1505)*($N$76:$N$1505&gt;=N159)*($O$76:$O$1505&lt;=O159))=1,FALSE)</f>
        <v/>
      </c>
      <c r="S159" s="16">
        <f>IF(R159,ABS((O159-$AC$76)/MAX(0.0001,$AC$77-$AC$76)-(N159-$AC$78)/MAX(0.0001,$AC$79-$AC$78)),-1)</f>
        <v/>
      </c>
      <c r="T159" s="14">
        <f>IF(G159,O159,NA())</f>
        <v/>
      </c>
      <c r="U159" s="13">
        <f>IF(G159,N159,NA())</f>
        <v/>
      </c>
      <c r="V159" s="14">
        <f>IF(R159,O159,NA())</f>
        <v/>
      </c>
      <c r="W159" s="13">
        <f>IF(R159,N159,NA())</f>
        <v/>
      </c>
      <c r="X159" s="27">
        <f>IF(G159,P159,"")</f>
        <v/>
      </c>
      <c r="Y159" s="27">
        <f>IF(G159,N159,"")</f>
        <v/>
      </c>
      <c r="Z159" s="27">
        <f>IF(R159,O159,"")</f>
        <v/>
      </c>
      <c r="AA159" s="27">
        <f>IF(R159,N159,"")</f>
        <v/>
      </c>
    </row>
    <row r="160">
      <c r="A160" s="31" t="n">
        <v>0</v>
      </c>
      <c r="B160" s="31" t="n">
        <v>0.1</v>
      </c>
      <c r="C160" s="31" t="n">
        <v>0.5</v>
      </c>
      <c r="D160" s="31" t="n">
        <v>0.4</v>
      </c>
      <c r="E160" s="27" t="inlineStr">
        <is>
          <t>1M 10%/2M 50%/3M 40%</t>
        </is>
      </c>
      <c r="F160" s="27" t="n">
        <v>100</v>
      </c>
      <c r="G160" s="27">
        <f>A160*$B$7&gt;=$B$9</f>
        <v/>
      </c>
      <c r="H160" s="13">
        <f>$B$7*(A160*E$71+B160*F$71+C160*G$71+D160*H$71)+F160/100*$B$7*J$71-$C$71</f>
        <v/>
      </c>
      <c r="I160" s="13">
        <f>$B$7*(A160*L$71+B160*M$71+C160*N$71+D160*O$71)+F160/100*$B$7*Q$71-$C$71</f>
        <v/>
      </c>
      <c r="J160" s="13">
        <f>$B$7*(A160*S$71+B160*T$71+C160*U$71+D160*V$71)+F160/100*$B$7*X$71-$C$71</f>
        <v/>
      </c>
      <c r="K160" s="13">
        <f>$B$7*(A160*Z$71+B160*AA$71+C160*AB$71+D160*AC$71)+F160/100*$B$7*AE$71-$C$71</f>
        <v/>
      </c>
      <c r="L160" s="13">
        <f>$B$7*(A160*AG$71+B160*AH$71+C160*AI$71+D160*AJ$71)+F160/100*$B$7*AL$71-$C$71</f>
        <v/>
      </c>
      <c r="M160" s="13">
        <f>$B$7*(A160*AN$71+B160*AO$71+C160*AP$71+D160*AQ$71)+F160/100*$B$7*AS$71-$C$71</f>
        <v/>
      </c>
      <c r="N160" s="13">
        <f>SUMPRODUCT($H$24:$M$24,H160:M160)</f>
        <v/>
      </c>
      <c r="O160" s="14">
        <f>SQRT(SUMPRODUCT($H$24:$M$24,(H160:M160-N160)^2))</f>
        <v/>
      </c>
      <c r="P160" s="13">
        <f>MIN(H160:M160)</f>
        <v/>
      </c>
      <c r="Q160" s="13">
        <f>MAX(H160:M160)</f>
        <v/>
      </c>
      <c r="R160" s="27">
        <f>IF(G160,SUMPRODUCT(($G$76:$G$1505)*($N$76:$N$1505&gt;=N160)*($O$76:$O$1505&lt;=O160))=1,FALSE)</f>
        <v/>
      </c>
      <c r="S160" s="16">
        <f>IF(R160,ABS((O160-$AC$76)/MAX(0.0001,$AC$77-$AC$76)-(N160-$AC$78)/MAX(0.0001,$AC$79-$AC$78)),-1)</f>
        <v/>
      </c>
      <c r="T160" s="14">
        <f>IF(G160,O160,NA())</f>
        <v/>
      </c>
      <c r="U160" s="13">
        <f>IF(G160,N160,NA())</f>
        <v/>
      </c>
      <c r="V160" s="14">
        <f>IF(R160,O160,NA())</f>
        <v/>
      </c>
      <c r="W160" s="13">
        <f>IF(R160,N160,NA())</f>
        <v/>
      </c>
      <c r="X160" s="27">
        <f>IF(G160,P160,"")</f>
        <v/>
      </c>
      <c r="Y160" s="27">
        <f>IF(G160,N160,"")</f>
        <v/>
      </c>
      <c r="Z160" s="27">
        <f>IF(R160,O160,"")</f>
        <v/>
      </c>
      <c r="AA160" s="27">
        <f>IF(R160,N160,"")</f>
        <v/>
      </c>
    </row>
    <row r="161">
      <c r="A161" s="31" t="n">
        <v>0</v>
      </c>
      <c r="B161" s="31" t="n">
        <v>0.1</v>
      </c>
      <c r="C161" s="31" t="n">
        <v>0.6</v>
      </c>
      <c r="D161" s="31" t="n">
        <v>0.3</v>
      </c>
      <c r="E161" s="27" t="inlineStr">
        <is>
          <t>1M 10%/2M 60%/3M 30%</t>
        </is>
      </c>
      <c r="F161" s="27" t="n">
        <v>0</v>
      </c>
      <c r="G161" s="27">
        <f>A161*$B$7&gt;=$B$9</f>
        <v/>
      </c>
      <c r="H161" s="13">
        <f>$B$7*(A161*E$71+B161*F$71+C161*G$71+D161*H$71)+F161/100*$B$7*J$71-$C$71</f>
        <v/>
      </c>
      <c r="I161" s="13">
        <f>$B$7*(A161*L$71+B161*M$71+C161*N$71+D161*O$71)+F161/100*$B$7*Q$71-$C$71</f>
        <v/>
      </c>
      <c r="J161" s="13">
        <f>$B$7*(A161*S$71+B161*T$71+C161*U$71+D161*V$71)+F161/100*$B$7*X$71-$C$71</f>
        <v/>
      </c>
      <c r="K161" s="13">
        <f>$B$7*(A161*Z$71+B161*AA$71+C161*AB$71+D161*AC$71)+F161/100*$B$7*AE$71-$C$71</f>
        <v/>
      </c>
      <c r="L161" s="13">
        <f>$B$7*(A161*AG$71+B161*AH$71+C161*AI$71+D161*AJ$71)+F161/100*$B$7*AL$71-$C$71</f>
        <v/>
      </c>
      <c r="M161" s="13">
        <f>$B$7*(A161*AN$71+B161*AO$71+C161*AP$71+D161*AQ$71)+F161/100*$B$7*AS$71-$C$71</f>
        <v/>
      </c>
      <c r="N161" s="13">
        <f>SUMPRODUCT($H$24:$M$24,H161:M161)</f>
        <v/>
      </c>
      <c r="O161" s="14">
        <f>SQRT(SUMPRODUCT($H$24:$M$24,(H161:M161-N161)^2))</f>
        <v/>
      </c>
      <c r="P161" s="13">
        <f>MIN(H161:M161)</f>
        <v/>
      </c>
      <c r="Q161" s="13">
        <f>MAX(H161:M161)</f>
        <v/>
      </c>
      <c r="R161" s="27">
        <f>IF(G161,SUMPRODUCT(($G$76:$G$1505)*($N$76:$N$1505&gt;=N161)*($O$76:$O$1505&lt;=O161))=1,FALSE)</f>
        <v/>
      </c>
      <c r="S161" s="16">
        <f>IF(R161,ABS((O161-$AC$76)/MAX(0.0001,$AC$77-$AC$76)-(N161-$AC$78)/MAX(0.0001,$AC$79-$AC$78)),-1)</f>
        <v/>
      </c>
      <c r="T161" s="14">
        <f>IF(G161,O161,NA())</f>
        <v/>
      </c>
      <c r="U161" s="13">
        <f>IF(G161,N161,NA())</f>
        <v/>
      </c>
      <c r="V161" s="14">
        <f>IF(R161,O161,NA())</f>
        <v/>
      </c>
      <c r="W161" s="13">
        <f>IF(R161,N161,NA())</f>
        <v/>
      </c>
      <c r="X161" s="27">
        <f>IF(G161,P161,"")</f>
        <v/>
      </c>
      <c r="Y161" s="27">
        <f>IF(G161,N161,"")</f>
        <v/>
      </c>
      <c r="Z161" s="27">
        <f>IF(R161,O161,"")</f>
        <v/>
      </c>
      <c r="AA161" s="27">
        <f>IF(R161,N161,"")</f>
        <v/>
      </c>
    </row>
    <row r="162">
      <c r="A162" s="31" t="n">
        <v>0</v>
      </c>
      <c r="B162" s="31" t="n">
        <v>0.1</v>
      </c>
      <c r="C162" s="31" t="n">
        <v>0.6</v>
      </c>
      <c r="D162" s="31" t="n">
        <v>0.3</v>
      </c>
      <c r="E162" s="27" t="inlineStr">
        <is>
          <t>1M 10%/2M 60%/3M 30%</t>
        </is>
      </c>
      <c r="F162" s="27" t="n">
        <v>25</v>
      </c>
      <c r="G162" s="27">
        <f>A162*$B$7&gt;=$B$9</f>
        <v/>
      </c>
      <c r="H162" s="13">
        <f>$B$7*(A162*E$71+B162*F$71+C162*G$71+D162*H$71)+F162/100*$B$7*J$71-$C$71</f>
        <v/>
      </c>
      <c r="I162" s="13">
        <f>$B$7*(A162*L$71+B162*M$71+C162*N$71+D162*O$71)+F162/100*$B$7*Q$71-$C$71</f>
        <v/>
      </c>
      <c r="J162" s="13">
        <f>$B$7*(A162*S$71+B162*T$71+C162*U$71+D162*V$71)+F162/100*$B$7*X$71-$C$71</f>
        <v/>
      </c>
      <c r="K162" s="13">
        <f>$B$7*(A162*Z$71+B162*AA$71+C162*AB$71+D162*AC$71)+F162/100*$B$7*AE$71-$C$71</f>
        <v/>
      </c>
      <c r="L162" s="13">
        <f>$B$7*(A162*AG$71+B162*AH$71+C162*AI$71+D162*AJ$71)+F162/100*$B$7*AL$71-$C$71</f>
        <v/>
      </c>
      <c r="M162" s="13">
        <f>$B$7*(A162*AN$71+B162*AO$71+C162*AP$71+D162*AQ$71)+F162/100*$B$7*AS$71-$C$71</f>
        <v/>
      </c>
      <c r="N162" s="13">
        <f>SUMPRODUCT($H$24:$M$24,H162:M162)</f>
        <v/>
      </c>
      <c r="O162" s="14">
        <f>SQRT(SUMPRODUCT($H$24:$M$24,(H162:M162-N162)^2))</f>
        <v/>
      </c>
      <c r="P162" s="13">
        <f>MIN(H162:M162)</f>
        <v/>
      </c>
      <c r="Q162" s="13">
        <f>MAX(H162:M162)</f>
        <v/>
      </c>
      <c r="R162" s="27">
        <f>IF(G162,SUMPRODUCT(($G$76:$G$1505)*($N$76:$N$1505&gt;=N162)*($O$76:$O$1505&lt;=O162))=1,FALSE)</f>
        <v/>
      </c>
      <c r="S162" s="16">
        <f>IF(R162,ABS((O162-$AC$76)/MAX(0.0001,$AC$77-$AC$76)-(N162-$AC$78)/MAX(0.0001,$AC$79-$AC$78)),-1)</f>
        <v/>
      </c>
      <c r="T162" s="14">
        <f>IF(G162,O162,NA())</f>
        <v/>
      </c>
      <c r="U162" s="13">
        <f>IF(G162,N162,NA())</f>
        <v/>
      </c>
      <c r="V162" s="14">
        <f>IF(R162,O162,NA())</f>
        <v/>
      </c>
      <c r="W162" s="13">
        <f>IF(R162,N162,NA())</f>
        <v/>
      </c>
      <c r="X162" s="27">
        <f>IF(G162,P162,"")</f>
        <v/>
      </c>
      <c r="Y162" s="27">
        <f>IF(G162,N162,"")</f>
        <v/>
      </c>
      <c r="Z162" s="27">
        <f>IF(R162,O162,"")</f>
        <v/>
      </c>
      <c r="AA162" s="27">
        <f>IF(R162,N162,"")</f>
        <v/>
      </c>
    </row>
    <row r="163">
      <c r="A163" s="31" t="n">
        <v>0</v>
      </c>
      <c r="B163" s="31" t="n">
        <v>0.1</v>
      </c>
      <c r="C163" s="31" t="n">
        <v>0.6</v>
      </c>
      <c r="D163" s="31" t="n">
        <v>0.3</v>
      </c>
      <c r="E163" s="27" t="inlineStr">
        <is>
          <t>1M 10%/2M 60%/3M 30%</t>
        </is>
      </c>
      <c r="F163" s="27" t="n">
        <v>50</v>
      </c>
      <c r="G163" s="27">
        <f>A163*$B$7&gt;=$B$9</f>
        <v/>
      </c>
      <c r="H163" s="13">
        <f>$B$7*(A163*E$71+B163*F$71+C163*G$71+D163*H$71)+F163/100*$B$7*J$71-$C$71</f>
        <v/>
      </c>
      <c r="I163" s="13">
        <f>$B$7*(A163*L$71+B163*M$71+C163*N$71+D163*O$71)+F163/100*$B$7*Q$71-$C$71</f>
        <v/>
      </c>
      <c r="J163" s="13">
        <f>$B$7*(A163*S$71+B163*T$71+C163*U$71+D163*V$71)+F163/100*$B$7*X$71-$C$71</f>
        <v/>
      </c>
      <c r="K163" s="13">
        <f>$B$7*(A163*Z$71+B163*AA$71+C163*AB$71+D163*AC$71)+F163/100*$B$7*AE$71-$C$71</f>
        <v/>
      </c>
      <c r="L163" s="13">
        <f>$B$7*(A163*AG$71+B163*AH$71+C163*AI$71+D163*AJ$71)+F163/100*$B$7*AL$71-$C$71</f>
        <v/>
      </c>
      <c r="M163" s="13">
        <f>$B$7*(A163*AN$71+B163*AO$71+C163*AP$71+D163*AQ$71)+F163/100*$B$7*AS$71-$C$71</f>
        <v/>
      </c>
      <c r="N163" s="13">
        <f>SUMPRODUCT($H$24:$M$24,H163:M163)</f>
        <v/>
      </c>
      <c r="O163" s="14">
        <f>SQRT(SUMPRODUCT($H$24:$M$24,(H163:M163-N163)^2))</f>
        <v/>
      </c>
      <c r="P163" s="13">
        <f>MIN(H163:M163)</f>
        <v/>
      </c>
      <c r="Q163" s="13">
        <f>MAX(H163:M163)</f>
        <v/>
      </c>
      <c r="R163" s="27">
        <f>IF(G163,SUMPRODUCT(($G$76:$G$1505)*($N$76:$N$1505&gt;=N163)*($O$76:$O$1505&lt;=O163))=1,FALSE)</f>
        <v/>
      </c>
      <c r="S163" s="16">
        <f>IF(R163,ABS((O163-$AC$76)/MAX(0.0001,$AC$77-$AC$76)-(N163-$AC$78)/MAX(0.0001,$AC$79-$AC$78)),-1)</f>
        <v/>
      </c>
      <c r="T163" s="14">
        <f>IF(G163,O163,NA())</f>
        <v/>
      </c>
      <c r="U163" s="13">
        <f>IF(G163,N163,NA())</f>
        <v/>
      </c>
      <c r="V163" s="14">
        <f>IF(R163,O163,NA())</f>
        <v/>
      </c>
      <c r="W163" s="13">
        <f>IF(R163,N163,NA())</f>
        <v/>
      </c>
      <c r="X163" s="27">
        <f>IF(G163,P163,"")</f>
        <v/>
      </c>
      <c r="Y163" s="27">
        <f>IF(G163,N163,"")</f>
        <v/>
      </c>
      <c r="Z163" s="27">
        <f>IF(R163,O163,"")</f>
        <v/>
      </c>
      <c r="AA163" s="27">
        <f>IF(R163,N163,"")</f>
        <v/>
      </c>
    </row>
    <row r="164">
      <c r="A164" s="31" t="n">
        <v>0</v>
      </c>
      <c r="B164" s="31" t="n">
        <v>0.1</v>
      </c>
      <c r="C164" s="31" t="n">
        <v>0.6</v>
      </c>
      <c r="D164" s="31" t="n">
        <v>0.3</v>
      </c>
      <c r="E164" s="27" t="inlineStr">
        <is>
          <t>1M 10%/2M 60%/3M 30%</t>
        </is>
      </c>
      <c r="F164" s="27" t="n">
        <v>75</v>
      </c>
      <c r="G164" s="27">
        <f>A164*$B$7&gt;=$B$9</f>
        <v/>
      </c>
      <c r="H164" s="13">
        <f>$B$7*(A164*E$71+B164*F$71+C164*G$71+D164*H$71)+F164/100*$B$7*J$71-$C$71</f>
        <v/>
      </c>
      <c r="I164" s="13">
        <f>$B$7*(A164*L$71+B164*M$71+C164*N$71+D164*O$71)+F164/100*$B$7*Q$71-$C$71</f>
        <v/>
      </c>
      <c r="J164" s="13">
        <f>$B$7*(A164*S$71+B164*T$71+C164*U$71+D164*V$71)+F164/100*$B$7*X$71-$C$71</f>
        <v/>
      </c>
      <c r="K164" s="13">
        <f>$B$7*(A164*Z$71+B164*AA$71+C164*AB$71+D164*AC$71)+F164/100*$B$7*AE$71-$C$71</f>
        <v/>
      </c>
      <c r="L164" s="13">
        <f>$B$7*(A164*AG$71+B164*AH$71+C164*AI$71+D164*AJ$71)+F164/100*$B$7*AL$71-$C$71</f>
        <v/>
      </c>
      <c r="M164" s="13">
        <f>$B$7*(A164*AN$71+B164*AO$71+C164*AP$71+D164*AQ$71)+F164/100*$B$7*AS$71-$C$71</f>
        <v/>
      </c>
      <c r="N164" s="13">
        <f>SUMPRODUCT($H$24:$M$24,H164:M164)</f>
        <v/>
      </c>
      <c r="O164" s="14">
        <f>SQRT(SUMPRODUCT($H$24:$M$24,(H164:M164-N164)^2))</f>
        <v/>
      </c>
      <c r="P164" s="13">
        <f>MIN(H164:M164)</f>
        <v/>
      </c>
      <c r="Q164" s="13">
        <f>MAX(H164:M164)</f>
        <v/>
      </c>
      <c r="R164" s="27">
        <f>IF(G164,SUMPRODUCT(($G$76:$G$1505)*($N$76:$N$1505&gt;=N164)*($O$76:$O$1505&lt;=O164))=1,FALSE)</f>
        <v/>
      </c>
      <c r="S164" s="16">
        <f>IF(R164,ABS((O164-$AC$76)/MAX(0.0001,$AC$77-$AC$76)-(N164-$AC$78)/MAX(0.0001,$AC$79-$AC$78)),-1)</f>
        <v/>
      </c>
      <c r="T164" s="14">
        <f>IF(G164,O164,NA())</f>
        <v/>
      </c>
      <c r="U164" s="13">
        <f>IF(G164,N164,NA())</f>
        <v/>
      </c>
      <c r="V164" s="14">
        <f>IF(R164,O164,NA())</f>
        <v/>
      </c>
      <c r="W164" s="13">
        <f>IF(R164,N164,NA())</f>
        <v/>
      </c>
      <c r="X164" s="27">
        <f>IF(G164,P164,"")</f>
        <v/>
      </c>
      <c r="Y164" s="27">
        <f>IF(G164,N164,"")</f>
        <v/>
      </c>
      <c r="Z164" s="27">
        <f>IF(R164,O164,"")</f>
        <v/>
      </c>
      <c r="AA164" s="27">
        <f>IF(R164,N164,"")</f>
        <v/>
      </c>
    </row>
    <row r="165">
      <c r="A165" s="31" t="n">
        <v>0</v>
      </c>
      <c r="B165" s="31" t="n">
        <v>0.1</v>
      </c>
      <c r="C165" s="31" t="n">
        <v>0.6</v>
      </c>
      <c r="D165" s="31" t="n">
        <v>0.3</v>
      </c>
      <c r="E165" s="27" t="inlineStr">
        <is>
          <t>1M 10%/2M 60%/3M 30%</t>
        </is>
      </c>
      <c r="F165" s="27" t="n">
        <v>100</v>
      </c>
      <c r="G165" s="27">
        <f>A165*$B$7&gt;=$B$9</f>
        <v/>
      </c>
      <c r="H165" s="13">
        <f>$B$7*(A165*E$71+B165*F$71+C165*G$71+D165*H$71)+F165/100*$B$7*J$71-$C$71</f>
        <v/>
      </c>
      <c r="I165" s="13">
        <f>$B$7*(A165*L$71+B165*M$71+C165*N$71+D165*O$71)+F165/100*$B$7*Q$71-$C$71</f>
        <v/>
      </c>
      <c r="J165" s="13">
        <f>$B$7*(A165*S$71+B165*T$71+C165*U$71+D165*V$71)+F165/100*$B$7*X$71-$C$71</f>
        <v/>
      </c>
      <c r="K165" s="13">
        <f>$B$7*(A165*Z$71+B165*AA$71+C165*AB$71+D165*AC$71)+F165/100*$B$7*AE$71-$C$71</f>
        <v/>
      </c>
      <c r="L165" s="13">
        <f>$B$7*(A165*AG$71+B165*AH$71+C165*AI$71+D165*AJ$71)+F165/100*$B$7*AL$71-$C$71</f>
        <v/>
      </c>
      <c r="M165" s="13">
        <f>$B$7*(A165*AN$71+B165*AO$71+C165*AP$71+D165*AQ$71)+F165/100*$B$7*AS$71-$C$71</f>
        <v/>
      </c>
      <c r="N165" s="13">
        <f>SUMPRODUCT($H$24:$M$24,H165:M165)</f>
        <v/>
      </c>
      <c r="O165" s="14">
        <f>SQRT(SUMPRODUCT($H$24:$M$24,(H165:M165-N165)^2))</f>
        <v/>
      </c>
      <c r="P165" s="13">
        <f>MIN(H165:M165)</f>
        <v/>
      </c>
      <c r="Q165" s="13">
        <f>MAX(H165:M165)</f>
        <v/>
      </c>
      <c r="R165" s="27">
        <f>IF(G165,SUMPRODUCT(($G$76:$G$1505)*($N$76:$N$1505&gt;=N165)*($O$76:$O$1505&lt;=O165))=1,FALSE)</f>
        <v/>
      </c>
      <c r="S165" s="16">
        <f>IF(R165,ABS((O165-$AC$76)/MAX(0.0001,$AC$77-$AC$76)-(N165-$AC$78)/MAX(0.0001,$AC$79-$AC$78)),-1)</f>
        <v/>
      </c>
      <c r="T165" s="14">
        <f>IF(G165,O165,NA())</f>
        <v/>
      </c>
      <c r="U165" s="13">
        <f>IF(G165,N165,NA())</f>
        <v/>
      </c>
      <c r="V165" s="14">
        <f>IF(R165,O165,NA())</f>
        <v/>
      </c>
      <c r="W165" s="13">
        <f>IF(R165,N165,NA())</f>
        <v/>
      </c>
      <c r="X165" s="27">
        <f>IF(G165,P165,"")</f>
        <v/>
      </c>
      <c r="Y165" s="27">
        <f>IF(G165,N165,"")</f>
        <v/>
      </c>
      <c r="Z165" s="27">
        <f>IF(R165,O165,"")</f>
        <v/>
      </c>
      <c r="AA165" s="27">
        <f>IF(R165,N165,"")</f>
        <v/>
      </c>
    </row>
    <row r="166">
      <c r="A166" s="31" t="n">
        <v>0</v>
      </c>
      <c r="B166" s="31" t="n">
        <v>0.1</v>
      </c>
      <c r="C166" s="31" t="n">
        <v>0.7</v>
      </c>
      <c r="D166" s="31" t="n">
        <v>0.2</v>
      </c>
      <c r="E166" s="27" t="inlineStr">
        <is>
          <t>1M 10%/2M 70%/3M 20%</t>
        </is>
      </c>
      <c r="F166" s="27" t="n">
        <v>0</v>
      </c>
      <c r="G166" s="27">
        <f>A166*$B$7&gt;=$B$9</f>
        <v/>
      </c>
      <c r="H166" s="13">
        <f>$B$7*(A166*E$71+B166*F$71+C166*G$71+D166*H$71)+F166/100*$B$7*J$71-$C$71</f>
        <v/>
      </c>
      <c r="I166" s="13">
        <f>$B$7*(A166*L$71+B166*M$71+C166*N$71+D166*O$71)+F166/100*$B$7*Q$71-$C$71</f>
        <v/>
      </c>
      <c r="J166" s="13">
        <f>$B$7*(A166*S$71+B166*T$71+C166*U$71+D166*V$71)+F166/100*$B$7*X$71-$C$71</f>
        <v/>
      </c>
      <c r="K166" s="13">
        <f>$B$7*(A166*Z$71+B166*AA$71+C166*AB$71+D166*AC$71)+F166/100*$B$7*AE$71-$C$71</f>
        <v/>
      </c>
      <c r="L166" s="13">
        <f>$B$7*(A166*AG$71+B166*AH$71+C166*AI$71+D166*AJ$71)+F166/100*$B$7*AL$71-$C$71</f>
        <v/>
      </c>
      <c r="M166" s="13">
        <f>$B$7*(A166*AN$71+B166*AO$71+C166*AP$71+D166*AQ$71)+F166/100*$B$7*AS$71-$C$71</f>
        <v/>
      </c>
      <c r="N166" s="13">
        <f>SUMPRODUCT($H$24:$M$24,H166:M166)</f>
        <v/>
      </c>
      <c r="O166" s="14">
        <f>SQRT(SUMPRODUCT($H$24:$M$24,(H166:M166-N166)^2))</f>
        <v/>
      </c>
      <c r="P166" s="13">
        <f>MIN(H166:M166)</f>
        <v/>
      </c>
      <c r="Q166" s="13">
        <f>MAX(H166:M166)</f>
        <v/>
      </c>
      <c r="R166" s="27">
        <f>IF(G166,SUMPRODUCT(($G$76:$G$1505)*($N$76:$N$1505&gt;=N166)*($O$76:$O$1505&lt;=O166))=1,FALSE)</f>
        <v/>
      </c>
      <c r="S166" s="16">
        <f>IF(R166,ABS((O166-$AC$76)/MAX(0.0001,$AC$77-$AC$76)-(N166-$AC$78)/MAX(0.0001,$AC$79-$AC$78)),-1)</f>
        <v/>
      </c>
      <c r="T166" s="14">
        <f>IF(G166,O166,NA())</f>
        <v/>
      </c>
      <c r="U166" s="13">
        <f>IF(G166,N166,NA())</f>
        <v/>
      </c>
      <c r="V166" s="14">
        <f>IF(R166,O166,NA())</f>
        <v/>
      </c>
      <c r="W166" s="13">
        <f>IF(R166,N166,NA())</f>
        <v/>
      </c>
      <c r="X166" s="27">
        <f>IF(G166,P166,"")</f>
        <v/>
      </c>
      <c r="Y166" s="27">
        <f>IF(G166,N166,"")</f>
        <v/>
      </c>
      <c r="Z166" s="27">
        <f>IF(R166,O166,"")</f>
        <v/>
      </c>
      <c r="AA166" s="27">
        <f>IF(R166,N166,"")</f>
        <v/>
      </c>
    </row>
    <row r="167">
      <c r="A167" s="31" t="n">
        <v>0</v>
      </c>
      <c r="B167" s="31" t="n">
        <v>0.1</v>
      </c>
      <c r="C167" s="31" t="n">
        <v>0.7</v>
      </c>
      <c r="D167" s="31" t="n">
        <v>0.2</v>
      </c>
      <c r="E167" s="27" t="inlineStr">
        <is>
          <t>1M 10%/2M 70%/3M 20%</t>
        </is>
      </c>
      <c r="F167" s="27" t="n">
        <v>25</v>
      </c>
      <c r="G167" s="27">
        <f>A167*$B$7&gt;=$B$9</f>
        <v/>
      </c>
      <c r="H167" s="13">
        <f>$B$7*(A167*E$71+B167*F$71+C167*G$71+D167*H$71)+F167/100*$B$7*J$71-$C$71</f>
        <v/>
      </c>
      <c r="I167" s="13">
        <f>$B$7*(A167*L$71+B167*M$71+C167*N$71+D167*O$71)+F167/100*$B$7*Q$71-$C$71</f>
        <v/>
      </c>
      <c r="J167" s="13">
        <f>$B$7*(A167*S$71+B167*T$71+C167*U$71+D167*V$71)+F167/100*$B$7*X$71-$C$71</f>
        <v/>
      </c>
      <c r="K167" s="13">
        <f>$B$7*(A167*Z$71+B167*AA$71+C167*AB$71+D167*AC$71)+F167/100*$B$7*AE$71-$C$71</f>
        <v/>
      </c>
      <c r="L167" s="13">
        <f>$B$7*(A167*AG$71+B167*AH$71+C167*AI$71+D167*AJ$71)+F167/100*$B$7*AL$71-$C$71</f>
        <v/>
      </c>
      <c r="M167" s="13">
        <f>$B$7*(A167*AN$71+B167*AO$71+C167*AP$71+D167*AQ$71)+F167/100*$B$7*AS$71-$C$71</f>
        <v/>
      </c>
      <c r="N167" s="13">
        <f>SUMPRODUCT($H$24:$M$24,H167:M167)</f>
        <v/>
      </c>
      <c r="O167" s="14">
        <f>SQRT(SUMPRODUCT($H$24:$M$24,(H167:M167-N167)^2))</f>
        <v/>
      </c>
      <c r="P167" s="13">
        <f>MIN(H167:M167)</f>
        <v/>
      </c>
      <c r="Q167" s="13">
        <f>MAX(H167:M167)</f>
        <v/>
      </c>
      <c r="R167" s="27">
        <f>IF(G167,SUMPRODUCT(($G$76:$G$1505)*($N$76:$N$1505&gt;=N167)*($O$76:$O$1505&lt;=O167))=1,FALSE)</f>
        <v/>
      </c>
      <c r="S167" s="16">
        <f>IF(R167,ABS((O167-$AC$76)/MAX(0.0001,$AC$77-$AC$76)-(N167-$AC$78)/MAX(0.0001,$AC$79-$AC$78)),-1)</f>
        <v/>
      </c>
      <c r="T167" s="14">
        <f>IF(G167,O167,NA())</f>
        <v/>
      </c>
      <c r="U167" s="13">
        <f>IF(G167,N167,NA())</f>
        <v/>
      </c>
      <c r="V167" s="14">
        <f>IF(R167,O167,NA())</f>
        <v/>
      </c>
      <c r="W167" s="13">
        <f>IF(R167,N167,NA())</f>
        <v/>
      </c>
      <c r="X167" s="27">
        <f>IF(G167,P167,"")</f>
        <v/>
      </c>
      <c r="Y167" s="27">
        <f>IF(G167,N167,"")</f>
        <v/>
      </c>
      <c r="Z167" s="27">
        <f>IF(R167,O167,"")</f>
        <v/>
      </c>
      <c r="AA167" s="27">
        <f>IF(R167,N167,"")</f>
        <v/>
      </c>
    </row>
    <row r="168">
      <c r="A168" s="31" t="n">
        <v>0</v>
      </c>
      <c r="B168" s="31" t="n">
        <v>0.1</v>
      </c>
      <c r="C168" s="31" t="n">
        <v>0.7</v>
      </c>
      <c r="D168" s="31" t="n">
        <v>0.2</v>
      </c>
      <c r="E168" s="27" t="inlineStr">
        <is>
          <t>1M 10%/2M 70%/3M 20%</t>
        </is>
      </c>
      <c r="F168" s="27" t="n">
        <v>50</v>
      </c>
      <c r="G168" s="27">
        <f>A168*$B$7&gt;=$B$9</f>
        <v/>
      </c>
      <c r="H168" s="13">
        <f>$B$7*(A168*E$71+B168*F$71+C168*G$71+D168*H$71)+F168/100*$B$7*J$71-$C$71</f>
        <v/>
      </c>
      <c r="I168" s="13">
        <f>$B$7*(A168*L$71+B168*M$71+C168*N$71+D168*O$71)+F168/100*$B$7*Q$71-$C$71</f>
        <v/>
      </c>
      <c r="J168" s="13">
        <f>$B$7*(A168*S$71+B168*T$71+C168*U$71+D168*V$71)+F168/100*$B$7*X$71-$C$71</f>
        <v/>
      </c>
      <c r="K168" s="13">
        <f>$B$7*(A168*Z$71+B168*AA$71+C168*AB$71+D168*AC$71)+F168/100*$B$7*AE$71-$C$71</f>
        <v/>
      </c>
      <c r="L168" s="13">
        <f>$B$7*(A168*AG$71+B168*AH$71+C168*AI$71+D168*AJ$71)+F168/100*$B$7*AL$71-$C$71</f>
        <v/>
      </c>
      <c r="M168" s="13">
        <f>$B$7*(A168*AN$71+B168*AO$71+C168*AP$71+D168*AQ$71)+F168/100*$B$7*AS$71-$C$71</f>
        <v/>
      </c>
      <c r="N168" s="13">
        <f>SUMPRODUCT($H$24:$M$24,H168:M168)</f>
        <v/>
      </c>
      <c r="O168" s="14">
        <f>SQRT(SUMPRODUCT($H$24:$M$24,(H168:M168-N168)^2))</f>
        <v/>
      </c>
      <c r="P168" s="13">
        <f>MIN(H168:M168)</f>
        <v/>
      </c>
      <c r="Q168" s="13">
        <f>MAX(H168:M168)</f>
        <v/>
      </c>
      <c r="R168" s="27">
        <f>IF(G168,SUMPRODUCT(($G$76:$G$1505)*($N$76:$N$1505&gt;=N168)*($O$76:$O$1505&lt;=O168))=1,FALSE)</f>
        <v/>
      </c>
      <c r="S168" s="16">
        <f>IF(R168,ABS((O168-$AC$76)/MAX(0.0001,$AC$77-$AC$76)-(N168-$AC$78)/MAX(0.0001,$AC$79-$AC$78)),-1)</f>
        <v/>
      </c>
      <c r="T168" s="14">
        <f>IF(G168,O168,NA())</f>
        <v/>
      </c>
      <c r="U168" s="13">
        <f>IF(G168,N168,NA())</f>
        <v/>
      </c>
      <c r="V168" s="14">
        <f>IF(R168,O168,NA())</f>
        <v/>
      </c>
      <c r="W168" s="13">
        <f>IF(R168,N168,NA())</f>
        <v/>
      </c>
      <c r="X168" s="27">
        <f>IF(G168,P168,"")</f>
        <v/>
      </c>
      <c r="Y168" s="27">
        <f>IF(G168,N168,"")</f>
        <v/>
      </c>
      <c r="Z168" s="27">
        <f>IF(R168,O168,"")</f>
        <v/>
      </c>
      <c r="AA168" s="27">
        <f>IF(R168,N168,"")</f>
        <v/>
      </c>
    </row>
    <row r="169">
      <c r="A169" s="31" t="n">
        <v>0</v>
      </c>
      <c r="B169" s="31" t="n">
        <v>0.1</v>
      </c>
      <c r="C169" s="31" t="n">
        <v>0.7</v>
      </c>
      <c r="D169" s="31" t="n">
        <v>0.2</v>
      </c>
      <c r="E169" s="27" t="inlineStr">
        <is>
          <t>1M 10%/2M 70%/3M 20%</t>
        </is>
      </c>
      <c r="F169" s="27" t="n">
        <v>75</v>
      </c>
      <c r="G169" s="27">
        <f>A169*$B$7&gt;=$B$9</f>
        <v/>
      </c>
      <c r="H169" s="13">
        <f>$B$7*(A169*E$71+B169*F$71+C169*G$71+D169*H$71)+F169/100*$B$7*J$71-$C$71</f>
        <v/>
      </c>
      <c r="I169" s="13">
        <f>$B$7*(A169*L$71+B169*M$71+C169*N$71+D169*O$71)+F169/100*$B$7*Q$71-$C$71</f>
        <v/>
      </c>
      <c r="J169" s="13">
        <f>$B$7*(A169*S$71+B169*T$71+C169*U$71+D169*V$71)+F169/100*$B$7*X$71-$C$71</f>
        <v/>
      </c>
      <c r="K169" s="13">
        <f>$B$7*(A169*Z$71+B169*AA$71+C169*AB$71+D169*AC$71)+F169/100*$B$7*AE$71-$C$71</f>
        <v/>
      </c>
      <c r="L169" s="13">
        <f>$B$7*(A169*AG$71+B169*AH$71+C169*AI$71+D169*AJ$71)+F169/100*$B$7*AL$71-$C$71</f>
        <v/>
      </c>
      <c r="M169" s="13">
        <f>$B$7*(A169*AN$71+B169*AO$71+C169*AP$71+D169*AQ$71)+F169/100*$B$7*AS$71-$C$71</f>
        <v/>
      </c>
      <c r="N169" s="13">
        <f>SUMPRODUCT($H$24:$M$24,H169:M169)</f>
        <v/>
      </c>
      <c r="O169" s="14">
        <f>SQRT(SUMPRODUCT($H$24:$M$24,(H169:M169-N169)^2))</f>
        <v/>
      </c>
      <c r="P169" s="13">
        <f>MIN(H169:M169)</f>
        <v/>
      </c>
      <c r="Q169" s="13">
        <f>MAX(H169:M169)</f>
        <v/>
      </c>
      <c r="R169" s="27">
        <f>IF(G169,SUMPRODUCT(($G$76:$G$1505)*($N$76:$N$1505&gt;=N169)*($O$76:$O$1505&lt;=O169))=1,FALSE)</f>
        <v/>
      </c>
      <c r="S169" s="16">
        <f>IF(R169,ABS((O169-$AC$76)/MAX(0.0001,$AC$77-$AC$76)-(N169-$AC$78)/MAX(0.0001,$AC$79-$AC$78)),-1)</f>
        <v/>
      </c>
      <c r="T169" s="14">
        <f>IF(G169,O169,NA())</f>
        <v/>
      </c>
      <c r="U169" s="13">
        <f>IF(G169,N169,NA())</f>
        <v/>
      </c>
      <c r="V169" s="14">
        <f>IF(R169,O169,NA())</f>
        <v/>
      </c>
      <c r="W169" s="13">
        <f>IF(R169,N169,NA())</f>
        <v/>
      </c>
      <c r="X169" s="27">
        <f>IF(G169,P169,"")</f>
        <v/>
      </c>
      <c r="Y169" s="27">
        <f>IF(G169,N169,"")</f>
        <v/>
      </c>
      <c r="Z169" s="27">
        <f>IF(R169,O169,"")</f>
        <v/>
      </c>
      <c r="AA169" s="27">
        <f>IF(R169,N169,"")</f>
        <v/>
      </c>
    </row>
    <row r="170">
      <c r="A170" s="31" t="n">
        <v>0</v>
      </c>
      <c r="B170" s="31" t="n">
        <v>0.1</v>
      </c>
      <c r="C170" s="31" t="n">
        <v>0.7</v>
      </c>
      <c r="D170" s="31" t="n">
        <v>0.2</v>
      </c>
      <c r="E170" s="27" t="inlineStr">
        <is>
          <t>1M 10%/2M 70%/3M 20%</t>
        </is>
      </c>
      <c r="F170" s="27" t="n">
        <v>100</v>
      </c>
      <c r="G170" s="27">
        <f>A170*$B$7&gt;=$B$9</f>
        <v/>
      </c>
      <c r="H170" s="13">
        <f>$B$7*(A170*E$71+B170*F$71+C170*G$71+D170*H$71)+F170/100*$B$7*J$71-$C$71</f>
        <v/>
      </c>
      <c r="I170" s="13">
        <f>$B$7*(A170*L$71+B170*M$71+C170*N$71+D170*O$71)+F170/100*$B$7*Q$71-$C$71</f>
        <v/>
      </c>
      <c r="J170" s="13">
        <f>$B$7*(A170*S$71+B170*T$71+C170*U$71+D170*V$71)+F170/100*$B$7*X$71-$C$71</f>
        <v/>
      </c>
      <c r="K170" s="13">
        <f>$B$7*(A170*Z$71+B170*AA$71+C170*AB$71+D170*AC$71)+F170/100*$B$7*AE$71-$C$71</f>
        <v/>
      </c>
      <c r="L170" s="13">
        <f>$B$7*(A170*AG$71+B170*AH$71+C170*AI$71+D170*AJ$71)+F170/100*$B$7*AL$71-$C$71</f>
        <v/>
      </c>
      <c r="M170" s="13">
        <f>$B$7*(A170*AN$71+B170*AO$71+C170*AP$71+D170*AQ$71)+F170/100*$B$7*AS$71-$C$71</f>
        <v/>
      </c>
      <c r="N170" s="13">
        <f>SUMPRODUCT($H$24:$M$24,H170:M170)</f>
        <v/>
      </c>
      <c r="O170" s="14">
        <f>SQRT(SUMPRODUCT($H$24:$M$24,(H170:M170-N170)^2))</f>
        <v/>
      </c>
      <c r="P170" s="13">
        <f>MIN(H170:M170)</f>
        <v/>
      </c>
      <c r="Q170" s="13">
        <f>MAX(H170:M170)</f>
        <v/>
      </c>
      <c r="R170" s="27">
        <f>IF(G170,SUMPRODUCT(($G$76:$G$1505)*($N$76:$N$1505&gt;=N170)*($O$76:$O$1505&lt;=O170))=1,FALSE)</f>
        <v/>
      </c>
      <c r="S170" s="16">
        <f>IF(R170,ABS((O170-$AC$76)/MAX(0.0001,$AC$77-$AC$76)-(N170-$AC$78)/MAX(0.0001,$AC$79-$AC$78)),-1)</f>
        <v/>
      </c>
      <c r="T170" s="14">
        <f>IF(G170,O170,NA())</f>
        <v/>
      </c>
      <c r="U170" s="13">
        <f>IF(G170,N170,NA())</f>
        <v/>
      </c>
      <c r="V170" s="14">
        <f>IF(R170,O170,NA())</f>
        <v/>
      </c>
      <c r="W170" s="13">
        <f>IF(R170,N170,NA())</f>
        <v/>
      </c>
      <c r="X170" s="27">
        <f>IF(G170,P170,"")</f>
        <v/>
      </c>
      <c r="Y170" s="27">
        <f>IF(G170,N170,"")</f>
        <v/>
      </c>
      <c r="Z170" s="27">
        <f>IF(R170,O170,"")</f>
        <v/>
      </c>
      <c r="AA170" s="27">
        <f>IF(R170,N170,"")</f>
        <v/>
      </c>
    </row>
    <row r="171">
      <c r="A171" s="31" t="n">
        <v>0</v>
      </c>
      <c r="B171" s="31" t="n">
        <v>0.1</v>
      </c>
      <c r="C171" s="31" t="n">
        <v>0.8</v>
      </c>
      <c r="D171" s="31" t="n">
        <v>0.1</v>
      </c>
      <c r="E171" s="27" t="inlineStr">
        <is>
          <t>1M 10%/2M 80%/3M 10%</t>
        </is>
      </c>
      <c r="F171" s="27" t="n">
        <v>0</v>
      </c>
      <c r="G171" s="27">
        <f>A171*$B$7&gt;=$B$9</f>
        <v/>
      </c>
      <c r="H171" s="13">
        <f>$B$7*(A171*E$71+B171*F$71+C171*G$71+D171*H$71)+F171/100*$B$7*J$71-$C$71</f>
        <v/>
      </c>
      <c r="I171" s="13">
        <f>$B$7*(A171*L$71+B171*M$71+C171*N$71+D171*O$71)+F171/100*$B$7*Q$71-$C$71</f>
        <v/>
      </c>
      <c r="J171" s="13">
        <f>$B$7*(A171*S$71+B171*T$71+C171*U$71+D171*V$71)+F171/100*$B$7*X$71-$C$71</f>
        <v/>
      </c>
      <c r="K171" s="13">
        <f>$B$7*(A171*Z$71+B171*AA$71+C171*AB$71+D171*AC$71)+F171/100*$B$7*AE$71-$C$71</f>
        <v/>
      </c>
      <c r="L171" s="13">
        <f>$B$7*(A171*AG$71+B171*AH$71+C171*AI$71+D171*AJ$71)+F171/100*$B$7*AL$71-$C$71</f>
        <v/>
      </c>
      <c r="M171" s="13">
        <f>$B$7*(A171*AN$71+B171*AO$71+C171*AP$71+D171*AQ$71)+F171/100*$B$7*AS$71-$C$71</f>
        <v/>
      </c>
      <c r="N171" s="13">
        <f>SUMPRODUCT($H$24:$M$24,H171:M171)</f>
        <v/>
      </c>
      <c r="O171" s="14">
        <f>SQRT(SUMPRODUCT($H$24:$M$24,(H171:M171-N171)^2))</f>
        <v/>
      </c>
      <c r="P171" s="13">
        <f>MIN(H171:M171)</f>
        <v/>
      </c>
      <c r="Q171" s="13">
        <f>MAX(H171:M171)</f>
        <v/>
      </c>
      <c r="R171" s="27">
        <f>IF(G171,SUMPRODUCT(($G$76:$G$1505)*($N$76:$N$1505&gt;=N171)*($O$76:$O$1505&lt;=O171))=1,FALSE)</f>
        <v/>
      </c>
      <c r="S171" s="16">
        <f>IF(R171,ABS((O171-$AC$76)/MAX(0.0001,$AC$77-$AC$76)-(N171-$AC$78)/MAX(0.0001,$AC$79-$AC$78)),-1)</f>
        <v/>
      </c>
      <c r="T171" s="14">
        <f>IF(G171,O171,NA())</f>
        <v/>
      </c>
      <c r="U171" s="13">
        <f>IF(G171,N171,NA())</f>
        <v/>
      </c>
      <c r="V171" s="14">
        <f>IF(R171,O171,NA())</f>
        <v/>
      </c>
      <c r="W171" s="13">
        <f>IF(R171,N171,NA())</f>
        <v/>
      </c>
      <c r="X171" s="27">
        <f>IF(G171,P171,"")</f>
        <v/>
      </c>
      <c r="Y171" s="27">
        <f>IF(G171,N171,"")</f>
        <v/>
      </c>
      <c r="Z171" s="27">
        <f>IF(R171,O171,"")</f>
        <v/>
      </c>
      <c r="AA171" s="27">
        <f>IF(R171,N171,"")</f>
        <v/>
      </c>
    </row>
    <row r="172">
      <c r="A172" s="31" t="n">
        <v>0</v>
      </c>
      <c r="B172" s="31" t="n">
        <v>0.1</v>
      </c>
      <c r="C172" s="31" t="n">
        <v>0.8</v>
      </c>
      <c r="D172" s="31" t="n">
        <v>0.1</v>
      </c>
      <c r="E172" s="27" t="inlineStr">
        <is>
          <t>1M 10%/2M 80%/3M 10%</t>
        </is>
      </c>
      <c r="F172" s="27" t="n">
        <v>25</v>
      </c>
      <c r="G172" s="27">
        <f>A172*$B$7&gt;=$B$9</f>
        <v/>
      </c>
      <c r="H172" s="13">
        <f>$B$7*(A172*E$71+B172*F$71+C172*G$71+D172*H$71)+F172/100*$B$7*J$71-$C$71</f>
        <v/>
      </c>
      <c r="I172" s="13">
        <f>$B$7*(A172*L$71+B172*M$71+C172*N$71+D172*O$71)+F172/100*$B$7*Q$71-$C$71</f>
        <v/>
      </c>
      <c r="J172" s="13">
        <f>$B$7*(A172*S$71+B172*T$71+C172*U$71+D172*V$71)+F172/100*$B$7*X$71-$C$71</f>
        <v/>
      </c>
      <c r="K172" s="13">
        <f>$B$7*(A172*Z$71+B172*AA$71+C172*AB$71+D172*AC$71)+F172/100*$B$7*AE$71-$C$71</f>
        <v/>
      </c>
      <c r="L172" s="13">
        <f>$B$7*(A172*AG$71+B172*AH$71+C172*AI$71+D172*AJ$71)+F172/100*$B$7*AL$71-$C$71</f>
        <v/>
      </c>
      <c r="M172" s="13">
        <f>$B$7*(A172*AN$71+B172*AO$71+C172*AP$71+D172*AQ$71)+F172/100*$B$7*AS$71-$C$71</f>
        <v/>
      </c>
      <c r="N172" s="13">
        <f>SUMPRODUCT($H$24:$M$24,H172:M172)</f>
        <v/>
      </c>
      <c r="O172" s="14">
        <f>SQRT(SUMPRODUCT($H$24:$M$24,(H172:M172-N172)^2))</f>
        <v/>
      </c>
      <c r="P172" s="13">
        <f>MIN(H172:M172)</f>
        <v/>
      </c>
      <c r="Q172" s="13">
        <f>MAX(H172:M172)</f>
        <v/>
      </c>
      <c r="R172" s="27">
        <f>IF(G172,SUMPRODUCT(($G$76:$G$1505)*($N$76:$N$1505&gt;=N172)*($O$76:$O$1505&lt;=O172))=1,FALSE)</f>
        <v/>
      </c>
      <c r="S172" s="16">
        <f>IF(R172,ABS((O172-$AC$76)/MAX(0.0001,$AC$77-$AC$76)-(N172-$AC$78)/MAX(0.0001,$AC$79-$AC$78)),-1)</f>
        <v/>
      </c>
      <c r="T172" s="14">
        <f>IF(G172,O172,NA())</f>
        <v/>
      </c>
      <c r="U172" s="13">
        <f>IF(G172,N172,NA())</f>
        <v/>
      </c>
      <c r="V172" s="14">
        <f>IF(R172,O172,NA())</f>
        <v/>
      </c>
      <c r="W172" s="13">
        <f>IF(R172,N172,NA())</f>
        <v/>
      </c>
      <c r="X172" s="27">
        <f>IF(G172,P172,"")</f>
        <v/>
      </c>
      <c r="Y172" s="27">
        <f>IF(G172,N172,"")</f>
        <v/>
      </c>
      <c r="Z172" s="27">
        <f>IF(R172,O172,"")</f>
        <v/>
      </c>
      <c r="AA172" s="27">
        <f>IF(R172,N172,"")</f>
        <v/>
      </c>
    </row>
    <row r="173">
      <c r="A173" s="31" t="n">
        <v>0</v>
      </c>
      <c r="B173" s="31" t="n">
        <v>0.1</v>
      </c>
      <c r="C173" s="31" t="n">
        <v>0.8</v>
      </c>
      <c r="D173" s="31" t="n">
        <v>0.1</v>
      </c>
      <c r="E173" s="27" t="inlineStr">
        <is>
          <t>1M 10%/2M 80%/3M 10%</t>
        </is>
      </c>
      <c r="F173" s="27" t="n">
        <v>50</v>
      </c>
      <c r="G173" s="27">
        <f>A173*$B$7&gt;=$B$9</f>
        <v/>
      </c>
      <c r="H173" s="13">
        <f>$B$7*(A173*E$71+B173*F$71+C173*G$71+D173*H$71)+F173/100*$B$7*J$71-$C$71</f>
        <v/>
      </c>
      <c r="I173" s="13">
        <f>$B$7*(A173*L$71+B173*M$71+C173*N$71+D173*O$71)+F173/100*$B$7*Q$71-$C$71</f>
        <v/>
      </c>
      <c r="J173" s="13">
        <f>$B$7*(A173*S$71+B173*T$71+C173*U$71+D173*V$71)+F173/100*$B$7*X$71-$C$71</f>
        <v/>
      </c>
      <c r="K173" s="13">
        <f>$B$7*(A173*Z$71+B173*AA$71+C173*AB$71+D173*AC$71)+F173/100*$B$7*AE$71-$C$71</f>
        <v/>
      </c>
      <c r="L173" s="13">
        <f>$B$7*(A173*AG$71+B173*AH$71+C173*AI$71+D173*AJ$71)+F173/100*$B$7*AL$71-$C$71</f>
        <v/>
      </c>
      <c r="M173" s="13">
        <f>$B$7*(A173*AN$71+B173*AO$71+C173*AP$71+D173*AQ$71)+F173/100*$B$7*AS$71-$C$71</f>
        <v/>
      </c>
      <c r="N173" s="13">
        <f>SUMPRODUCT($H$24:$M$24,H173:M173)</f>
        <v/>
      </c>
      <c r="O173" s="14">
        <f>SQRT(SUMPRODUCT($H$24:$M$24,(H173:M173-N173)^2))</f>
        <v/>
      </c>
      <c r="P173" s="13">
        <f>MIN(H173:M173)</f>
        <v/>
      </c>
      <c r="Q173" s="13">
        <f>MAX(H173:M173)</f>
        <v/>
      </c>
      <c r="R173" s="27">
        <f>IF(G173,SUMPRODUCT(($G$76:$G$1505)*($N$76:$N$1505&gt;=N173)*($O$76:$O$1505&lt;=O173))=1,FALSE)</f>
        <v/>
      </c>
      <c r="S173" s="16">
        <f>IF(R173,ABS((O173-$AC$76)/MAX(0.0001,$AC$77-$AC$76)-(N173-$AC$78)/MAX(0.0001,$AC$79-$AC$78)),-1)</f>
        <v/>
      </c>
      <c r="T173" s="14">
        <f>IF(G173,O173,NA())</f>
        <v/>
      </c>
      <c r="U173" s="13">
        <f>IF(G173,N173,NA())</f>
        <v/>
      </c>
      <c r="V173" s="14">
        <f>IF(R173,O173,NA())</f>
        <v/>
      </c>
      <c r="W173" s="13">
        <f>IF(R173,N173,NA())</f>
        <v/>
      </c>
      <c r="X173" s="27">
        <f>IF(G173,P173,"")</f>
        <v/>
      </c>
      <c r="Y173" s="27">
        <f>IF(G173,N173,"")</f>
        <v/>
      </c>
      <c r="Z173" s="27">
        <f>IF(R173,O173,"")</f>
        <v/>
      </c>
      <c r="AA173" s="27">
        <f>IF(R173,N173,"")</f>
        <v/>
      </c>
    </row>
    <row r="174">
      <c r="A174" s="31" t="n">
        <v>0</v>
      </c>
      <c r="B174" s="31" t="n">
        <v>0.1</v>
      </c>
      <c r="C174" s="31" t="n">
        <v>0.8</v>
      </c>
      <c r="D174" s="31" t="n">
        <v>0.1</v>
      </c>
      <c r="E174" s="27" t="inlineStr">
        <is>
          <t>1M 10%/2M 80%/3M 10%</t>
        </is>
      </c>
      <c r="F174" s="27" t="n">
        <v>75</v>
      </c>
      <c r="G174" s="27">
        <f>A174*$B$7&gt;=$B$9</f>
        <v/>
      </c>
      <c r="H174" s="13">
        <f>$B$7*(A174*E$71+B174*F$71+C174*G$71+D174*H$71)+F174/100*$B$7*J$71-$C$71</f>
        <v/>
      </c>
      <c r="I174" s="13">
        <f>$B$7*(A174*L$71+B174*M$71+C174*N$71+D174*O$71)+F174/100*$B$7*Q$71-$C$71</f>
        <v/>
      </c>
      <c r="J174" s="13">
        <f>$B$7*(A174*S$71+B174*T$71+C174*U$71+D174*V$71)+F174/100*$B$7*X$71-$C$71</f>
        <v/>
      </c>
      <c r="K174" s="13">
        <f>$B$7*(A174*Z$71+B174*AA$71+C174*AB$71+D174*AC$71)+F174/100*$B$7*AE$71-$C$71</f>
        <v/>
      </c>
      <c r="L174" s="13">
        <f>$B$7*(A174*AG$71+B174*AH$71+C174*AI$71+D174*AJ$71)+F174/100*$B$7*AL$71-$C$71</f>
        <v/>
      </c>
      <c r="M174" s="13">
        <f>$B$7*(A174*AN$71+B174*AO$71+C174*AP$71+D174*AQ$71)+F174/100*$B$7*AS$71-$C$71</f>
        <v/>
      </c>
      <c r="N174" s="13">
        <f>SUMPRODUCT($H$24:$M$24,H174:M174)</f>
        <v/>
      </c>
      <c r="O174" s="14">
        <f>SQRT(SUMPRODUCT($H$24:$M$24,(H174:M174-N174)^2))</f>
        <v/>
      </c>
      <c r="P174" s="13">
        <f>MIN(H174:M174)</f>
        <v/>
      </c>
      <c r="Q174" s="13">
        <f>MAX(H174:M174)</f>
        <v/>
      </c>
      <c r="R174" s="27">
        <f>IF(G174,SUMPRODUCT(($G$76:$G$1505)*($N$76:$N$1505&gt;=N174)*($O$76:$O$1505&lt;=O174))=1,FALSE)</f>
        <v/>
      </c>
      <c r="S174" s="16">
        <f>IF(R174,ABS((O174-$AC$76)/MAX(0.0001,$AC$77-$AC$76)-(N174-$AC$78)/MAX(0.0001,$AC$79-$AC$78)),-1)</f>
        <v/>
      </c>
      <c r="T174" s="14">
        <f>IF(G174,O174,NA())</f>
        <v/>
      </c>
      <c r="U174" s="13">
        <f>IF(G174,N174,NA())</f>
        <v/>
      </c>
      <c r="V174" s="14">
        <f>IF(R174,O174,NA())</f>
        <v/>
      </c>
      <c r="W174" s="13">
        <f>IF(R174,N174,NA())</f>
        <v/>
      </c>
      <c r="X174" s="27">
        <f>IF(G174,P174,"")</f>
        <v/>
      </c>
      <c r="Y174" s="27">
        <f>IF(G174,N174,"")</f>
        <v/>
      </c>
      <c r="Z174" s="27">
        <f>IF(R174,O174,"")</f>
        <v/>
      </c>
      <c r="AA174" s="27">
        <f>IF(R174,N174,"")</f>
        <v/>
      </c>
    </row>
    <row r="175">
      <c r="A175" s="31" t="n">
        <v>0</v>
      </c>
      <c r="B175" s="31" t="n">
        <v>0.1</v>
      </c>
      <c r="C175" s="31" t="n">
        <v>0.8</v>
      </c>
      <c r="D175" s="31" t="n">
        <v>0.1</v>
      </c>
      <c r="E175" s="27" t="inlineStr">
        <is>
          <t>1M 10%/2M 80%/3M 10%</t>
        </is>
      </c>
      <c r="F175" s="27" t="n">
        <v>100</v>
      </c>
      <c r="G175" s="27">
        <f>A175*$B$7&gt;=$B$9</f>
        <v/>
      </c>
      <c r="H175" s="13">
        <f>$B$7*(A175*E$71+B175*F$71+C175*G$71+D175*H$71)+F175/100*$B$7*J$71-$C$71</f>
        <v/>
      </c>
      <c r="I175" s="13">
        <f>$B$7*(A175*L$71+B175*M$71+C175*N$71+D175*O$71)+F175/100*$B$7*Q$71-$C$71</f>
        <v/>
      </c>
      <c r="J175" s="13">
        <f>$B$7*(A175*S$71+B175*T$71+C175*U$71+D175*V$71)+F175/100*$B$7*X$71-$C$71</f>
        <v/>
      </c>
      <c r="K175" s="13">
        <f>$B$7*(A175*Z$71+B175*AA$71+C175*AB$71+D175*AC$71)+F175/100*$B$7*AE$71-$C$71</f>
        <v/>
      </c>
      <c r="L175" s="13">
        <f>$B$7*(A175*AG$71+B175*AH$71+C175*AI$71+D175*AJ$71)+F175/100*$B$7*AL$71-$C$71</f>
        <v/>
      </c>
      <c r="M175" s="13">
        <f>$B$7*(A175*AN$71+B175*AO$71+C175*AP$71+D175*AQ$71)+F175/100*$B$7*AS$71-$C$71</f>
        <v/>
      </c>
      <c r="N175" s="13">
        <f>SUMPRODUCT($H$24:$M$24,H175:M175)</f>
        <v/>
      </c>
      <c r="O175" s="14">
        <f>SQRT(SUMPRODUCT($H$24:$M$24,(H175:M175-N175)^2))</f>
        <v/>
      </c>
      <c r="P175" s="13">
        <f>MIN(H175:M175)</f>
        <v/>
      </c>
      <c r="Q175" s="13">
        <f>MAX(H175:M175)</f>
        <v/>
      </c>
      <c r="R175" s="27">
        <f>IF(G175,SUMPRODUCT(($G$76:$G$1505)*($N$76:$N$1505&gt;=N175)*($O$76:$O$1505&lt;=O175))=1,FALSE)</f>
        <v/>
      </c>
      <c r="S175" s="16">
        <f>IF(R175,ABS((O175-$AC$76)/MAX(0.0001,$AC$77-$AC$76)-(N175-$AC$78)/MAX(0.0001,$AC$79-$AC$78)),-1)</f>
        <v/>
      </c>
      <c r="T175" s="14">
        <f>IF(G175,O175,NA())</f>
        <v/>
      </c>
      <c r="U175" s="13">
        <f>IF(G175,N175,NA())</f>
        <v/>
      </c>
      <c r="V175" s="14">
        <f>IF(R175,O175,NA())</f>
        <v/>
      </c>
      <c r="W175" s="13">
        <f>IF(R175,N175,NA())</f>
        <v/>
      </c>
      <c r="X175" s="27">
        <f>IF(G175,P175,"")</f>
        <v/>
      </c>
      <c r="Y175" s="27">
        <f>IF(G175,N175,"")</f>
        <v/>
      </c>
      <c r="Z175" s="27">
        <f>IF(R175,O175,"")</f>
        <v/>
      </c>
      <c r="AA175" s="27">
        <f>IF(R175,N175,"")</f>
        <v/>
      </c>
    </row>
    <row r="176">
      <c r="A176" s="31" t="n">
        <v>0</v>
      </c>
      <c r="B176" s="31" t="n">
        <v>0.1</v>
      </c>
      <c r="C176" s="31" t="n">
        <v>0.9</v>
      </c>
      <c r="D176" s="31" t="n">
        <v>0</v>
      </c>
      <c r="E176" s="27" t="inlineStr">
        <is>
          <t>1M 10%/2M 90%</t>
        </is>
      </c>
      <c r="F176" s="27" t="n">
        <v>0</v>
      </c>
      <c r="G176" s="27">
        <f>A176*$B$7&gt;=$B$9</f>
        <v/>
      </c>
      <c r="H176" s="13">
        <f>$B$7*(A176*E$71+B176*F$71+C176*G$71+D176*H$71)+F176/100*$B$7*J$71-$C$71</f>
        <v/>
      </c>
      <c r="I176" s="13">
        <f>$B$7*(A176*L$71+B176*M$71+C176*N$71+D176*O$71)+F176/100*$B$7*Q$71-$C$71</f>
        <v/>
      </c>
      <c r="J176" s="13">
        <f>$B$7*(A176*S$71+B176*T$71+C176*U$71+D176*V$71)+F176/100*$B$7*X$71-$C$71</f>
        <v/>
      </c>
      <c r="K176" s="13">
        <f>$B$7*(A176*Z$71+B176*AA$71+C176*AB$71+D176*AC$71)+F176/100*$B$7*AE$71-$C$71</f>
        <v/>
      </c>
      <c r="L176" s="13">
        <f>$B$7*(A176*AG$71+B176*AH$71+C176*AI$71+D176*AJ$71)+F176/100*$B$7*AL$71-$C$71</f>
        <v/>
      </c>
      <c r="M176" s="13">
        <f>$B$7*(A176*AN$71+B176*AO$71+C176*AP$71+D176*AQ$71)+F176/100*$B$7*AS$71-$C$71</f>
        <v/>
      </c>
      <c r="N176" s="13">
        <f>SUMPRODUCT($H$24:$M$24,H176:M176)</f>
        <v/>
      </c>
      <c r="O176" s="14">
        <f>SQRT(SUMPRODUCT($H$24:$M$24,(H176:M176-N176)^2))</f>
        <v/>
      </c>
      <c r="P176" s="13">
        <f>MIN(H176:M176)</f>
        <v/>
      </c>
      <c r="Q176" s="13">
        <f>MAX(H176:M176)</f>
        <v/>
      </c>
      <c r="R176" s="27">
        <f>IF(G176,SUMPRODUCT(($G$76:$G$1505)*($N$76:$N$1505&gt;=N176)*($O$76:$O$1505&lt;=O176))=1,FALSE)</f>
        <v/>
      </c>
      <c r="S176" s="16">
        <f>IF(R176,ABS((O176-$AC$76)/MAX(0.0001,$AC$77-$AC$76)-(N176-$AC$78)/MAX(0.0001,$AC$79-$AC$78)),-1)</f>
        <v/>
      </c>
      <c r="T176" s="14">
        <f>IF(G176,O176,NA())</f>
        <v/>
      </c>
      <c r="U176" s="13">
        <f>IF(G176,N176,NA())</f>
        <v/>
      </c>
      <c r="V176" s="14">
        <f>IF(R176,O176,NA())</f>
        <v/>
      </c>
      <c r="W176" s="13">
        <f>IF(R176,N176,NA())</f>
        <v/>
      </c>
      <c r="X176" s="27">
        <f>IF(G176,P176,"")</f>
        <v/>
      </c>
      <c r="Y176" s="27">
        <f>IF(G176,N176,"")</f>
        <v/>
      </c>
      <c r="Z176" s="27">
        <f>IF(R176,O176,"")</f>
        <v/>
      </c>
      <c r="AA176" s="27">
        <f>IF(R176,N176,"")</f>
        <v/>
      </c>
    </row>
    <row r="177">
      <c r="A177" s="31" t="n">
        <v>0</v>
      </c>
      <c r="B177" s="31" t="n">
        <v>0.1</v>
      </c>
      <c r="C177" s="31" t="n">
        <v>0.9</v>
      </c>
      <c r="D177" s="31" t="n">
        <v>0</v>
      </c>
      <c r="E177" s="27" t="inlineStr">
        <is>
          <t>1M 10%/2M 90%</t>
        </is>
      </c>
      <c r="F177" s="27" t="n">
        <v>25</v>
      </c>
      <c r="G177" s="27">
        <f>A177*$B$7&gt;=$B$9</f>
        <v/>
      </c>
      <c r="H177" s="13">
        <f>$B$7*(A177*E$71+B177*F$71+C177*G$71+D177*H$71)+F177/100*$B$7*J$71-$C$71</f>
        <v/>
      </c>
      <c r="I177" s="13">
        <f>$B$7*(A177*L$71+B177*M$71+C177*N$71+D177*O$71)+F177/100*$B$7*Q$71-$C$71</f>
        <v/>
      </c>
      <c r="J177" s="13">
        <f>$B$7*(A177*S$71+B177*T$71+C177*U$71+D177*V$71)+F177/100*$B$7*X$71-$C$71</f>
        <v/>
      </c>
      <c r="K177" s="13">
        <f>$B$7*(A177*Z$71+B177*AA$71+C177*AB$71+D177*AC$71)+F177/100*$B$7*AE$71-$C$71</f>
        <v/>
      </c>
      <c r="L177" s="13">
        <f>$B$7*(A177*AG$71+B177*AH$71+C177*AI$71+D177*AJ$71)+F177/100*$B$7*AL$71-$C$71</f>
        <v/>
      </c>
      <c r="M177" s="13">
        <f>$B$7*(A177*AN$71+B177*AO$71+C177*AP$71+D177*AQ$71)+F177/100*$B$7*AS$71-$C$71</f>
        <v/>
      </c>
      <c r="N177" s="13">
        <f>SUMPRODUCT($H$24:$M$24,H177:M177)</f>
        <v/>
      </c>
      <c r="O177" s="14">
        <f>SQRT(SUMPRODUCT($H$24:$M$24,(H177:M177-N177)^2))</f>
        <v/>
      </c>
      <c r="P177" s="13">
        <f>MIN(H177:M177)</f>
        <v/>
      </c>
      <c r="Q177" s="13">
        <f>MAX(H177:M177)</f>
        <v/>
      </c>
      <c r="R177" s="27">
        <f>IF(G177,SUMPRODUCT(($G$76:$G$1505)*($N$76:$N$1505&gt;=N177)*($O$76:$O$1505&lt;=O177))=1,FALSE)</f>
        <v/>
      </c>
      <c r="S177" s="16">
        <f>IF(R177,ABS((O177-$AC$76)/MAX(0.0001,$AC$77-$AC$76)-(N177-$AC$78)/MAX(0.0001,$AC$79-$AC$78)),-1)</f>
        <v/>
      </c>
      <c r="T177" s="14">
        <f>IF(G177,O177,NA())</f>
        <v/>
      </c>
      <c r="U177" s="13">
        <f>IF(G177,N177,NA())</f>
        <v/>
      </c>
      <c r="V177" s="14">
        <f>IF(R177,O177,NA())</f>
        <v/>
      </c>
      <c r="W177" s="13">
        <f>IF(R177,N177,NA())</f>
        <v/>
      </c>
      <c r="X177" s="27">
        <f>IF(G177,P177,"")</f>
        <v/>
      </c>
      <c r="Y177" s="27">
        <f>IF(G177,N177,"")</f>
        <v/>
      </c>
      <c r="Z177" s="27">
        <f>IF(R177,O177,"")</f>
        <v/>
      </c>
      <c r="AA177" s="27">
        <f>IF(R177,N177,"")</f>
        <v/>
      </c>
    </row>
    <row r="178">
      <c r="A178" s="31" t="n">
        <v>0</v>
      </c>
      <c r="B178" s="31" t="n">
        <v>0.1</v>
      </c>
      <c r="C178" s="31" t="n">
        <v>0.9</v>
      </c>
      <c r="D178" s="31" t="n">
        <v>0</v>
      </c>
      <c r="E178" s="27" t="inlineStr">
        <is>
          <t>1M 10%/2M 90%</t>
        </is>
      </c>
      <c r="F178" s="27" t="n">
        <v>50</v>
      </c>
      <c r="G178" s="27">
        <f>A178*$B$7&gt;=$B$9</f>
        <v/>
      </c>
      <c r="H178" s="13">
        <f>$B$7*(A178*E$71+B178*F$71+C178*G$71+D178*H$71)+F178/100*$B$7*J$71-$C$71</f>
        <v/>
      </c>
      <c r="I178" s="13">
        <f>$B$7*(A178*L$71+B178*M$71+C178*N$71+D178*O$71)+F178/100*$B$7*Q$71-$C$71</f>
        <v/>
      </c>
      <c r="J178" s="13">
        <f>$B$7*(A178*S$71+B178*T$71+C178*U$71+D178*V$71)+F178/100*$B$7*X$71-$C$71</f>
        <v/>
      </c>
      <c r="K178" s="13">
        <f>$B$7*(A178*Z$71+B178*AA$71+C178*AB$71+D178*AC$71)+F178/100*$B$7*AE$71-$C$71</f>
        <v/>
      </c>
      <c r="L178" s="13">
        <f>$B$7*(A178*AG$71+B178*AH$71+C178*AI$71+D178*AJ$71)+F178/100*$B$7*AL$71-$C$71</f>
        <v/>
      </c>
      <c r="M178" s="13">
        <f>$B$7*(A178*AN$71+B178*AO$71+C178*AP$71+D178*AQ$71)+F178/100*$B$7*AS$71-$C$71</f>
        <v/>
      </c>
      <c r="N178" s="13">
        <f>SUMPRODUCT($H$24:$M$24,H178:M178)</f>
        <v/>
      </c>
      <c r="O178" s="14">
        <f>SQRT(SUMPRODUCT($H$24:$M$24,(H178:M178-N178)^2))</f>
        <v/>
      </c>
      <c r="P178" s="13">
        <f>MIN(H178:M178)</f>
        <v/>
      </c>
      <c r="Q178" s="13">
        <f>MAX(H178:M178)</f>
        <v/>
      </c>
      <c r="R178" s="27">
        <f>IF(G178,SUMPRODUCT(($G$76:$G$1505)*($N$76:$N$1505&gt;=N178)*($O$76:$O$1505&lt;=O178))=1,FALSE)</f>
        <v/>
      </c>
      <c r="S178" s="16">
        <f>IF(R178,ABS((O178-$AC$76)/MAX(0.0001,$AC$77-$AC$76)-(N178-$AC$78)/MAX(0.0001,$AC$79-$AC$78)),-1)</f>
        <v/>
      </c>
      <c r="T178" s="14">
        <f>IF(G178,O178,NA())</f>
        <v/>
      </c>
      <c r="U178" s="13">
        <f>IF(G178,N178,NA())</f>
        <v/>
      </c>
      <c r="V178" s="14">
        <f>IF(R178,O178,NA())</f>
        <v/>
      </c>
      <c r="W178" s="13">
        <f>IF(R178,N178,NA())</f>
        <v/>
      </c>
      <c r="X178" s="27">
        <f>IF(G178,P178,"")</f>
        <v/>
      </c>
      <c r="Y178" s="27">
        <f>IF(G178,N178,"")</f>
        <v/>
      </c>
      <c r="Z178" s="27">
        <f>IF(R178,O178,"")</f>
        <v/>
      </c>
      <c r="AA178" s="27">
        <f>IF(R178,N178,"")</f>
        <v/>
      </c>
    </row>
    <row r="179">
      <c r="A179" s="31" t="n">
        <v>0</v>
      </c>
      <c r="B179" s="31" t="n">
        <v>0.1</v>
      </c>
      <c r="C179" s="31" t="n">
        <v>0.9</v>
      </c>
      <c r="D179" s="31" t="n">
        <v>0</v>
      </c>
      <c r="E179" s="27" t="inlineStr">
        <is>
          <t>1M 10%/2M 90%</t>
        </is>
      </c>
      <c r="F179" s="27" t="n">
        <v>75</v>
      </c>
      <c r="G179" s="27">
        <f>A179*$B$7&gt;=$B$9</f>
        <v/>
      </c>
      <c r="H179" s="13">
        <f>$B$7*(A179*E$71+B179*F$71+C179*G$71+D179*H$71)+F179/100*$B$7*J$71-$C$71</f>
        <v/>
      </c>
      <c r="I179" s="13">
        <f>$B$7*(A179*L$71+B179*M$71+C179*N$71+D179*O$71)+F179/100*$B$7*Q$71-$C$71</f>
        <v/>
      </c>
      <c r="J179" s="13">
        <f>$B$7*(A179*S$71+B179*T$71+C179*U$71+D179*V$71)+F179/100*$B$7*X$71-$C$71</f>
        <v/>
      </c>
      <c r="K179" s="13">
        <f>$B$7*(A179*Z$71+B179*AA$71+C179*AB$71+D179*AC$71)+F179/100*$B$7*AE$71-$C$71</f>
        <v/>
      </c>
      <c r="L179" s="13">
        <f>$B$7*(A179*AG$71+B179*AH$71+C179*AI$71+D179*AJ$71)+F179/100*$B$7*AL$71-$C$71</f>
        <v/>
      </c>
      <c r="M179" s="13">
        <f>$B$7*(A179*AN$71+B179*AO$71+C179*AP$71+D179*AQ$71)+F179/100*$B$7*AS$71-$C$71</f>
        <v/>
      </c>
      <c r="N179" s="13">
        <f>SUMPRODUCT($H$24:$M$24,H179:M179)</f>
        <v/>
      </c>
      <c r="O179" s="14">
        <f>SQRT(SUMPRODUCT($H$24:$M$24,(H179:M179-N179)^2))</f>
        <v/>
      </c>
      <c r="P179" s="13">
        <f>MIN(H179:M179)</f>
        <v/>
      </c>
      <c r="Q179" s="13">
        <f>MAX(H179:M179)</f>
        <v/>
      </c>
      <c r="R179" s="27">
        <f>IF(G179,SUMPRODUCT(($G$76:$G$1505)*($N$76:$N$1505&gt;=N179)*($O$76:$O$1505&lt;=O179))=1,FALSE)</f>
        <v/>
      </c>
      <c r="S179" s="16">
        <f>IF(R179,ABS((O179-$AC$76)/MAX(0.0001,$AC$77-$AC$76)-(N179-$AC$78)/MAX(0.0001,$AC$79-$AC$78)),-1)</f>
        <v/>
      </c>
      <c r="T179" s="14">
        <f>IF(G179,O179,NA())</f>
        <v/>
      </c>
      <c r="U179" s="13">
        <f>IF(G179,N179,NA())</f>
        <v/>
      </c>
      <c r="V179" s="14">
        <f>IF(R179,O179,NA())</f>
        <v/>
      </c>
      <c r="W179" s="13">
        <f>IF(R179,N179,NA())</f>
        <v/>
      </c>
      <c r="X179" s="27">
        <f>IF(G179,P179,"")</f>
        <v/>
      </c>
      <c r="Y179" s="27">
        <f>IF(G179,N179,"")</f>
        <v/>
      </c>
      <c r="Z179" s="27">
        <f>IF(R179,O179,"")</f>
        <v/>
      </c>
      <c r="AA179" s="27">
        <f>IF(R179,N179,"")</f>
        <v/>
      </c>
    </row>
    <row r="180">
      <c r="A180" s="31" t="n">
        <v>0</v>
      </c>
      <c r="B180" s="31" t="n">
        <v>0.1</v>
      </c>
      <c r="C180" s="31" t="n">
        <v>0.9</v>
      </c>
      <c r="D180" s="31" t="n">
        <v>0</v>
      </c>
      <c r="E180" s="27" t="inlineStr">
        <is>
          <t>1M 10%/2M 90%</t>
        </is>
      </c>
      <c r="F180" s="27" t="n">
        <v>100</v>
      </c>
      <c r="G180" s="27">
        <f>A180*$B$7&gt;=$B$9</f>
        <v/>
      </c>
      <c r="H180" s="13">
        <f>$B$7*(A180*E$71+B180*F$71+C180*G$71+D180*H$71)+F180/100*$B$7*J$71-$C$71</f>
        <v/>
      </c>
      <c r="I180" s="13">
        <f>$B$7*(A180*L$71+B180*M$71+C180*N$71+D180*O$71)+F180/100*$B$7*Q$71-$C$71</f>
        <v/>
      </c>
      <c r="J180" s="13">
        <f>$B$7*(A180*S$71+B180*T$71+C180*U$71+D180*V$71)+F180/100*$B$7*X$71-$C$71</f>
        <v/>
      </c>
      <c r="K180" s="13">
        <f>$B$7*(A180*Z$71+B180*AA$71+C180*AB$71+D180*AC$71)+F180/100*$B$7*AE$71-$C$71</f>
        <v/>
      </c>
      <c r="L180" s="13">
        <f>$B$7*(A180*AG$71+B180*AH$71+C180*AI$71+D180*AJ$71)+F180/100*$B$7*AL$71-$C$71</f>
        <v/>
      </c>
      <c r="M180" s="13">
        <f>$B$7*(A180*AN$71+B180*AO$71+C180*AP$71+D180*AQ$71)+F180/100*$B$7*AS$71-$C$71</f>
        <v/>
      </c>
      <c r="N180" s="13">
        <f>SUMPRODUCT($H$24:$M$24,H180:M180)</f>
        <v/>
      </c>
      <c r="O180" s="14">
        <f>SQRT(SUMPRODUCT($H$24:$M$24,(H180:M180-N180)^2))</f>
        <v/>
      </c>
      <c r="P180" s="13">
        <f>MIN(H180:M180)</f>
        <v/>
      </c>
      <c r="Q180" s="13">
        <f>MAX(H180:M180)</f>
        <v/>
      </c>
      <c r="R180" s="27">
        <f>IF(G180,SUMPRODUCT(($G$76:$G$1505)*($N$76:$N$1505&gt;=N180)*($O$76:$O$1505&lt;=O180))=1,FALSE)</f>
        <v/>
      </c>
      <c r="S180" s="16">
        <f>IF(R180,ABS((O180-$AC$76)/MAX(0.0001,$AC$77-$AC$76)-(N180-$AC$78)/MAX(0.0001,$AC$79-$AC$78)),-1)</f>
        <v/>
      </c>
      <c r="T180" s="14">
        <f>IF(G180,O180,NA())</f>
        <v/>
      </c>
      <c r="U180" s="13">
        <f>IF(G180,N180,NA())</f>
        <v/>
      </c>
      <c r="V180" s="14">
        <f>IF(R180,O180,NA())</f>
        <v/>
      </c>
      <c r="W180" s="13">
        <f>IF(R180,N180,NA())</f>
        <v/>
      </c>
      <c r="X180" s="27">
        <f>IF(G180,P180,"")</f>
        <v/>
      </c>
      <c r="Y180" s="27">
        <f>IF(G180,N180,"")</f>
        <v/>
      </c>
      <c r="Z180" s="27">
        <f>IF(R180,O180,"")</f>
        <v/>
      </c>
      <c r="AA180" s="27">
        <f>IF(R180,N180,"")</f>
        <v/>
      </c>
    </row>
    <row r="181">
      <c r="A181" s="31" t="n">
        <v>0</v>
      </c>
      <c r="B181" s="31" t="n">
        <v>0.2</v>
      </c>
      <c r="C181" s="31" t="n">
        <v>0</v>
      </c>
      <c r="D181" s="31" t="n">
        <v>0.8</v>
      </c>
      <c r="E181" s="27" t="inlineStr">
        <is>
          <t>1M 20%/3M 80%</t>
        </is>
      </c>
      <c r="F181" s="27" t="n">
        <v>0</v>
      </c>
      <c r="G181" s="27">
        <f>A181*$B$7&gt;=$B$9</f>
        <v/>
      </c>
      <c r="H181" s="13">
        <f>$B$7*(A181*E$71+B181*F$71+C181*G$71+D181*H$71)+F181/100*$B$7*J$71-$C$71</f>
        <v/>
      </c>
      <c r="I181" s="13">
        <f>$B$7*(A181*L$71+B181*M$71+C181*N$71+D181*O$71)+F181/100*$B$7*Q$71-$C$71</f>
        <v/>
      </c>
      <c r="J181" s="13">
        <f>$B$7*(A181*S$71+B181*T$71+C181*U$71+D181*V$71)+F181/100*$B$7*X$71-$C$71</f>
        <v/>
      </c>
      <c r="K181" s="13">
        <f>$B$7*(A181*Z$71+B181*AA$71+C181*AB$71+D181*AC$71)+F181/100*$B$7*AE$71-$C$71</f>
        <v/>
      </c>
      <c r="L181" s="13">
        <f>$B$7*(A181*AG$71+B181*AH$71+C181*AI$71+D181*AJ$71)+F181/100*$B$7*AL$71-$C$71</f>
        <v/>
      </c>
      <c r="M181" s="13">
        <f>$B$7*(A181*AN$71+B181*AO$71+C181*AP$71+D181*AQ$71)+F181/100*$B$7*AS$71-$C$71</f>
        <v/>
      </c>
      <c r="N181" s="13">
        <f>SUMPRODUCT($H$24:$M$24,H181:M181)</f>
        <v/>
      </c>
      <c r="O181" s="14">
        <f>SQRT(SUMPRODUCT($H$24:$M$24,(H181:M181-N181)^2))</f>
        <v/>
      </c>
      <c r="P181" s="13">
        <f>MIN(H181:M181)</f>
        <v/>
      </c>
      <c r="Q181" s="13">
        <f>MAX(H181:M181)</f>
        <v/>
      </c>
      <c r="R181" s="27">
        <f>IF(G181,SUMPRODUCT(($G$76:$G$1505)*($N$76:$N$1505&gt;=N181)*($O$76:$O$1505&lt;=O181))=1,FALSE)</f>
        <v/>
      </c>
      <c r="S181" s="16">
        <f>IF(R181,ABS((O181-$AC$76)/MAX(0.0001,$AC$77-$AC$76)-(N181-$AC$78)/MAX(0.0001,$AC$79-$AC$78)),-1)</f>
        <v/>
      </c>
      <c r="T181" s="14">
        <f>IF(G181,O181,NA())</f>
        <v/>
      </c>
      <c r="U181" s="13">
        <f>IF(G181,N181,NA())</f>
        <v/>
      </c>
      <c r="V181" s="14">
        <f>IF(R181,O181,NA())</f>
        <v/>
      </c>
      <c r="W181" s="13">
        <f>IF(R181,N181,NA())</f>
        <v/>
      </c>
      <c r="X181" s="27">
        <f>IF(G181,P181,"")</f>
        <v/>
      </c>
      <c r="Y181" s="27">
        <f>IF(G181,N181,"")</f>
        <v/>
      </c>
      <c r="Z181" s="27">
        <f>IF(R181,O181,"")</f>
        <v/>
      </c>
      <c r="AA181" s="27">
        <f>IF(R181,N181,"")</f>
        <v/>
      </c>
    </row>
    <row r="182">
      <c r="A182" s="31" t="n">
        <v>0</v>
      </c>
      <c r="B182" s="31" t="n">
        <v>0.2</v>
      </c>
      <c r="C182" s="31" t="n">
        <v>0</v>
      </c>
      <c r="D182" s="31" t="n">
        <v>0.8</v>
      </c>
      <c r="E182" s="27" t="inlineStr">
        <is>
          <t>1M 20%/3M 80%</t>
        </is>
      </c>
      <c r="F182" s="27" t="n">
        <v>25</v>
      </c>
      <c r="G182" s="27">
        <f>A182*$B$7&gt;=$B$9</f>
        <v/>
      </c>
      <c r="H182" s="13">
        <f>$B$7*(A182*E$71+B182*F$71+C182*G$71+D182*H$71)+F182/100*$B$7*J$71-$C$71</f>
        <v/>
      </c>
      <c r="I182" s="13">
        <f>$B$7*(A182*L$71+B182*M$71+C182*N$71+D182*O$71)+F182/100*$B$7*Q$71-$C$71</f>
        <v/>
      </c>
      <c r="J182" s="13">
        <f>$B$7*(A182*S$71+B182*T$71+C182*U$71+D182*V$71)+F182/100*$B$7*X$71-$C$71</f>
        <v/>
      </c>
      <c r="K182" s="13">
        <f>$B$7*(A182*Z$71+B182*AA$71+C182*AB$71+D182*AC$71)+F182/100*$B$7*AE$71-$C$71</f>
        <v/>
      </c>
      <c r="L182" s="13">
        <f>$B$7*(A182*AG$71+B182*AH$71+C182*AI$71+D182*AJ$71)+F182/100*$B$7*AL$71-$C$71</f>
        <v/>
      </c>
      <c r="M182" s="13">
        <f>$B$7*(A182*AN$71+B182*AO$71+C182*AP$71+D182*AQ$71)+F182/100*$B$7*AS$71-$C$71</f>
        <v/>
      </c>
      <c r="N182" s="13">
        <f>SUMPRODUCT($H$24:$M$24,H182:M182)</f>
        <v/>
      </c>
      <c r="O182" s="14">
        <f>SQRT(SUMPRODUCT($H$24:$M$24,(H182:M182-N182)^2))</f>
        <v/>
      </c>
      <c r="P182" s="13">
        <f>MIN(H182:M182)</f>
        <v/>
      </c>
      <c r="Q182" s="13">
        <f>MAX(H182:M182)</f>
        <v/>
      </c>
      <c r="R182" s="27">
        <f>IF(G182,SUMPRODUCT(($G$76:$G$1505)*($N$76:$N$1505&gt;=N182)*($O$76:$O$1505&lt;=O182))=1,FALSE)</f>
        <v/>
      </c>
      <c r="S182" s="16">
        <f>IF(R182,ABS((O182-$AC$76)/MAX(0.0001,$AC$77-$AC$76)-(N182-$AC$78)/MAX(0.0001,$AC$79-$AC$78)),-1)</f>
        <v/>
      </c>
      <c r="T182" s="14">
        <f>IF(G182,O182,NA())</f>
        <v/>
      </c>
      <c r="U182" s="13">
        <f>IF(G182,N182,NA())</f>
        <v/>
      </c>
      <c r="V182" s="14">
        <f>IF(R182,O182,NA())</f>
        <v/>
      </c>
      <c r="W182" s="13">
        <f>IF(R182,N182,NA())</f>
        <v/>
      </c>
      <c r="X182" s="27">
        <f>IF(G182,P182,"")</f>
        <v/>
      </c>
      <c r="Y182" s="27">
        <f>IF(G182,N182,"")</f>
        <v/>
      </c>
      <c r="Z182" s="27">
        <f>IF(R182,O182,"")</f>
        <v/>
      </c>
      <c r="AA182" s="27">
        <f>IF(R182,N182,"")</f>
        <v/>
      </c>
    </row>
    <row r="183">
      <c r="A183" s="31" t="n">
        <v>0</v>
      </c>
      <c r="B183" s="31" t="n">
        <v>0.2</v>
      </c>
      <c r="C183" s="31" t="n">
        <v>0</v>
      </c>
      <c r="D183" s="31" t="n">
        <v>0.8</v>
      </c>
      <c r="E183" s="27" t="inlineStr">
        <is>
          <t>1M 20%/3M 80%</t>
        </is>
      </c>
      <c r="F183" s="27" t="n">
        <v>50</v>
      </c>
      <c r="G183" s="27">
        <f>A183*$B$7&gt;=$B$9</f>
        <v/>
      </c>
      <c r="H183" s="13">
        <f>$B$7*(A183*E$71+B183*F$71+C183*G$71+D183*H$71)+F183/100*$B$7*J$71-$C$71</f>
        <v/>
      </c>
      <c r="I183" s="13">
        <f>$B$7*(A183*L$71+B183*M$71+C183*N$71+D183*O$71)+F183/100*$B$7*Q$71-$C$71</f>
        <v/>
      </c>
      <c r="J183" s="13">
        <f>$B$7*(A183*S$71+B183*T$71+C183*U$71+D183*V$71)+F183/100*$B$7*X$71-$C$71</f>
        <v/>
      </c>
      <c r="K183" s="13">
        <f>$B$7*(A183*Z$71+B183*AA$71+C183*AB$71+D183*AC$71)+F183/100*$B$7*AE$71-$C$71</f>
        <v/>
      </c>
      <c r="L183" s="13">
        <f>$B$7*(A183*AG$71+B183*AH$71+C183*AI$71+D183*AJ$71)+F183/100*$B$7*AL$71-$C$71</f>
        <v/>
      </c>
      <c r="M183" s="13">
        <f>$B$7*(A183*AN$71+B183*AO$71+C183*AP$71+D183*AQ$71)+F183/100*$B$7*AS$71-$C$71</f>
        <v/>
      </c>
      <c r="N183" s="13">
        <f>SUMPRODUCT($H$24:$M$24,H183:M183)</f>
        <v/>
      </c>
      <c r="O183" s="14">
        <f>SQRT(SUMPRODUCT($H$24:$M$24,(H183:M183-N183)^2))</f>
        <v/>
      </c>
      <c r="P183" s="13">
        <f>MIN(H183:M183)</f>
        <v/>
      </c>
      <c r="Q183" s="13">
        <f>MAX(H183:M183)</f>
        <v/>
      </c>
      <c r="R183" s="27">
        <f>IF(G183,SUMPRODUCT(($G$76:$G$1505)*($N$76:$N$1505&gt;=N183)*($O$76:$O$1505&lt;=O183))=1,FALSE)</f>
        <v/>
      </c>
      <c r="S183" s="16">
        <f>IF(R183,ABS((O183-$AC$76)/MAX(0.0001,$AC$77-$AC$76)-(N183-$AC$78)/MAX(0.0001,$AC$79-$AC$78)),-1)</f>
        <v/>
      </c>
      <c r="T183" s="14">
        <f>IF(G183,O183,NA())</f>
        <v/>
      </c>
      <c r="U183" s="13">
        <f>IF(G183,N183,NA())</f>
        <v/>
      </c>
      <c r="V183" s="14">
        <f>IF(R183,O183,NA())</f>
        <v/>
      </c>
      <c r="W183" s="13">
        <f>IF(R183,N183,NA())</f>
        <v/>
      </c>
      <c r="X183" s="27">
        <f>IF(G183,P183,"")</f>
        <v/>
      </c>
      <c r="Y183" s="27">
        <f>IF(G183,N183,"")</f>
        <v/>
      </c>
      <c r="Z183" s="27">
        <f>IF(R183,O183,"")</f>
        <v/>
      </c>
      <c r="AA183" s="27">
        <f>IF(R183,N183,"")</f>
        <v/>
      </c>
    </row>
    <row r="184">
      <c r="A184" s="31" t="n">
        <v>0</v>
      </c>
      <c r="B184" s="31" t="n">
        <v>0.2</v>
      </c>
      <c r="C184" s="31" t="n">
        <v>0</v>
      </c>
      <c r="D184" s="31" t="n">
        <v>0.8</v>
      </c>
      <c r="E184" s="27" t="inlineStr">
        <is>
          <t>1M 20%/3M 80%</t>
        </is>
      </c>
      <c r="F184" s="27" t="n">
        <v>75</v>
      </c>
      <c r="G184" s="27">
        <f>A184*$B$7&gt;=$B$9</f>
        <v/>
      </c>
      <c r="H184" s="13">
        <f>$B$7*(A184*E$71+B184*F$71+C184*G$71+D184*H$71)+F184/100*$B$7*J$71-$C$71</f>
        <v/>
      </c>
      <c r="I184" s="13">
        <f>$B$7*(A184*L$71+B184*M$71+C184*N$71+D184*O$71)+F184/100*$B$7*Q$71-$C$71</f>
        <v/>
      </c>
      <c r="J184" s="13">
        <f>$B$7*(A184*S$71+B184*T$71+C184*U$71+D184*V$71)+F184/100*$B$7*X$71-$C$71</f>
        <v/>
      </c>
      <c r="K184" s="13">
        <f>$B$7*(A184*Z$71+B184*AA$71+C184*AB$71+D184*AC$71)+F184/100*$B$7*AE$71-$C$71</f>
        <v/>
      </c>
      <c r="L184" s="13">
        <f>$B$7*(A184*AG$71+B184*AH$71+C184*AI$71+D184*AJ$71)+F184/100*$B$7*AL$71-$C$71</f>
        <v/>
      </c>
      <c r="M184" s="13">
        <f>$B$7*(A184*AN$71+B184*AO$71+C184*AP$71+D184*AQ$71)+F184/100*$B$7*AS$71-$C$71</f>
        <v/>
      </c>
      <c r="N184" s="13">
        <f>SUMPRODUCT($H$24:$M$24,H184:M184)</f>
        <v/>
      </c>
      <c r="O184" s="14">
        <f>SQRT(SUMPRODUCT($H$24:$M$24,(H184:M184-N184)^2))</f>
        <v/>
      </c>
      <c r="P184" s="13">
        <f>MIN(H184:M184)</f>
        <v/>
      </c>
      <c r="Q184" s="13">
        <f>MAX(H184:M184)</f>
        <v/>
      </c>
      <c r="R184" s="27">
        <f>IF(G184,SUMPRODUCT(($G$76:$G$1505)*($N$76:$N$1505&gt;=N184)*($O$76:$O$1505&lt;=O184))=1,FALSE)</f>
        <v/>
      </c>
      <c r="S184" s="16">
        <f>IF(R184,ABS((O184-$AC$76)/MAX(0.0001,$AC$77-$AC$76)-(N184-$AC$78)/MAX(0.0001,$AC$79-$AC$78)),-1)</f>
        <v/>
      </c>
      <c r="T184" s="14">
        <f>IF(G184,O184,NA())</f>
        <v/>
      </c>
      <c r="U184" s="13">
        <f>IF(G184,N184,NA())</f>
        <v/>
      </c>
      <c r="V184" s="14">
        <f>IF(R184,O184,NA())</f>
        <v/>
      </c>
      <c r="W184" s="13">
        <f>IF(R184,N184,NA())</f>
        <v/>
      </c>
      <c r="X184" s="27">
        <f>IF(G184,P184,"")</f>
        <v/>
      </c>
      <c r="Y184" s="27">
        <f>IF(G184,N184,"")</f>
        <v/>
      </c>
      <c r="Z184" s="27">
        <f>IF(R184,O184,"")</f>
        <v/>
      </c>
      <c r="AA184" s="27">
        <f>IF(R184,N184,"")</f>
        <v/>
      </c>
    </row>
    <row r="185">
      <c r="A185" s="31" t="n">
        <v>0</v>
      </c>
      <c r="B185" s="31" t="n">
        <v>0.2</v>
      </c>
      <c r="C185" s="31" t="n">
        <v>0</v>
      </c>
      <c r="D185" s="31" t="n">
        <v>0.8</v>
      </c>
      <c r="E185" s="27" t="inlineStr">
        <is>
          <t>1M 20%/3M 80%</t>
        </is>
      </c>
      <c r="F185" s="27" t="n">
        <v>100</v>
      </c>
      <c r="G185" s="27">
        <f>A185*$B$7&gt;=$B$9</f>
        <v/>
      </c>
      <c r="H185" s="13">
        <f>$B$7*(A185*E$71+B185*F$71+C185*G$71+D185*H$71)+F185/100*$B$7*J$71-$C$71</f>
        <v/>
      </c>
      <c r="I185" s="13">
        <f>$B$7*(A185*L$71+B185*M$71+C185*N$71+D185*O$71)+F185/100*$B$7*Q$71-$C$71</f>
        <v/>
      </c>
      <c r="J185" s="13">
        <f>$B$7*(A185*S$71+B185*T$71+C185*U$71+D185*V$71)+F185/100*$B$7*X$71-$C$71</f>
        <v/>
      </c>
      <c r="K185" s="13">
        <f>$B$7*(A185*Z$71+B185*AA$71+C185*AB$71+D185*AC$71)+F185/100*$B$7*AE$71-$C$71</f>
        <v/>
      </c>
      <c r="L185" s="13">
        <f>$B$7*(A185*AG$71+B185*AH$71+C185*AI$71+D185*AJ$71)+F185/100*$B$7*AL$71-$C$71</f>
        <v/>
      </c>
      <c r="M185" s="13">
        <f>$B$7*(A185*AN$71+B185*AO$71+C185*AP$71+D185*AQ$71)+F185/100*$B$7*AS$71-$C$71</f>
        <v/>
      </c>
      <c r="N185" s="13">
        <f>SUMPRODUCT($H$24:$M$24,H185:M185)</f>
        <v/>
      </c>
      <c r="O185" s="14">
        <f>SQRT(SUMPRODUCT($H$24:$M$24,(H185:M185-N185)^2))</f>
        <v/>
      </c>
      <c r="P185" s="13">
        <f>MIN(H185:M185)</f>
        <v/>
      </c>
      <c r="Q185" s="13">
        <f>MAX(H185:M185)</f>
        <v/>
      </c>
      <c r="R185" s="27">
        <f>IF(G185,SUMPRODUCT(($G$76:$G$1505)*($N$76:$N$1505&gt;=N185)*($O$76:$O$1505&lt;=O185))=1,FALSE)</f>
        <v/>
      </c>
      <c r="S185" s="16">
        <f>IF(R185,ABS((O185-$AC$76)/MAX(0.0001,$AC$77-$AC$76)-(N185-$AC$78)/MAX(0.0001,$AC$79-$AC$78)),-1)</f>
        <v/>
      </c>
      <c r="T185" s="14">
        <f>IF(G185,O185,NA())</f>
        <v/>
      </c>
      <c r="U185" s="13">
        <f>IF(G185,N185,NA())</f>
        <v/>
      </c>
      <c r="V185" s="14">
        <f>IF(R185,O185,NA())</f>
        <v/>
      </c>
      <c r="W185" s="13">
        <f>IF(R185,N185,NA())</f>
        <v/>
      </c>
      <c r="X185" s="27">
        <f>IF(G185,P185,"")</f>
        <v/>
      </c>
      <c r="Y185" s="27">
        <f>IF(G185,N185,"")</f>
        <v/>
      </c>
      <c r="Z185" s="27">
        <f>IF(R185,O185,"")</f>
        <v/>
      </c>
      <c r="AA185" s="27">
        <f>IF(R185,N185,"")</f>
        <v/>
      </c>
    </row>
    <row r="186">
      <c r="A186" s="31" t="n">
        <v>0</v>
      </c>
      <c r="B186" s="31" t="n">
        <v>0.2</v>
      </c>
      <c r="C186" s="31" t="n">
        <v>0.1</v>
      </c>
      <c r="D186" s="31" t="n">
        <v>0.7</v>
      </c>
      <c r="E186" s="27" t="inlineStr">
        <is>
          <t>1M 20%/2M 10%/3M 70%</t>
        </is>
      </c>
      <c r="F186" s="27" t="n">
        <v>0</v>
      </c>
      <c r="G186" s="27">
        <f>A186*$B$7&gt;=$B$9</f>
        <v/>
      </c>
      <c r="H186" s="13">
        <f>$B$7*(A186*E$71+B186*F$71+C186*G$71+D186*H$71)+F186/100*$B$7*J$71-$C$71</f>
        <v/>
      </c>
      <c r="I186" s="13">
        <f>$B$7*(A186*L$71+B186*M$71+C186*N$71+D186*O$71)+F186/100*$B$7*Q$71-$C$71</f>
        <v/>
      </c>
      <c r="J186" s="13">
        <f>$B$7*(A186*S$71+B186*T$71+C186*U$71+D186*V$71)+F186/100*$B$7*X$71-$C$71</f>
        <v/>
      </c>
      <c r="K186" s="13">
        <f>$B$7*(A186*Z$71+B186*AA$71+C186*AB$71+D186*AC$71)+F186/100*$B$7*AE$71-$C$71</f>
        <v/>
      </c>
      <c r="L186" s="13">
        <f>$B$7*(A186*AG$71+B186*AH$71+C186*AI$71+D186*AJ$71)+F186/100*$B$7*AL$71-$C$71</f>
        <v/>
      </c>
      <c r="M186" s="13">
        <f>$B$7*(A186*AN$71+B186*AO$71+C186*AP$71+D186*AQ$71)+F186/100*$B$7*AS$71-$C$71</f>
        <v/>
      </c>
      <c r="N186" s="13">
        <f>SUMPRODUCT($H$24:$M$24,H186:M186)</f>
        <v/>
      </c>
      <c r="O186" s="14">
        <f>SQRT(SUMPRODUCT($H$24:$M$24,(H186:M186-N186)^2))</f>
        <v/>
      </c>
      <c r="P186" s="13">
        <f>MIN(H186:M186)</f>
        <v/>
      </c>
      <c r="Q186" s="13">
        <f>MAX(H186:M186)</f>
        <v/>
      </c>
      <c r="R186" s="27">
        <f>IF(G186,SUMPRODUCT(($G$76:$G$1505)*($N$76:$N$1505&gt;=N186)*($O$76:$O$1505&lt;=O186))=1,FALSE)</f>
        <v/>
      </c>
      <c r="S186" s="16">
        <f>IF(R186,ABS((O186-$AC$76)/MAX(0.0001,$AC$77-$AC$76)-(N186-$AC$78)/MAX(0.0001,$AC$79-$AC$78)),-1)</f>
        <v/>
      </c>
      <c r="T186" s="14">
        <f>IF(G186,O186,NA())</f>
        <v/>
      </c>
      <c r="U186" s="13">
        <f>IF(G186,N186,NA())</f>
        <v/>
      </c>
      <c r="V186" s="14">
        <f>IF(R186,O186,NA())</f>
        <v/>
      </c>
      <c r="W186" s="13">
        <f>IF(R186,N186,NA())</f>
        <v/>
      </c>
      <c r="X186" s="27">
        <f>IF(G186,P186,"")</f>
        <v/>
      </c>
      <c r="Y186" s="27">
        <f>IF(G186,N186,"")</f>
        <v/>
      </c>
      <c r="Z186" s="27">
        <f>IF(R186,O186,"")</f>
        <v/>
      </c>
      <c r="AA186" s="27">
        <f>IF(R186,N186,"")</f>
        <v/>
      </c>
    </row>
    <row r="187">
      <c r="A187" s="31" t="n">
        <v>0</v>
      </c>
      <c r="B187" s="31" t="n">
        <v>0.2</v>
      </c>
      <c r="C187" s="31" t="n">
        <v>0.1</v>
      </c>
      <c r="D187" s="31" t="n">
        <v>0.7</v>
      </c>
      <c r="E187" s="27" t="inlineStr">
        <is>
          <t>1M 20%/2M 10%/3M 70%</t>
        </is>
      </c>
      <c r="F187" s="27" t="n">
        <v>25</v>
      </c>
      <c r="G187" s="27">
        <f>A187*$B$7&gt;=$B$9</f>
        <v/>
      </c>
      <c r="H187" s="13">
        <f>$B$7*(A187*E$71+B187*F$71+C187*G$71+D187*H$71)+F187/100*$B$7*J$71-$C$71</f>
        <v/>
      </c>
      <c r="I187" s="13">
        <f>$B$7*(A187*L$71+B187*M$71+C187*N$71+D187*O$71)+F187/100*$B$7*Q$71-$C$71</f>
        <v/>
      </c>
      <c r="J187" s="13">
        <f>$B$7*(A187*S$71+B187*T$71+C187*U$71+D187*V$71)+F187/100*$B$7*X$71-$C$71</f>
        <v/>
      </c>
      <c r="K187" s="13">
        <f>$B$7*(A187*Z$71+B187*AA$71+C187*AB$71+D187*AC$71)+F187/100*$B$7*AE$71-$C$71</f>
        <v/>
      </c>
      <c r="L187" s="13">
        <f>$B$7*(A187*AG$71+B187*AH$71+C187*AI$71+D187*AJ$71)+F187/100*$B$7*AL$71-$C$71</f>
        <v/>
      </c>
      <c r="M187" s="13">
        <f>$B$7*(A187*AN$71+B187*AO$71+C187*AP$71+D187*AQ$71)+F187/100*$B$7*AS$71-$C$71</f>
        <v/>
      </c>
      <c r="N187" s="13">
        <f>SUMPRODUCT($H$24:$M$24,H187:M187)</f>
        <v/>
      </c>
      <c r="O187" s="14">
        <f>SQRT(SUMPRODUCT($H$24:$M$24,(H187:M187-N187)^2))</f>
        <v/>
      </c>
      <c r="P187" s="13">
        <f>MIN(H187:M187)</f>
        <v/>
      </c>
      <c r="Q187" s="13">
        <f>MAX(H187:M187)</f>
        <v/>
      </c>
      <c r="R187" s="27">
        <f>IF(G187,SUMPRODUCT(($G$76:$G$1505)*($N$76:$N$1505&gt;=N187)*($O$76:$O$1505&lt;=O187))=1,FALSE)</f>
        <v/>
      </c>
      <c r="S187" s="16">
        <f>IF(R187,ABS((O187-$AC$76)/MAX(0.0001,$AC$77-$AC$76)-(N187-$AC$78)/MAX(0.0001,$AC$79-$AC$78)),-1)</f>
        <v/>
      </c>
      <c r="T187" s="14">
        <f>IF(G187,O187,NA())</f>
        <v/>
      </c>
      <c r="U187" s="13">
        <f>IF(G187,N187,NA())</f>
        <v/>
      </c>
      <c r="V187" s="14">
        <f>IF(R187,O187,NA())</f>
        <v/>
      </c>
      <c r="W187" s="13">
        <f>IF(R187,N187,NA())</f>
        <v/>
      </c>
      <c r="X187" s="27">
        <f>IF(G187,P187,"")</f>
        <v/>
      </c>
      <c r="Y187" s="27">
        <f>IF(G187,N187,"")</f>
        <v/>
      </c>
      <c r="Z187" s="27">
        <f>IF(R187,O187,"")</f>
        <v/>
      </c>
      <c r="AA187" s="27">
        <f>IF(R187,N187,"")</f>
        <v/>
      </c>
    </row>
    <row r="188">
      <c r="A188" s="31" t="n">
        <v>0</v>
      </c>
      <c r="B188" s="31" t="n">
        <v>0.2</v>
      </c>
      <c r="C188" s="31" t="n">
        <v>0.1</v>
      </c>
      <c r="D188" s="31" t="n">
        <v>0.7</v>
      </c>
      <c r="E188" s="27" t="inlineStr">
        <is>
          <t>1M 20%/2M 10%/3M 70%</t>
        </is>
      </c>
      <c r="F188" s="27" t="n">
        <v>50</v>
      </c>
      <c r="G188" s="27">
        <f>A188*$B$7&gt;=$B$9</f>
        <v/>
      </c>
      <c r="H188" s="13">
        <f>$B$7*(A188*E$71+B188*F$71+C188*G$71+D188*H$71)+F188/100*$B$7*J$71-$C$71</f>
        <v/>
      </c>
      <c r="I188" s="13">
        <f>$B$7*(A188*L$71+B188*M$71+C188*N$71+D188*O$71)+F188/100*$B$7*Q$71-$C$71</f>
        <v/>
      </c>
      <c r="J188" s="13">
        <f>$B$7*(A188*S$71+B188*T$71+C188*U$71+D188*V$71)+F188/100*$B$7*X$71-$C$71</f>
        <v/>
      </c>
      <c r="K188" s="13">
        <f>$B$7*(A188*Z$71+B188*AA$71+C188*AB$71+D188*AC$71)+F188/100*$B$7*AE$71-$C$71</f>
        <v/>
      </c>
      <c r="L188" s="13">
        <f>$B$7*(A188*AG$71+B188*AH$71+C188*AI$71+D188*AJ$71)+F188/100*$B$7*AL$71-$C$71</f>
        <v/>
      </c>
      <c r="M188" s="13">
        <f>$B$7*(A188*AN$71+B188*AO$71+C188*AP$71+D188*AQ$71)+F188/100*$B$7*AS$71-$C$71</f>
        <v/>
      </c>
      <c r="N188" s="13">
        <f>SUMPRODUCT($H$24:$M$24,H188:M188)</f>
        <v/>
      </c>
      <c r="O188" s="14">
        <f>SQRT(SUMPRODUCT($H$24:$M$24,(H188:M188-N188)^2))</f>
        <v/>
      </c>
      <c r="P188" s="13">
        <f>MIN(H188:M188)</f>
        <v/>
      </c>
      <c r="Q188" s="13">
        <f>MAX(H188:M188)</f>
        <v/>
      </c>
      <c r="R188" s="27">
        <f>IF(G188,SUMPRODUCT(($G$76:$G$1505)*($N$76:$N$1505&gt;=N188)*($O$76:$O$1505&lt;=O188))=1,FALSE)</f>
        <v/>
      </c>
      <c r="S188" s="16">
        <f>IF(R188,ABS((O188-$AC$76)/MAX(0.0001,$AC$77-$AC$76)-(N188-$AC$78)/MAX(0.0001,$AC$79-$AC$78)),-1)</f>
        <v/>
      </c>
      <c r="T188" s="14">
        <f>IF(G188,O188,NA())</f>
        <v/>
      </c>
      <c r="U188" s="13">
        <f>IF(G188,N188,NA())</f>
        <v/>
      </c>
      <c r="V188" s="14">
        <f>IF(R188,O188,NA())</f>
        <v/>
      </c>
      <c r="W188" s="13">
        <f>IF(R188,N188,NA())</f>
        <v/>
      </c>
      <c r="X188" s="27">
        <f>IF(G188,P188,"")</f>
        <v/>
      </c>
      <c r="Y188" s="27">
        <f>IF(G188,N188,"")</f>
        <v/>
      </c>
      <c r="Z188" s="27">
        <f>IF(R188,O188,"")</f>
        <v/>
      </c>
      <c r="AA188" s="27">
        <f>IF(R188,N188,"")</f>
        <v/>
      </c>
    </row>
    <row r="189">
      <c r="A189" s="31" t="n">
        <v>0</v>
      </c>
      <c r="B189" s="31" t="n">
        <v>0.2</v>
      </c>
      <c r="C189" s="31" t="n">
        <v>0.1</v>
      </c>
      <c r="D189" s="31" t="n">
        <v>0.7</v>
      </c>
      <c r="E189" s="27" t="inlineStr">
        <is>
          <t>1M 20%/2M 10%/3M 70%</t>
        </is>
      </c>
      <c r="F189" s="27" t="n">
        <v>75</v>
      </c>
      <c r="G189" s="27">
        <f>A189*$B$7&gt;=$B$9</f>
        <v/>
      </c>
      <c r="H189" s="13">
        <f>$B$7*(A189*E$71+B189*F$71+C189*G$71+D189*H$71)+F189/100*$B$7*J$71-$C$71</f>
        <v/>
      </c>
      <c r="I189" s="13">
        <f>$B$7*(A189*L$71+B189*M$71+C189*N$71+D189*O$71)+F189/100*$B$7*Q$71-$C$71</f>
        <v/>
      </c>
      <c r="J189" s="13">
        <f>$B$7*(A189*S$71+B189*T$71+C189*U$71+D189*V$71)+F189/100*$B$7*X$71-$C$71</f>
        <v/>
      </c>
      <c r="K189" s="13">
        <f>$B$7*(A189*Z$71+B189*AA$71+C189*AB$71+D189*AC$71)+F189/100*$B$7*AE$71-$C$71</f>
        <v/>
      </c>
      <c r="L189" s="13">
        <f>$B$7*(A189*AG$71+B189*AH$71+C189*AI$71+D189*AJ$71)+F189/100*$B$7*AL$71-$C$71</f>
        <v/>
      </c>
      <c r="M189" s="13">
        <f>$B$7*(A189*AN$71+B189*AO$71+C189*AP$71+D189*AQ$71)+F189/100*$B$7*AS$71-$C$71</f>
        <v/>
      </c>
      <c r="N189" s="13">
        <f>SUMPRODUCT($H$24:$M$24,H189:M189)</f>
        <v/>
      </c>
      <c r="O189" s="14">
        <f>SQRT(SUMPRODUCT($H$24:$M$24,(H189:M189-N189)^2))</f>
        <v/>
      </c>
      <c r="P189" s="13">
        <f>MIN(H189:M189)</f>
        <v/>
      </c>
      <c r="Q189" s="13">
        <f>MAX(H189:M189)</f>
        <v/>
      </c>
      <c r="R189" s="27">
        <f>IF(G189,SUMPRODUCT(($G$76:$G$1505)*($N$76:$N$1505&gt;=N189)*($O$76:$O$1505&lt;=O189))=1,FALSE)</f>
        <v/>
      </c>
      <c r="S189" s="16">
        <f>IF(R189,ABS((O189-$AC$76)/MAX(0.0001,$AC$77-$AC$76)-(N189-$AC$78)/MAX(0.0001,$AC$79-$AC$78)),-1)</f>
        <v/>
      </c>
      <c r="T189" s="14">
        <f>IF(G189,O189,NA())</f>
        <v/>
      </c>
      <c r="U189" s="13">
        <f>IF(G189,N189,NA())</f>
        <v/>
      </c>
      <c r="V189" s="14">
        <f>IF(R189,O189,NA())</f>
        <v/>
      </c>
      <c r="W189" s="13">
        <f>IF(R189,N189,NA())</f>
        <v/>
      </c>
      <c r="X189" s="27">
        <f>IF(G189,P189,"")</f>
        <v/>
      </c>
      <c r="Y189" s="27">
        <f>IF(G189,N189,"")</f>
        <v/>
      </c>
      <c r="Z189" s="27">
        <f>IF(R189,O189,"")</f>
        <v/>
      </c>
      <c r="AA189" s="27">
        <f>IF(R189,N189,"")</f>
        <v/>
      </c>
    </row>
    <row r="190">
      <c r="A190" s="31" t="n">
        <v>0</v>
      </c>
      <c r="B190" s="31" t="n">
        <v>0.2</v>
      </c>
      <c r="C190" s="31" t="n">
        <v>0.1</v>
      </c>
      <c r="D190" s="31" t="n">
        <v>0.7</v>
      </c>
      <c r="E190" s="27" t="inlineStr">
        <is>
          <t>1M 20%/2M 10%/3M 70%</t>
        </is>
      </c>
      <c r="F190" s="27" t="n">
        <v>100</v>
      </c>
      <c r="G190" s="27">
        <f>A190*$B$7&gt;=$B$9</f>
        <v/>
      </c>
      <c r="H190" s="13">
        <f>$B$7*(A190*E$71+B190*F$71+C190*G$71+D190*H$71)+F190/100*$B$7*J$71-$C$71</f>
        <v/>
      </c>
      <c r="I190" s="13">
        <f>$B$7*(A190*L$71+B190*M$71+C190*N$71+D190*O$71)+F190/100*$B$7*Q$71-$C$71</f>
        <v/>
      </c>
      <c r="J190" s="13">
        <f>$B$7*(A190*S$71+B190*T$71+C190*U$71+D190*V$71)+F190/100*$B$7*X$71-$C$71</f>
        <v/>
      </c>
      <c r="K190" s="13">
        <f>$B$7*(A190*Z$71+B190*AA$71+C190*AB$71+D190*AC$71)+F190/100*$B$7*AE$71-$C$71</f>
        <v/>
      </c>
      <c r="L190" s="13">
        <f>$B$7*(A190*AG$71+B190*AH$71+C190*AI$71+D190*AJ$71)+F190/100*$B$7*AL$71-$C$71</f>
        <v/>
      </c>
      <c r="M190" s="13">
        <f>$B$7*(A190*AN$71+B190*AO$71+C190*AP$71+D190*AQ$71)+F190/100*$B$7*AS$71-$C$71</f>
        <v/>
      </c>
      <c r="N190" s="13">
        <f>SUMPRODUCT($H$24:$M$24,H190:M190)</f>
        <v/>
      </c>
      <c r="O190" s="14">
        <f>SQRT(SUMPRODUCT($H$24:$M$24,(H190:M190-N190)^2))</f>
        <v/>
      </c>
      <c r="P190" s="13">
        <f>MIN(H190:M190)</f>
        <v/>
      </c>
      <c r="Q190" s="13">
        <f>MAX(H190:M190)</f>
        <v/>
      </c>
      <c r="R190" s="27">
        <f>IF(G190,SUMPRODUCT(($G$76:$G$1505)*($N$76:$N$1505&gt;=N190)*($O$76:$O$1505&lt;=O190))=1,FALSE)</f>
        <v/>
      </c>
      <c r="S190" s="16">
        <f>IF(R190,ABS((O190-$AC$76)/MAX(0.0001,$AC$77-$AC$76)-(N190-$AC$78)/MAX(0.0001,$AC$79-$AC$78)),-1)</f>
        <v/>
      </c>
      <c r="T190" s="14">
        <f>IF(G190,O190,NA())</f>
        <v/>
      </c>
      <c r="U190" s="13">
        <f>IF(G190,N190,NA())</f>
        <v/>
      </c>
      <c r="V190" s="14">
        <f>IF(R190,O190,NA())</f>
        <v/>
      </c>
      <c r="W190" s="13">
        <f>IF(R190,N190,NA())</f>
        <v/>
      </c>
      <c r="X190" s="27">
        <f>IF(G190,P190,"")</f>
        <v/>
      </c>
      <c r="Y190" s="27">
        <f>IF(G190,N190,"")</f>
        <v/>
      </c>
      <c r="Z190" s="27">
        <f>IF(R190,O190,"")</f>
        <v/>
      </c>
      <c r="AA190" s="27">
        <f>IF(R190,N190,"")</f>
        <v/>
      </c>
    </row>
    <row r="191">
      <c r="A191" s="31" t="n">
        <v>0</v>
      </c>
      <c r="B191" s="31" t="n">
        <v>0.2</v>
      </c>
      <c r="C191" s="31" t="n">
        <v>0.2</v>
      </c>
      <c r="D191" s="31" t="n">
        <v>0.6</v>
      </c>
      <c r="E191" s="27" t="inlineStr">
        <is>
          <t>1M 20%/2M 20%/3M 60%</t>
        </is>
      </c>
      <c r="F191" s="27" t="n">
        <v>0</v>
      </c>
      <c r="G191" s="27">
        <f>A191*$B$7&gt;=$B$9</f>
        <v/>
      </c>
      <c r="H191" s="13">
        <f>$B$7*(A191*E$71+B191*F$71+C191*G$71+D191*H$71)+F191/100*$B$7*J$71-$C$71</f>
        <v/>
      </c>
      <c r="I191" s="13">
        <f>$B$7*(A191*L$71+B191*M$71+C191*N$71+D191*O$71)+F191/100*$B$7*Q$71-$C$71</f>
        <v/>
      </c>
      <c r="J191" s="13">
        <f>$B$7*(A191*S$71+B191*T$71+C191*U$71+D191*V$71)+F191/100*$B$7*X$71-$C$71</f>
        <v/>
      </c>
      <c r="K191" s="13">
        <f>$B$7*(A191*Z$71+B191*AA$71+C191*AB$71+D191*AC$71)+F191/100*$B$7*AE$71-$C$71</f>
        <v/>
      </c>
      <c r="L191" s="13">
        <f>$B$7*(A191*AG$71+B191*AH$71+C191*AI$71+D191*AJ$71)+F191/100*$B$7*AL$71-$C$71</f>
        <v/>
      </c>
      <c r="M191" s="13">
        <f>$B$7*(A191*AN$71+B191*AO$71+C191*AP$71+D191*AQ$71)+F191/100*$B$7*AS$71-$C$71</f>
        <v/>
      </c>
      <c r="N191" s="13">
        <f>SUMPRODUCT($H$24:$M$24,H191:M191)</f>
        <v/>
      </c>
      <c r="O191" s="14">
        <f>SQRT(SUMPRODUCT($H$24:$M$24,(H191:M191-N191)^2))</f>
        <v/>
      </c>
      <c r="P191" s="13">
        <f>MIN(H191:M191)</f>
        <v/>
      </c>
      <c r="Q191" s="13">
        <f>MAX(H191:M191)</f>
        <v/>
      </c>
      <c r="R191" s="27">
        <f>IF(G191,SUMPRODUCT(($G$76:$G$1505)*($N$76:$N$1505&gt;=N191)*($O$76:$O$1505&lt;=O191))=1,FALSE)</f>
        <v/>
      </c>
      <c r="S191" s="16">
        <f>IF(R191,ABS((O191-$AC$76)/MAX(0.0001,$AC$77-$AC$76)-(N191-$AC$78)/MAX(0.0001,$AC$79-$AC$78)),-1)</f>
        <v/>
      </c>
      <c r="T191" s="14">
        <f>IF(G191,O191,NA())</f>
        <v/>
      </c>
      <c r="U191" s="13">
        <f>IF(G191,N191,NA())</f>
        <v/>
      </c>
      <c r="V191" s="14">
        <f>IF(R191,O191,NA())</f>
        <v/>
      </c>
      <c r="W191" s="13">
        <f>IF(R191,N191,NA())</f>
        <v/>
      </c>
      <c r="X191" s="27">
        <f>IF(G191,P191,"")</f>
        <v/>
      </c>
      <c r="Y191" s="27">
        <f>IF(G191,N191,"")</f>
        <v/>
      </c>
      <c r="Z191" s="27">
        <f>IF(R191,O191,"")</f>
        <v/>
      </c>
      <c r="AA191" s="27">
        <f>IF(R191,N191,"")</f>
        <v/>
      </c>
    </row>
    <row r="192">
      <c r="A192" s="31" t="n">
        <v>0</v>
      </c>
      <c r="B192" s="31" t="n">
        <v>0.2</v>
      </c>
      <c r="C192" s="31" t="n">
        <v>0.2</v>
      </c>
      <c r="D192" s="31" t="n">
        <v>0.6</v>
      </c>
      <c r="E192" s="27" t="inlineStr">
        <is>
          <t>1M 20%/2M 20%/3M 60%</t>
        </is>
      </c>
      <c r="F192" s="27" t="n">
        <v>25</v>
      </c>
      <c r="G192" s="27">
        <f>A192*$B$7&gt;=$B$9</f>
        <v/>
      </c>
      <c r="H192" s="13">
        <f>$B$7*(A192*E$71+B192*F$71+C192*G$71+D192*H$71)+F192/100*$B$7*J$71-$C$71</f>
        <v/>
      </c>
      <c r="I192" s="13">
        <f>$B$7*(A192*L$71+B192*M$71+C192*N$71+D192*O$71)+F192/100*$B$7*Q$71-$C$71</f>
        <v/>
      </c>
      <c r="J192" s="13">
        <f>$B$7*(A192*S$71+B192*T$71+C192*U$71+D192*V$71)+F192/100*$B$7*X$71-$C$71</f>
        <v/>
      </c>
      <c r="K192" s="13">
        <f>$B$7*(A192*Z$71+B192*AA$71+C192*AB$71+D192*AC$71)+F192/100*$B$7*AE$71-$C$71</f>
        <v/>
      </c>
      <c r="L192" s="13">
        <f>$B$7*(A192*AG$71+B192*AH$71+C192*AI$71+D192*AJ$71)+F192/100*$B$7*AL$71-$C$71</f>
        <v/>
      </c>
      <c r="M192" s="13">
        <f>$B$7*(A192*AN$71+B192*AO$71+C192*AP$71+D192*AQ$71)+F192/100*$B$7*AS$71-$C$71</f>
        <v/>
      </c>
      <c r="N192" s="13">
        <f>SUMPRODUCT($H$24:$M$24,H192:M192)</f>
        <v/>
      </c>
      <c r="O192" s="14">
        <f>SQRT(SUMPRODUCT($H$24:$M$24,(H192:M192-N192)^2))</f>
        <v/>
      </c>
      <c r="P192" s="13">
        <f>MIN(H192:M192)</f>
        <v/>
      </c>
      <c r="Q192" s="13">
        <f>MAX(H192:M192)</f>
        <v/>
      </c>
      <c r="R192" s="27">
        <f>IF(G192,SUMPRODUCT(($G$76:$G$1505)*($N$76:$N$1505&gt;=N192)*($O$76:$O$1505&lt;=O192))=1,FALSE)</f>
        <v/>
      </c>
      <c r="S192" s="16">
        <f>IF(R192,ABS((O192-$AC$76)/MAX(0.0001,$AC$77-$AC$76)-(N192-$AC$78)/MAX(0.0001,$AC$79-$AC$78)),-1)</f>
        <v/>
      </c>
      <c r="T192" s="14">
        <f>IF(G192,O192,NA())</f>
        <v/>
      </c>
      <c r="U192" s="13">
        <f>IF(G192,N192,NA())</f>
        <v/>
      </c>
      <c r="V192" s="14">
        <f>IF(R192,O192,NA())</f>
        <v/>
      </c>
      <c r="W192" s="13">
        <f>IF(R192,N192,NA())</f>
        <v/>
      </c>
      <c r="X192" s="27">
        <f>IF(G192,P192,"")</f>
        <v/>
      </c>
      <c r="Y192" s="27">
        <f>IF(G192,N192,"")</f>
        <v/>
      </c>
      <c r="Z192" s="27">
        <f>IF(R192,O192,"")</f>
        <v/>
      </c>
      <c r="AA192" s="27">
        <f>IF(R192,N192,"")</f>
        <v/>
      </c>
    </row>
    <row r="193">
      <c r="A193" s="31" t="n">
        <v>0</v>
      </c>
      <c r="B193" s="31" t="n">
        <v>0.2</v>
      </c>
      <c r="C193" s="31" t="n">
        <v>0.2</v>
      </c>
      <c r="D193" s="31" t="n">
        <v>0.6</v>
      </c>
      <c r="E193" s="27" t="inlineStr">
        <is>
          <t>1M 20%/2M 20%/3M 60%</t>
        </is>
      </c>
      <c r="F193" s="27" t="n">
        <v>50</v>
      </c>
      <c r="G193" s="27">
        <f>A193*$B$7&gt;=$B$9</f>
        <v/>
      </c>
      <c r="H193" s="13">
        <f>$B$7*(A193*E$71+B193*F$71+C193*G$71+D193*H$71)+F193/100*$B$7*J$71-$C$71</f>
        <v/>
      </c>
      <c r="I193" s="13">
        <f>$B$7*(A193*L$71+B193*M$71+C193*N$71+D193*O$71)+F193/100*$B$7*Q$71-$C$71</f>
        <v/>
      </c>
      <c r="J193" s="13">
        <f>$B$7*(A193*S$71+B193*T$71+C193*U$71+D193*V$71)+F193/100*$B$7*X$71-$C$71</f>
        <v/>
      </c>
      <c r="K193" s="13">
        <f>$B$7*(A193*Z$71+B193*AA$71+C193*AB$71+D193*AC$71)+F193/100*$B$7*AE$71-$C$71</f>
        <v/>
      </c>
      <c r="L193" s="13">
        <f>$B$7*(A193*AG$71+B193*AH$71+C193*AI$71+D193*AJ$71)+F193/100*$B$7*AL$71-$C$71</f>
        <v/>
      </c>
      <c r="M193" s="13">
        <f>$B$7*(A193*AN$71+B193*AO$71+C193*AP$71+D193*AQ$71)+F193/100*$B$7*AS$71-$C$71</f>
        <v/>
      </c>
      <c r="N193" s="13">
        <f>SUMPRODUCT($H$24:$M$24,H193:M193)</f>
        <v/>
      </c>
      <c r="O193" s="14">
        <f>SQRT(SUMPRODUCT($H$24:$M$24,(H193:M193-N193)^2))</f>
        <v/>
      </c>
      <c r="P193" s="13">
        <f>MIN(H193:M193)</f>
        <v/>
      </c>
      <c r="Q193" s="13">
        <f>MAX(H193:M193)</f>
        <v/>
      </c>
      <c r="R193" s="27">
        <f>IF(G193,SUMPRODUCT(($G$76:$G$1505)*($N$76:$N$1505&gt;=N193)*($O$76:$O$1505&lt;=O193))=1,FALSE)</f>
        <v/>
      </c>
      <c r="S193" s="16">
        <f>IF(R193,ABS((O193-$AC$76)/MAX(0.0001,$AC$77-$AC$76)-(N193-$AC$78)/MAX(0.0001,$AC$79-$AC$78)),-1)</f>
        <v/>
      </c>
      <c r="T193" s="14">
        <f>IF(G193,O193,NA())</f>
        <v/>
      </c>
      <c r="U193" s="13">
        <f>IF(G193,N193,NA())</f>
        <v/>
      </c>
      <c r="V193" s="14">
        <f>IF(R193,O193,NA())</f>
        <v/>
      </c>
      <c r="W193" s="13">
        <f>IF(R193,N193,NA())</f>
        <v/>
      </c>
      <c r="X193" s="27">
        <f>IF(G193,P193,"")</f>
        <v/>
      </c>
      <c r="Y193" s="27">
        <f>IF(G193,N193,"")</f>
        <v/>
      </c>
      <c r="Z193" s="27">
        <f>IF(R193,O193,"")</f>
        <v/>
      </c>
      <c r="AA193" s="27">
        <f>IF(R193,N193,"")</f>
        <v/>
      </c>
    </row>
    <row r="194">
      <c r="A194" s="31" t="n">
        <v>0</v>
      </c>
      <c r="B194" s="31" t="n">
        <v>0.2</v>
      </c>
      <c r="C194" s="31" t="n">
        <v>0.2</v>
      </c>
      <c r="D194" s="31" t="n">
        <v>0.6</v>
      </c>
      <c r="E194" s="27" t="inlineStr">
        <is>
          <t>1M 20%/2M 20%/3M 60%</t>
        </is>
      </c>
      <c r="F194" s="27" t="n">
        <v>75</v>
      </c>
      <c r="G194" s="27">
        <f>A194*$B$7&gt;=$B$9</f>
        <v/>
      </c>
      <c r="H194" s="13">
        <f>$B$7*(A194*E$71+B194*F$71+C194*G$71+D194*H$71)+F194/100*$B$7*J$71-$C$71</f>
        <v/>
      </c>
      <c r="I194" s="13">
        <f>$B$7*(A194*L$71+B194*M$71+C194*N$71+D194*O$71)+F194/100*$B$7*Q$71-$C$71</f>
        <v/>
      </c>
      <c r="J194" s="13">
        <f>$B$7*(A194*S$71+B194*T$71+C194*U$71+D194*V$71)+F194/100*$B$7*X$71-$C$71</f>
        <v/>
      </c>
      <c r="K194" s="13">
        <f>$B$7*(A194*Z$71+B194*AA$71+C194*AB$71+D194*AC$71)+F194/100*$B$7*AE$71-$C$71</f>
        <v/>
      </c>
      <c r="L194" s="13">
        <f>$B$7*(A194*AG$71+B194*AH$71+C194*AI$71+D194*AJ$71)+F194/100*$B$7*AL$71-$C$71</f>
        <v/>
      </c>
      <c r="M194" s="13">
        <f>$B$7*(A194*AN$71+B194*AO$71+C194*AP$71+D194*AQ$71)+F194/100*$B$7*AS$71-$C$71</f>
        <v/>
      </c>
      <c r="N194" s="13">
        <f>SUMPRODUCT($H$24:$M$24,H194:M194)</f>
        <v/>
      </c>
      <c r="O194" s="14">
        <f>SQRT(SUMPRODUCT($H$24:$M$24,(H194:M194-N194)^2))</f>
        <v/>
      </c>
      <c r="P194" s="13">
        <f>MIN(H194:M194)</f>
        <v/>
      </c>
      <c r="Q194" s="13">
        <f>MAX(H194:M194)</f>
        <v/>
      </c>
      <c r="R194" s="27">
        <f>IF(G194,SUMPRODUCT(($G$76:$G$1505)*($N$76:$N$1505&gt;=N194)*($O$76:$O$1505&lt;=O194))=1,FALSE)</f>
        <v/>
      </c>
      <c r="S194" s="16">
        <f>IF(R194,ABS((O194-$AC$76)/MAX(0.0001,$AC$77-$AC$76)-(N194-$AC$78)/MAX(0.0001,$AC$79-$AC$78)),-1)</f>
        <v/>
      </c>
      <c r="T194" s="14">
        <f>IF(G194,O194,NA())</f>
        <v/>
      </c>
      <c r="U194" s="13">
        <f>IF(G194,N194,NA())</f>
        <v/>
      </c>
      <c r="V194" s="14">
        <f>IF(R194,O194,NA())</f>
        <v/>
      </c>
      <c r="W194" s="13">
        <f>IF(R194,N194,NA())</f>
        <v/>
      </c>
      <c r="X194" s="27">
        <f>IF(G194,P194,"")</f>
        <v/>
      </c>
      <c r="Y194" s="27">
        <f>IF(G194,N194,"")</f>
        <v/>
      </c>
      <c r="Z194" s="27">
        <f>IF(R194,O194,"")</f>
        <v/>
      </c>
      <c r="AA194" s="27">
        <f>IF(R194,N194,"")</f>
        <v/>
      </c>
    </row>
    <row r="195">
      <c r="A195" s="31" t="n">
        <v>0</v>
      </c>
      <c r="B195" s="31" t="n">
        <v>0.2</v>
      </c>
      <c r="C195" s="31" t="n">
        <v>0.2</v>
      </c>
      <c r="D195" s="31" t="n">
        <v>0.6</v>
      </c>
      <c r="E195" s="27" t="inlineStr">
        <is>
          <t>1M 20%/2M 20%/3M 60%</t>
        </is>
      </c>
      <c r="F195" s="27" t="n">
        <v>100</v>
      </c>
      <c r="G195" s="27">
        <f>A195*$B$7&gt;=$B$9</f>
        <v/>
      </c>
      <c r="H195" s="13">
        <f>$B$7*(A195*E$71+B195*F$71+C195*G$71+D195*H$71)+F195/100*$B$7*J$71-$C$71</f>
        <v/>
      </c>
      <c r="I195" s="13">
        <f>$B$7*(A195*L$71+B195*M$71+C195*N$71+D195*O$71)+F195/100*$B$7*Q$71-$C$71</f>
        <v/>
      </c>
      <c r="J195" s="13">
        <f>$B$7*(A195*S$71+B195*T$71+C195*U$71+D195*V$71)+F195/100*$B$7*X$71-$C$71</f>
        <v/>
      </c>
      <c r="K195" s="13">
        <f>$B$7*(A195*Z$71+B195*AA$71+C195*AB$71+D195*AC$71)+F195/100*$B$7*AE$71-$C$71</f>
        <v/>
      </c>
      <c r="L195" s="13">
        <f>$B$7*(A195*AG$71+B195*AH$71+C195*AI$71+D195*AJ$71)+F195/100*$B$7*AL$71-$C$71</f>
        <v/>
      </c>
      <c r="M195" s="13">
        <f>$B$7*(A195*AN$71+B195*AO$71+C195*AP$71+D195*AQ$71)+F195/100*$B$7*AS$71-$C$71</f>
        <v/>
      </c>
      <c r="N195" s="13">
        <f>SUMPRODUCT($H$24:$M$24,H195:M195)</f>
        <v/>
      </c>
      <c r="O195" s="14">
        <f>SQRT(SUMPRODUCT($H$24:$M$24,(H195:M195-N195)^2))</f>
        <v/>
      </c>
      <c r="P195" s="13">
        <f>MIN(H195:M195)</f>
        <v/>
      </c>
      <c r="Q195" s="13">
        <f>MAX(H195:M195)</f>
        <v/>
      </c>
      <c r="R195" s="27">
        <f>IF(G195,SUMPRODUCT(($G$76:$G$1505)*($N$76:$N$1505&gt;=N195)*($O$76:$O$1505&lt;=O195))=1,FALSE)</f>
        <v/>
      </c>
      <c r="S195" s="16">
        <f>IF(R195,ABS((O195-$AC$76)/MAX(0.0001,$AC$77-$AC$76)-(N195-$AC$78)/MAX(0.0001,$AC$79-$AC$78)),-1)</f>
        <v/>
      </c>
      <c r="T195" s="14">
        <f>IF(G195,O195,NA())</f>
        <v/>
      </c>
      <c r="U195" s="13">
        <f>IF(G195,N195,NA())</f>
        <v/>
      </c>
      <c r="V195" s="14">
        <f>IF(R195,O195,NA())</f>
        <v/>
      </c>
      <c r="W195" s="13">
        <f>IF(R195,N195,NA())</f>
        <v/>
      </c>
      <c r="X195" s="27">
        <f>IF(G195,P195,"")</f>
        <v/>
      </c>
      <c r="Y195" s="27">
        <f>IF(G195,N195,"")</f>
        <v/>
      </c>
      <c r="Z195" s="27">
        <f>IF(R195,O195,"")</f>
        <v/>
      </c>
      <c r="AA195" s="27">
        <f>IF(R195,N195,"")</f>
        <v/>
      </c>
    </row>
    <row r="196">
      <c r="A196" s="31" t="n">
        <v>0</v>
      </c>
      <c r="B196" s="31" t="n">
        <v>0.2</v>
      </c>
      <c r="C196" s="31" t="n">
        <v>0.3</v>
      </c>
      <c r="D196" s="31" t="n">
        <v>0.5</v>
      </c>
      <c r="E196" s="27" t="inlineStr">
        <is>
          <t>1M 20%/2M 30%/3M 50%</t>
        </is>
      </c>
      <c r="F196" s="27" t="n">
        <v>0</v>
      </c>
      <c r="G196" s="27">
        <f>A196*$B$7&gt;=$B$9</f>
        <v/>
      </c>
      <c r="H196" s="13">
        <f>$B$7*(A196*E$71+B196*F$71+C196*G$71+D196*H$71)+F196/100*$B$7*J$71-$C$71</f>
        <v/>
      </c>
      <c r="I196" s="13">
        <f>$B$7*(A196*L$71+B196*M$71+C196*N$71+D196*O$71)+F196/100*$B$7*Q$71-$C$71</f>
        <v/>
      </c>
      <c r="J196" s="13">
        <f>$B$7*(A196*S$71+B196*T$71+C196*U$71+D196*V$71)+F196/100*$B$7*X$71-$C$71</f>
        <v/>
      </c>
      <c r="K196" s="13">
        <f>$B$7*(A196*Z$71+B196*AA$71+C196*AB$71+D196*AC$71)+F196/100*$B$7*AE$71-$C$71</f>
        <v/>
      </c>
      <c r="L196" s="13">
        <f>$B$7*(A196*AG$71+B196*AH$71+C196*AI$71+D196*AJ$71)+F196/100*$B$7*AL$71-$C$71</f>
        <v/>
      </c>
      <c r="M196" s="13">
        <f>$B$7*(A196*AN$71+B196*AO$71+C196*AP$71+D196*AQ$71)+F196/100*$B$7*AS$71-$C$71</f>
        <v/>
      </c>
      <c r="N196" s="13">
        <f>SUMPRODUCT($H$24:$M$24,H196:M196)</f>
        <v/>
      </c>
      <c r="O196" s="14">
        <f>SQRT(SUMPRODUCT($H$24:$M$24,(H196:M196-N196)^2))</f>
        <v/>
      </c>
      <c r="P196" s="13">
        <f>MIN(H196:M196)</f>
        <v/>
      </c>
      <c r="Q196" s="13">
        <f>MAX(H196:M196)</f>
        <v/>
      </c>
      <c r="R196" s="27">
        <f>IF(G196,SUMPRODUCT(($G$76:$G$1505)*($N$76:$N$1505&gt;=N196)*($O$76:$O$1505&lt;=O196))=1,FALSE)</f>
        <v/>
      </c>
      <c r="S196" s="16">
        <f>IF(R196,ABS((O196-$AC$76)/MAX(0.0001,$AC$77-$AC$76)-(N196-$AC$78)/MAX(0.0001,$AC$79-$AC$78)),-1)</f>
        <v/>
      </c>
      <c r="T196" s="14">
        <f>IF(G196,O196,NA())</f>
        <v/>
      </c>
      <c r="U196" s="13">
        <f>IF(G196,N196,NA())</f>
        <v/>
      </c>
      <c r="V196" s="14">
        <f>IF(R196,O196,NA())</f>
        <v/>
      </c>
      <c r="W196" s="13">
        <f>IF(R196,N196,NA())</f>
        <v/>
      </c>
      <c r="X196" s="27">
        <f>IF(G196,P196,"")</f>
        <v/>
      </c>
      <c r="Y196" s="27">
        <f>IF(G196,N196,"")</f>
        <v/>
      </c>
      <c r="Z196" s="27">
        <f>IF(R196,O196,"")</f>
        <v/>
      </c>
      <c r="AA196" s="27">
        <f>IF(R196,N196,"")</f>
        <v/>
      </c>
    </row>
    <row r="197">
      <c r="A197" s="31" t="n">
        <v>0</v>
      </c>
      <c r="B197" s="31" t="n">
        <v>0.2</v>
      </c>
      <c r="C197" s="31" t="n">
        <v>0.3</v>
      </c>
      <c r="D197" s="31" t="n">
        <v>0.5</v>
      </c>
      <c r="E197" s="27" t="inlineStr">
        <is>
          <t>1M 20%/2M 30%/3M 50%</t>
        </is>
      </c>
      <c r="F197" s="27" t="n">
        <v>25</v>
      </c>
      <c r="G197" s="27">
        <f>A197*$B$7&gt;=$B$9</f>
        <v/>
      </c>
      <c r="H197" s="13">
        <f>$B$7*(A197*E$71+B197*F$71+C197*G$71+D197*H$71)+F197/100*$B$7*J$71-$C$71</f>
        <v/>
      </c>
      <c r="I197" s="13">
        <f>$B$7*(A197*L$71+B197*M$71+C197*N$71+D197*O$71)+F197/100*$B$7*Q$71-$C$71</f>
        <v/>
      </c>
      <c r="J197" s="13">
        <f>$B$7*(A197*S$71+B197*T$71+C197*U$71+D197*V$71)+F197/100*$B$7*X$71-$C$71</f>
        <v/>
      </c>
      <c r="K197" s="13">
        <f>$B$7*(A197*Z$71+B197*AA$71+C197*AB$71+D197*AC$71)+F197/100*$B$7*AE$71-$C$71</f>
        <v/>
      </c>
      <c r="L197" s="13">
        <f>$B$7*(A197*AG$71+B197*AH$71+C197*AI$71+D197*AJ$71)+F197/100*$B$7*AL$71-$C$71</f>
        <v/>
      </c>
      <c r="M197" s="13">
        <f>$B$7*(A197*AN$71+B197*AO$71+C197*AP$71+D197*AQ$71)+F197/100*$B$7*AS$71-$C$71</f>
        <v/>
      </c>
      <c r="N197" s="13">
        <f>SUMPRODUCT($H$24:$M$24,H197:M197)</f>
        <v/>
      </c>
      <c r="O197" s="14">
        <f>SQRT(SUMPRODUCT($H$24:$M$24,(H197:M197-N197)^2))</f>
        <v/>
      </c>
      <c r="P197" s="13">
        <f>MIN(H197:M197)</f>
        <v/>
      </c>
      <c r="Q197" s="13">
        <f>MAX(H197:M197)</f>
        <v/>
      </c>
      <c r="R197" s="27">
        <f>IF(G197,SUMPRODUCT(($G$76:$G$1505)*($N$76:$N$1505&gt;=N197)*($O$76:$O$1505&lt;=O197))=1,FALSE)</f>
        <v/>
      </c>
      <c r="S197" s="16">
        <f>IF(R197,ABS((O197-$AC$76)/MAX(0.0001,$AC$77-$AC$76)-(N197-$AC$78)/MAX(0.0001,$AC$79-$AC$78)),-1)</f>
        <v/>
      </c>
      <c r="T197" s="14">
        <f>IF(G197,O197,NA())</f>
        <v/>
      </c>
      <c r="U197" s="13">
        <f>IF(G197,N197,NA())</f>
        <v/>
      </c>
      <c r="V197" s="14">
        <f>IF(R197,O197,NA())</f>
        <v/>
      </c>
      <c r="W197" s="13">
        <f>IF(R197,N197,NA())</f>
        <v/>
      </c>
      <c r="X197" s="27">
        <f>IF(G197,P197,"")</f>
        <v/>
      </c>
      <c r="Y197" s="27">
        <f>IF(G197,N197,"")</f>
        <v/>
      </c>
      <c r="Z197" s="27">
        <f>IF(R197,O197,"")</f>
        <v/>
      </c>
      <c r="AA197" s="27">
        <f>IF(R197,N197,"")</f>
        <v/>
      </c>
    </row>
    <row r="198">
      <c r="A198" s="31" t="n">
        <v>0</v>
      </c>
      <c r="B198" s="31" t="n">
        <v>0.2</v>
      </c>
      <c r="C198" s="31" t="n">
        <v>0.3</v>
      </c>
      <c r="D198" s="31" t="n">
        <v>0.5</v>
      </c>
      <c r="E198" s="27" t="inlineStr">
        <is>
          <t>1M 20%/2M 30%/3M 50%</t>
        </is>
      </c>
      <c r="F198" s="27" t="n">
        <v>50</v>
      </c>
      <c r="G198" s="27">
        <f>A198*$B$7&gt;=$B$9</f>
        <v/>
      </c>
      <c r="H198" s="13">
        <f>$B$7*(A198*E$71+B198*F$71+C198*G$71+D198*H$71)+F198/100*$B$7*J$71-$C$71</f>
        <v/>
      </c>
      <c r="I198" s="13">
        <f>$B$7*(A198*L$71+B198*M$71+C198*N$71+D198*O$71)+F198/100*$B$7*Q$71-$C$71</f>
        <v/>
      </c>
      <c r="J198" s="13">
        <f>$B$7*(A198*S$71+B198*T$71+C198*U$71+D198*V$71)+F198/100*$B$7*X$71-$C$71</f>
        <v/>
      </c>
      <c r="K198" s="13">
        <f>$B$7*(A198*Z$71+B198*AA$71+C198*AB$71+D198*AC$71)+F198/100*$B$7*AE$71-$C$71</f>
        <v/>
      </c>
      <c r="L198" s="13">
        <f>$B$7*(A198*AG$71+B198*AH$71+C198*AI$71+D198*AJ$71)+F198/100*$B$7*AL$71-$C$71</f>
        <v/>
      </c>
      <c r="M198" s="13">
        <f>$B$7*(A198*AN$71+B198*AO$71+C198*AP$71+D198*AQ$71)+F198/100*$B$7*AS$71-$C$71</f>
        <v/>
      </c>
      <c r="N198" s="13">
        <f>SUMPRODUCT($H$24:$M$24,H198:M198)</f>
        <v/>
      </c>
      <c r="O198" s="14">
        <f>SQRT(SUMPRODUCT($H$24:$M$24,(H198:M198-N198)^2))</f>
        <v/>
      </c>
      <c r="P198" s="13">
        <f>MIN(H198:M198)</f>
        <v/>
      </c>
      <c r="Q198" s="13">
        <f>MAX(H198:M198)</f>
        <v/>
      </c>
      <c r="R198" s="27">
        <f>IF(G198,SUMPRODUCT(($G$76:$G$1505)*($N$76:$N$1505&gt;=N198)*($O$76:$O$1505&lt;=O198))=1,FALSE)</f>
        <v/>
      </c>
      <c r="S198" s="16">
        <f>IF(R198,ABS((O198-$AC$76)/MAX(0.0001,$AC$77-$AC$76)-(N198-$AC$78)/MAX(0.0001,$AC$79-$AC$78)),-1)</f>
        <v/>
      </c>
      <c r="T198" s="14">
        <f>IF(G198,O198,NA())</f>
        <v/>
      </c>
      <c r="U198" s="13">
        <f>IF(G198,N198,NA())</f>
        <v/>
      </c>
      <c r="V198" s="14">
        <f>IF(R198,O198,NA())</f>
        <v/>
      </c>
      <c r="W198" s="13">
        <f>IF(R198,N198,NA())</f>
        <v/>
      </c>
      <c r="X198" s="27">
        <f>IF(G198,P198,"")</f>
        <v/>
      </c>
      <c r="Y198" s="27">
        <f>IF(G198,N198,"")</f>
        <v/>
      </c>
      <c r="Z198" s="27">
        <f>IF(R198,O198,"")</f>
        <v/>
      </c>
      <c r="AA198" s="27">
        <f>IF(R198,N198,"")</f>
        <v/>
      </c>
    </row>
    <row r="199">
      <c r="A199" s="31" t="n">
        <v>0</v>
      </c>
      <c r="B199" s="31" t="n">
        <v>0.2</v>
      </c>
      <c r="C199" s="31" t="n">
        <v>0.3</v>
      </c>
      <c r="D199" s="31" t="n">
        <v>0.5</v>
      </c>
      <c r="E199" s="27" t="inlineStr">
        <is>
          <t>1M 20%/2M 30%/3M 50%</t>
        </is>
      </c>
      <c r="F199" s="27" t="n">
        <v>75</v>
      </c>
      <c r="G199" s="27">
        <f>A199*$B$7&gt;=$B$9</f>
        <v/>
      </c>
      <c r="H199" s="13">
        <f>$B$7*(A199*E$71+B199*F$71+C199*G$71+D199*H$71)+F199/100*$B$7*J$71-$C$71</f>
        <v/>
      </c>
      <c r="I199" s="13">
        <f>$B$7*(A199*L$71+B199*M$71+C199*N$71+D199*O$71)+F199/100*$B$7*Q$71-$C$71</f>
        <v/>
      </c>
      <c r="J199" s="13">
        <f>$B$7*(A199*S$71+B199*T$71+C199*U$71+D199*V$71)+F199/100*$B$7*X$71-$C$71</f>
        <v/>
      </c>
      <c r="K199" s="13">
        <f>$B$7*(A199*Z$71+B199*AA$71+C199*AB$71+D199*AC$71)+F199/100*$B$7*AE$71-$C$71</f>
        <v/>
      </c>
      <c r="L199" s="13">
        <f>$B$7*(A199*AG$71+B199*AH$71+C199*AI$71+D199*AJ$71)+F199/100*$B$7*AL$71-$C$71</f>
        <v/>
      </c>
      <c r="M199" s="13">
        <f>$B$7*(A199*AN$71+B199*AO$71+C199*AP$71+D199*AQ$71)+F199/100*$B$7*AS$71-$C$71</f>
        <v/>
      </c>
      <c r="N199" s="13">
        <f>SUMPRODUCT($H$24:$M$24,H199:M199)</f>
        <v/>
      </c>
      <c r="O199" s="14">
        <f>SQRT(SUMPRODUCT($H$24:$M$24,(H199:M199-N199)^2))</f>
        <v/>
      </c>
      <c r="P199" s="13">
        <f>MIN(H199:M199)</f>
        <v/>
      </c>
      <c r="Q199" s="13">
        <f>MAX(H199:M199)</f>
        <v/>
      </c>
      <c r="R199" s="27">
        <f>IF(G199,SUMPRODUCT(($G$76:$G$1505)*($N$76:$N$1505&gt;=N199)*($O$76:$O$1505&lt;=O199))=1,FALSE)</f>
        <v/>
      </c>
      <c r="S199" s="16">
        <f>IF(R199,ABS((O199-$AC$76)/MAX(0.0001,$AC$77-$AC$76)-(N199-$AC$78)/MAX(0.0001,$AC$79-$AC$78)),-1)</f>
        <v/>
      </c>
      <c r="T199" s="14">
        <f>IF(G199,O199,NA())</f>
        <v/>
      </c>
      <c r="U199" s="13">
        <f>IF(G199,N199,NA())</f>
        <v/>
      </c>
      <c r="V199" s="14">
        <f>IF(R199,O199,NA())</f>
        <v/>
      </c>
      <c r="W199" s="13">
        <f>IF(R199,N199,NA())</f>
        <v/>
      </c>
      <c r="X199" s="27">
        <f>IF(G199,P199,"")</f>
        <v/>
      </c>
      <c r="Y199" s="27">
        <f>IF(G199,N199,"")</f>
        <v/>
      </c>
      <c r="Z199" s="27">
        <f>IF(R199,O199,"")</f>
        <v/>
      </c>
      <c r="AA199" s="27">
        <f>IF(R199,N199,"")</f>
        <v/>
      </c>
    </row>
    <row r="200">
      <c r="A200" s="31" t="n">
        <v>0</v>
      </c>
      <c r="B200" s="31" t="n">
        <v>0.2</v>
      </c>
      <c r="C200" s="31" t="n">
        <v>0.3</v>
      </c>
      <c r="D200" s="31" t="n">
        <v>0.5</v>
      </c>
      <c r="E200" s="27" t="inlineStr">
        <is>
          <t>1M 20%/2M 30%/3M 50%</t>
        </is>
      </c>
      <c r="F200" s="27" t="n">
        <v>100</v>
      </c>
      <c r="G200" s="27">
        <f>A200*$B$7&gt;=$B$9</f>
        <v/>
      </c>
      <c r="H200" s="13">
        <f>$B$7*(A200*E$71+B200*F$71+C200*G$71+D200*H$71)+F200/100*$B$7*J$71-$C$71</f>
        <v/>
      </c>
      <c r="I200" s="13">
        <f>$B$7*(A200*L$71+B200*M$71+C200*N$71+D200*O$71)+F200/100*$B$7*Q$71-$C$71</f>
        <v/>
      </c>
      <c r="J200" s="13">
        <f>$B$7*(A200*S$71+B200*T$71+C200*U$71+D200*V$71)+F200/100*$B$7*X$71-$C$71</f>
        <v/>
      </c>
      <c r="K200" s="13">
        <f>$B$7*(A200*Z$71+B200*AA$71+C200*AB$71+D200*AC$71)+F200/100*$B$7*AE$71-$C$71</f>
        <v/>
      </c>
      <c r="L200" s="13">
        <f>$B$7*(A200*AG$71+B200*AH$71+C200*AI$71+D200*AJ$71)+F200/100*$B$7*AL$71-$C$71</f>
        <v/>
      </c>
      <c r="M200" s="13">
        <f>$B$7*(A200*AN$71+B200*AO$71+C200*AP$71+D200*AQ$71)+F200/100*$B$7*AS$71-$C$71</f>
        <v/>
      </c>
      <c r="N200" s="13">
        <f>SUMPRODUCT($H$24:$M$24,H200:M200)</f>
        <v/>
      </c>
      <c r="O200" s="14">
        <f>SQRT(SUMPRODUCT($H$24:$M$24,(H200:M200-N200)^2))</f>
        <v/>
      </c>
      <c r="P200" s="13">
        <f>MIN(H200:M200)</f>
        <v/>
      </c>
      <c r="Q200" s="13">
        <f>MAX(H200:M200)</f>
        <v/>
      </c>
      <c r="R200" s="27">
        <f>IF(G200,SUMPRODUCT(($G$76:$G$1505)*($N$76:$N$1505&gt;=N200)*($O$76:$O$1505&lt;=O200))=1,FALSE)</f>
        <v/>
      </c>
      <c r="S200" s="16">
        <f>IF(R200,ABS((O200-$AC$76)/MAX(0.0001,$AC$77-$AC$76)-(N200-$AC$78)/MAX(0.0001,$AC$79-$AC$78)),-1)</f>
        <v/>
      </c>
      <c r="T200" s="14">
        <f>IF(G200,O200,NA())</f>
        <v/>
      </c>
      <c r="U200" s="13">
        <f>IF(G200,N200,NA())</f>
        <v/>
      </c>
      <c r="V200" s="14">
        <f>IF(R200,O200,NA())</f>
        <v/>
      </c>
      <c r="W200" s="13">
        <f>IF(R200,N200,NA())</f>
        <v/>
      </c>
      <c r="X200" s="27">
        <f>IF(G200,P200,"")</f>
        <v/>
      </c>
      <c r="Y200" s="27">
        <f>IF(G200,N200,"")</f>
        <v/>
      </c>
      <c r="Z200" s="27">
        <f>IF(R200,O200,"")</f>
        <v/>
      </c>
      <c r="AA200" s="27">
        <f>IF(R200,N200,"")</f>
        <v/>
      </c>
    </row>
    <row r="201">
      <c r="A201" s="31" t="n">
        <v>0</v>
      </c>
      <c r="B201" s="31" t="n">
        <v>0.2</v>
      </c>
      <c r="C201" s="31" t="n">
        <v>0.4</v>
      </c>
      <c r="D201" s="31" t="n">
        <v>0.4</v>
      </c>
      <c r="E201" s="27" t="inlineStr">
        <is>
          <t>1M 20%/2M 40%/3M 40%</t>
        </is>
      </c>
      <c r="F201" s="27" t="n">
        <v>0</v>
      </c>
      <c r="G201" s="27">
        <f>A201*$B$7&gt;=$B$9</f>
        <v/>
      </c>
      <c r="H201" s="13">
        <f>$B$7*(A201*E$71+B201*F$71+C201*G$71+D201*H$71)+F201/100*$B$7*J$71-$C$71</f>
        <v/>
      </c>
      <c r="I201" s="13">
        <f>$B$7*(A201*L$71+B201*M$71+C201*N$71+D201*O$71)+F201/100*$B$7*Q$71-$C$71</f>
        <v/>
      </c>
      <c r="J201" s="13">
        <f>$B$7*(A201*S$71+B201*T$71+C201*U$71+D201*V$71)+F201/100*$B$7*X$71-$C$71</f>
        <v/>
      </c>
      <c r="K201" s="13">
        <f>$B$7*(A201*Z$71+B201*AA$71+C201*AB$71+D201*AC$71)+F201/100*$B$7*AE$71-$C$71</f>
        <v/>
      </c>
      <c r="L201" s="13">
        <f>$B$7*(A201*AG$71+B201*AH$71+C201*AI$71+D201*AJ$71)+F201/100*$B$7*AL$71-$C$71</f>
        <v/>
      </c>
      <c r="M201" s="13">
        <f>$B$7*(A201*AN$71+B201*AO$71+C201*AP$71+D201*AQ$71)+F201/100*$B$7*AS$71-$C$71</f>
        <v/>
      </c>
      <c r="N201" s="13">
        <f>SUMPRODUCT($H$24:$M$24,H201:M201)</f>
        <v/>
      </c>
      <c r="O201" s="14">
        <f>SQRT(SUMPRODUCT($H$24:$M$24,(H201:M201-N201)^2))</f>
        <v/>
      </c>
      <c r="P201" s="13">
        <f>MIN(H201:M201)</f>
        <v/>
      </c>
      <c r="Q201" s="13">
        <f>MAX(H201:M201)</f>
        <v/>
      </c>
      <c r="R201" s="27">
        <f>IF(G201,SUMPRODUCT(($G$76:$G$1505)*($N$76:$N$1505&gt;=N201)*($O$76:$O$1505&lt;=O201))=1,FALSE)</f>
        <v/>
      </c>
      <c r="S201" s="16">
        <f>IF(R201,ABS((O201-$AC$76)/MAX(0.0001,$AC$77-$AC$76)-(N201-$AC$78)/MAX(0.0001,$AC$79-$AC$78)),-1)</f>
        <v/>
      </c>
      <c r="T201" s="14">
        <f>IF(G201,O201,NA())</f>
        <v/>
      </c>
      <c r="U201" s="13">
        <f>IF(G201,N201,NA())</f>
        <v/>
      </c>
      <c r="V201" s="14">
        <f>IF(R201,O201,NA())</f>
        <v/>
      </c>
      <c r="W201" s="13">
        <f>IF(R201,N201,NA())</f>
        <v/>
      </c>
      <c r="X201" s="27">
        <f>IF(G201,P201,"")</f>
        <v/>
      </c>
      <c r="Y201" s="27">
        <f>IF(G201,N201,"")</f>
        <v/>
      </c>
      <c r="Z201" s="27">
        <f>IF(R201,O201,"")</f>
        <v/>
      </c>
      <c r="AA201" s="27">
        <f>IF(R201,N201,"")</f>
        <v/>
      </c>
    </row>
    <row r="202">
      <c r="A202" s="31" t="n">
        <v>0</v>
      </c>
      <c r="B202" s="31" t="n">
        <v>0.2</v>
      </c>
      <c r="C202" s="31" t="n">
        <v>0.4</v>
      </c>
      <c r="D202" s="31" t="n">
        <v>0.4</v>
      </c>
      <c r="E202" s="27" t="inlineStr">
        <is>
          <t>1M 20%/2M 40%/3M 40%</t>
        </is>
      </c>
      <c r="F202" s="27" t="n">
        <v>25</v>
      </c>
      <c r="G202" s="27">
        <f>A202*$B$7&gt;=$B$9</f>
        <v/>
      </c>
      <c r="H202" s="13">
        <f>$B$7*(A202*E$71+B202*F$71+C202*G$71+D202*H$71)+F202/100*$B$7*J$71-$C$71</f>
        <v/>
      </c>
      <c r="I202" s="13">
        <f>$B$7*(A202*L$71+B202*M$71+C202*N$71+D202*O$71)+F202/100*$B$7*Q$71-$C$71</f>
        <v/>
      </c>
      <c r="J202" s="13">
        <f>$B$7*(A202*S$71+B202*T$71+C202*U$71+D202*V$71)+F202/100*$B$7*X$71-$C$71</f>
        <v/>
      </c>
      <c r="K202" s="13">
        <f>$B$7*(A202*Z$71+B202*AA$71+C202*AB$71+D202*AC$71)+F202/100*$B$7*AE$71-$C$71</f>
        <v/>
      </c>
      <c r="L202" s="13">
        <f>$B$7*(A202*AG$71+B202*AH$71+C202*AI$71+D202*AJ$71)+F202/100*$B$7*AL$71-$C$71</f>
        <v/>
      </c>
      <c r="M202" s="13">
        <f>$B$7*(A202*AN$71+B202*AO$71+C202*AP$71+D202*AQ$71)+F202/100*$B$7*AS$71-$C$71</f>
        <v/>
      </c>
      <c r="N202" s="13">
        <f>SUMPRODUCT($H$24:$M$24,H202:M202)</f>
        <v/>
      </c>
      <c r="O202" s="14">
        <f>SQRT(SUMPRODUCT($H$24:$M$24,(H202:M202-N202)^2))</f>
        <v/>
      </c>
      <c r="P202" s="13">
        <f>MIN(H202:M202)</f>
        <v/>
      </c>
      <c r="Q202" s="13">
        <f>MAX(H202:M202)</f>
        <v/>
      </c>
      <c r="R202" s="27">
        <f>IF(G202,SUMPRODUCT(($G$76:$G$1505)*($N$76:$N$1505&gt;=N202)*($O$76:$O$1505&lt;=O202))=1,FALSE)</f>
        <v/>
      </c>
      <c r="S202" s="16">
        <f>IF(R202,ABS((O202-$AC$76)/MAX(0.0001,$AC$77-$AC$76)-(N202-$AC$78)/MAX(0.0001,$AC$79-$AC$78)),-1)</f>
        <v/>
      </c>
      <c r="T202" s="14">
        <f>IF(G202,O202,NA())</f>
        <v/>
      </c>
      <c r="U202" s="13">
        <f>IF(G202,N202,NA())</f>
        <v/>
      </c>
      <c r="V202" s="14">
        <f>IF(R202,O202,NA())</f>
        <v/>
      </c>
      <c r="W202" s="13">
        <f>IF(R202,N202,NA())</f>
        <v/>
      </c>
      <c r="X202" s="27">
        <f>IF(G202,P202,"")</f>
        <v/>
      </c>
      <c r="Y202" s="27">
        <f>IF(G202,N202,"")</f>
        <v/>
      </c>
      <c r="Z202" s="27">
        <f>IF(R202,O202,"")</f>
        <v/>
      </c>
      <c r="AA202" s="27">
        <f>IF(R202,N202,"")</f>
        <v/>
      </c>
    </row>
    <row r="203">
      <c r="A203" s="31" t="n">
        <v>0</v>
      </c>
      <c r="B203" s="31" t="n">
        <v>0.2</v>
      </c>
      <c r="C203" s="31" t="n">
        <v>0.4</v>
      </c>
      <c r="D203" s="31" t="n">
        <v>0.4</v>
      </c>
      <c r="E203" s="27" t="inlineStr">
        <is>
          <t>1M 20%/2M 40%/3M 40%</t>
        </is>
      </c>
      <c r="F203" s="27" t="n">
        <v>50</v>
      </c>
      <c r="G203" s="27">
        <f>A203*$B$7&gt;=$B$9</f>
        <v/>
      </c>
      <c r="H203" s="13">
        <f>$B$7*(A203*E$71+B203*F$71+C203*G$71+D203*H$71)+F203/100*$B$7*J$71-$C$71</f>
        <v/>
      </c>
      <c r="I203" s="13">
        <f>$B$7*(A203*L$71+B203*M$71+C203*N$71+D203*O$71)+F203/100*$B$7*Q$71-$C$71</f>
        <v/>
      </c>
      <c r="J203" s="13">
        <f>$B$7*(A203*S$71+B203*T$71+C203*U$71+D203*V$71)+F203/100*$B$7*X$71-$C$71</f>
        <v/>
      </c>
      <c r="K203" s="13">
        <f>$B$7*(A203*Z$71+B203*AA$71+C203*AB$71+D203*AC$71)+F203/100*$B$7*AE$71-$C$71</f>
        <v/>
      </c>
      <c r="L203" s="13">
        <f>$B$7*(A203*AG$71+B203*AH$71+C203*AI$71+D203*AJ$71)+F203/100*$B$7*AL$71-$C$71</f>
        <v/>
      </c>
      <c r="M203" s="13">
        <f>$B$7*(A203*AN$71+B203*AO$71+C203*AP$71+D203*AQ$71)+F203/100*$B$7*AS$71-$C$71</f>
        <v/>
      </c>
      <c r="N203" s="13">
        <f>SUMPRODUCT($H$24:$M$24,H203:M203)</f>
        <v/>
      </c>
      <c r="O203" s="14">
        <f>SQRT(SUMPRODUCT($H$24:$M$24,(H203:M203-N203)^2))</f>
        <v/>
      </c>
      <c r="P203" s="13">
        <f>MIN(H203:M203)</f>
        <v/>
      </c>
      <c r="Q203" s="13">
        <f>MAX(H203:M203)</f>
        <v/>
      </c>
      <c r="R203" s="27">
        <f>IF(G203,SUMPRODUCT(($G$76:$G$1505)*($N$76:$N$1505&gt;=N203)*($O$76:$O$1505&lt;=O203))=1,FALSE)</f>
        <v/>
      </c>
      <c r="S203" s="16">
        <f>IF(R203,ABS((O203-$AC$76)/MAX(0.0001,$AC$77-$AC$76)-(N203-$AC$78)/MAX(0.0001,$AC$79-$AC$78)),-1)</f>
        <v/>
      </c>
      <c r="T203" s="14">
        <f>IF(G203,O203,NA())</f>
        <v/>
      </c>
      <c r="U203" s="13">
        <f>IF(G203,N203,NA())</f>
        <v/>
      </c>
      <c r="V203" s="14">
        <f>IF(R203,O203,NA())</f>
        <v/>
      </c>
      <c r="W203" s="13">
        <f>IF(R203,N203,NA())</f>
        <v/>
      </c>
      <c r="X203" s="27">
        <f>IF(G203,P203,"")</f>
        <v/>
      </c>
      <c r="Y203" s="27">
        <f>IF(G203,N203,"")</f>
        <v/>
      </c>
      <c r="Z203" s="27">
        <f>IF(R203,O203,"")</f>
        <v/>
      </c>
      <c r="AA203" s="27">
        <f>IF(R203,N203,"")</f>
        <v/>
      </c>
    </row>
    <row r="204">
      <c r="A204" s="31" t="n">
        <v>0</v>
      </c>
      <c r="B204" s="31" t="n">
        <v>0.2</v>
      </c>
      <c r="C204" s="31" t="n">
        <v>0.4</v>
      </c>
      <c r="D204" s="31" t="n">
        <v>0.4</v>
      </c>
      <c r="E204" s="27" t="inlineStr">
        <is>
          <t>1M 20%/2M 40%/3M 40%</t>
        </is>
      </c>
      <c r="F204" s="27" t="n">
        <v>75</v>
      </c>
      <c r="G204" s="27">
        <f>A204*$B$7&gt;=$B$9</f>
        <v/>
      </c>
      <c r="H204" s="13">
        <f>$B$7*(A204*E$71+B204*F$71+C204*G$71+D204*H$71)+F204/100*$B$7*J$71-$C$71</f>
        <v/>
      </c>
      <c r="I204" s="13">
        <f>$B$7*(A204*L$71+B204*M$71+C204*N$71+D204*O$71)+F204/100*$B$7*Q$71-$C$71</f>
        <v/>
      </c>
      <c r="J204" s="13">
        <f>$B$7*(A204*S$71+B204*T$71+C204*U$71+D204*V$71)+F204/100*$B$7*X$71-$C$71</f>
        <v/>
      </c>
      <c r="K204" s="13">
        <f>$B$7*(A204*Z$71+B204*AA$71+C204*AB$71+D204*AC$71)+F204/100*$B$7*AE$71-$C$71</f>
        <v/>
      </c>
      <c r="L204" s="13">
        <f>$B$7*(A204*AG$71+B204*AH$71+C204*AI$71+D204*AJ$71)+F204/100*$B$7*AL$71-$C$71</f>
        <v/>
      </c>
      <c r="M204" s="13">
        <f>$B$7*(A204*AN$71+B204*AO$71+C204*AP$71+D204*AQ$71)+F204/100*$B$7*AS$71-$C$71</f>
        <v/>
      </c>
      <c r="N204" s="13">
        <f>SUMPRODUCT($H$24:$M$24,H204:M204)</f>
        <v/>
      </c>
      <c r="O204" s="14">
        <f>SQRT(SUMPRODUCT($H$24:$M$24,(H204:M204-N204)^2))</f>
        <v/>
      </c>
      <c r="P204" s="13">
        <f>MIN(H204:M204)</f>
        <v/>
      </c>
      <c r="Q204" s="13">
        <f>MAX(H204:M204)</f>
        <v/>
      </c>
      <c r="R204" s="27">
        <f>IF(G204,SUMPRODUCT(($G$76:$G$1505)*($N$76:$N$1505&gt;=N204)*($O$76:$O$1505&lt;=O204))=1,FALSE)</f>
        <v/>
      </c>
      <c r="S204" s="16">
        <f>IF(R204,ABS((O204-$AC$76)/MAX(0.0001,$AC$77-$AC$76)-(N204-$AC$78)/MAX(0.0001,$AC$79-$AC$78)),-1)</f>
        <v/>
      </c>
      <c r="T204" s="14">
        <f>IF(G204,O204,NA())</f>
        <v/>
      </c>
      <c r="U204" s="13">
        <f>IF(G204,N204,NA())</f>
        <v/>
      </c>
      <c r="V204" s="14">
        <f>IF(R204,O204,NA())</f>
        <v/>
      </c>
      <c r="W204" s="13">
        <f>IF(R204,N204,NA())</f>
        <v/>
      </c>
      <c r="X204" s="27">
        <f>IF(G204,P204,"")</f>
        <v/>
      </c>
      <c r="Y204" s="27">
        <f>IF(G204,N204,"")</f>
        <v/>
      </c>
      <c r="Z204" s="27">
        <f>IF(R204,O204,"")</f>
        <v/>
      </c>
      <c r="AA204" s="27">
        <f>IF(R204,N204,"")</f>
        <v/>
      </c>
    </row>
    <row r="205">
      <c r="A205" s="31" t="n">
        <v>0</v>
      </c>
      <c r="B205" s="31" t="n">
        <v>0.2</v>
      </c>
      <c r="C205" s="31" t="n">
        <v>0.4</v>
      </c>
      <c r="D205" s="31" t="n">
        <v>0.4</v>
      </c>
      <c r="E205" s="27" t="inlineStr">
        <is>
          <t>1M 20%/2M 40%/3M 40%</t>
        </is>
      </c>
      <c r="F205" s="27" t="n">
        <v>100</v>
      </c>
      <c r="G205" s="27">
        <f>A205*$B$7&gt;=$B$9</f>
        <v/>
      </c>
      <c r="H205" s="13">
        <f>$B$7*(A205*E$71+B205*F$71+C205*G$71+D205*H$71)+F205/100*$B$7*J$71-$C$71</f>
        <v/>
      </c>
      <c r="I205" s="13">
        <f>$B$7*(A205*L$71+B205*M$71+C205*N$71+D205*O$71)+F205/100*$B$7*Q$71-$C$71</f>
        <v/>
      </c>
      <c r="J205" s="13">
        <f>$B$7*(A205*S$71+B205*T$71+C205*U$71+D205*V$71)+F205/100*$B$7*X$71-$C$71</f>
        <v/>
      </c>
      <c r="K205" s="13">
        <f>$B$7*(A205*Z$71+B205*AA$71+C205*AB$71+D205*AC$71)+F205/100*$B$7*AE$71-$C$71</f>
        <v/>
      </c>
      <c r="L205" s="13">
        <f>$B$7*(A205*AG$71+B205*AH$71+C205*AI$71+D205*AJ$71)+F205/100*$B$7*AL$71-$C$71</f>
        <v/>
      </c>
      <c r="M205" s="13">
        <f>$B$7*(A205*AN$71+B205*AO$71+C205*AP$71+D205*AQ$71)+F205/100*$B$7*AS$71-$C$71</f>
        <v/>
      </c>
      <c r="N205" s="13">
        <f>SUMPRODUCT($H$24:$M$24,H205:M205)</f>
        <v/>
      </c>
      <c r="O205" s="14">
        <f>SQRT(SUMPRODUCT($H$24:$M$24,(H205:M205-N205)^2))</f>
        <v/>
      </c>
      <c r="P205" s="13">
        <f>MIN(H205:M205)</f>
        <v/>
      </c>
      <c r="Q205" s="13">
        <f>MAX(H205:M205)</f>
        <v/>
      </c>
      <c r="R205" s="27">
        <f>IF(G205,SUMPRODUCT(($G$76:$G$1505)*($N$76:$N$1505&gt;=N205)*($O$76:$O$1505&lt;=O205))=1,FALSE)</f>
        <v/>
      </c>
      <c r="S205" s="16">
        <f>IF(R205,ABS((O205-$AC$76)/MAX(0.0001,$AC$77-$AC$76)-(N205-$AC$78)/MAX(0.0001,$AC$79-$AC$78)),-1)</f>
        <v/>
      </c>
      <c r="T205" s="14">
        <f>IF(G205,O205,NA())</f>
        <v/>
      </c>
      <c r="U205" s="13">
        <f>IF(G205,N205,NA())</f>
        <v/>
      </c>
      <c r="V205" s="14">
        <f>IF(R205,O205,NA())</f>
        <v/>
      </c>
      <c r="W205" s="13">
        <f>IF(R205,N205,NA())</f>
        <v/>
      </c>
      <c r="X205" s="27">
        <f>IF(G205,P205,"")</f>
        <v/>
      </c>
      <c r="Y205" s="27">
        <f>IF(G205,N205,"")</f>
        <v/>
      </c>
      <c r="Z205" s="27">
        <f>IF(R205,O205,"")</f>
        <v/>
      </c>
      <c r="AA205" s="27">
        <f>IF(R205,N205,"")</f>
        <v/>
      </c>
    </row>
    <row r="206">
      <c r="A206" s="31" t="n">
        <v>0</v>
      </c>
      <c r="B206" s="31" t="n">
        <v>0.2</v>
      </c>
      <c r="C206" s="31" t="n">
        <v>0.5</v>
      </c>
      <c r="D206" s="31" t="n">
        <v>0.3</v>
      </c>
      <c r="E206" s="27" t="inlineStr">
        <is>
          <t>1M 20%/2M 50%/3M 30%</t>
        </is>
      </c>
      <c r="F206" s="27" t="n">
        <v>0</v>
      </c>
      <c r="G206" s="27">
        <f>A206*$B$7&gt;=$B$9</f>
        <v/>
      </c>
      <c r="H206" s="13">
        <f>$B$7*(A206*E$71+B206*F$71+C206*G$71+D206*H$71)+F206/100*$B$7*J$71-$C$71</f>
        <v/>
      </c>
      <c r="I206" s="13">
        <f>$B$7*(A206*L$71+B206*M$71+C206*N$71+D206*O$71)+F206/100*$B$7*Q$71-$C$71</f>
        <v/>
      </c>
      <c r="J206" s="13">
        <f>$B$7*(A206*S$71+B206*T$71+C206*U$71+D206*V$71)+F206/100*$B$7*X$71-$C$71</f>
        <v/>
      </c>
      <c r="K206" s="13">
        <f>$B$7*(A206*Z$71+B206*AA$71+C206*AB$71+D206*AC$71)+F206/100*$B$7*AE$71-$C$71</f>
        <v/>
      </c>
      <c r="L206" s="13">
        <f>$B$7*(A206*AG$71+B206*AH$71+C206*AI$71+D206*AJ$71)+F206/100*$B$7*AL$71-$C$71</f>
        <v/>
      </c>
      <c r="M206" s="13">
        <f>$B$7*(A206*AN$71+B206*AO$71+C206*AP$71+D206*AQ$71)+F206/100*$B$7*AS$71-$C$71</f>
        <v/>
      </c>
      <c r="N206" s="13">
        <f>SUMPRODUCT($H$24:$M$24,H206:M206)</f>
        <v/>
      </c>
      <c r="O206" s="14">
        <f>SQRT(SUMPRODUCT($H$24:$M$24,(H206:M206-N206)^2))</f>
        <v/>
      </c>
      <c r="P206" s="13">
        <f>MIN(H206:M206)</f>
        <v/>
      </c>
      <c r="Q206" s="13">
        <f>MAX(H206:M206)</f>
        <v/>
      </c>
      <c r="R206" s="27">
        <f>IF(G206,SUMPRODUCT(($G$76:$G$1505)*($N$76:$N$1505&gt;=N206)*($O$76:$O$1505&lt;=O206))=1,FALSE)</f>
        <v/>
      </c>
      <c r="S206" s="16">
        <f>IF(R206,ABS((O206-$AC$76)/MAX(0.0001,$AC$77-$AC$76)-(N206-$AC$78)/MAX(0.0001,$AC$79-$AC$78)),-1)</f>
        <v/>
      </c>
      <c r="T206" s="14">
        <f>IF(G206,O206,NA())</f>
        <v/>
      </c>
      <c r="U206" s="13">
        <f>IF(G206,N206,NA())</f>
        <v/>
      </c>
      <c r="V206" s="14">
        <f>IF(R206,O206,NA())</f>
        <v/>
      </c>
      <c r="W206" s="13">
        <f>IF(R206,N206,NA())</f>
        <v/>
      </c>
      <c r="X206" s="27">
        <f>IF(G206,P206,"")</f>
        <v/>
      </c>
      <c r="Y206" s="27">
        <f>IF(G206,N206,"")</f>
        <v/>
      </c>
      <c r="Z206" s="27">
        <f>IF(R206,O206,"")</f>
        <v/>
      </c>
      <c r="AA206" s="27">
        <f>IF(R206,N206,"")</f>
        <v/>
      </c>
    </row>
    <row r="207">
      <c r="A207" s="31" t="n">
        <v>0</v>
      </c>
      <c r="B207" s="31" t="n">
        <v>0.2</v>
      </c>
      <c r="C207" s="31" t="n">
        <v>0.5</v>
      </c>
      <c r="D207" s="31" t="n">
        <v>0.3</v>
      </c>
      <c r="E207" s="27" t="inlineStr">
        <is>
          <t>1M 20%/2M 50%/3M 30%</t>
        </is>
      </c>
      <c r="F207" s="27" t="n">
        <v>25</v>
      </c>
      <c r="G207" s="27">
        <f>A207*$B$7&gt;=$B$9</f>
        <v/>
      </c>
      <c r="H207" s="13">
        <f>$B$7*(A207*E$71+B207*F$71+C207*G$71+D207*H$71)+F207/100*$B$7*J$71-$C$71</f>
        <v/>
      </c>
      <c r="I207" s="13">
        <f>$B$7*(A207*L$71+B207*M$71+C207*N$71+D207*O$71)+F207/100*$B$7*Q$71-$C$71</f>
        <v/>
      </c>
      <c r="J207" s="13">
        <f>$B$7*(A207*S$71+B207*T$71+C207*U$71+D207*V$71)+F207/100*$B$7*X$71-$C$71</f>
        <v/>
      </c>
      <c r="K207" s="13">
        <f>$B$7*(A207*Z$71+B207*AA$71+C207*AB$71+D207*AC$71)+F207/100*$B$7*AE$71-$C$71</f>
        <v/>
      </c>
      <c r="L207" s="13">
        <f>$B$7*(A207*AG$71+B207*AH$71+C207*AI$71+D207*AJ$71)+F207/100*$B$7*AL$71-$C$71</f>
        <v/>
      </c>
      <c r="M207" s="13">
        <f>$B$7*(A207*AN$71+B207*AO$71+C207*AP$71+D207*AQ$71)+F207/100*$B$7*AS$71-$C$71</f>
        <v/>
      </c>
      <c r="N207" s="13">
        <f>SUMPRODUCT($H$24:$M$24,H207:M207)</f>
        <v/>
      </c>
      <c r="O207" s="14">
        <f>SQRT(SUMPRODUCT($H$24:$M$24,(H207:M207-N207)^2))</f>
        <v/>
      </c>
      <c r="P207" s="13">
        <f>MIN(H207:M207)</f>
        <v/>
      </c>
      <c r="Q207" s="13">
        <f>MAX(H207:M207)</f>
        <v/>
      </c>
      <c r="R207" s="27">
        <f>IF(G207,SUMPRODUCT(($G$76:$G$1505)*($N$76:$N$1505&gt;=N207)*($O$76:$O$1505&lt;=O207))=1,FALSE)</f>
        <v/>
      </c>
      <c r="S207" s="16">
        <f>IF(R207,ABS((O207-$AC$76)/MAX(0.0001,$AC$77-$AC$76)-(N207-$AC$78)/MAX(0.0001,$AC$79-$AC$78)),-1)</f>
        <v/>
      </c>
      <c r="T207" s="14">
        <f>IF(G207,O207,NA())</f>
        <v/>
      </c>
      <c r="U207" s="13">
        <f>IF(G207,N207,NA())</f>
        <v/>
      </c>
      <c r="V207" s="14">
        <f>IF(R207,O207,NA())</f>
        <v/>
      </c>
      <c r="W207" s="13">
        <f>IF(R207,N207,NA())</f>
        <v/>
      </c>
      <c r="X207" s="27">
        <f>IF(G207,P207,"")</f>
        <v/>
      </c>
      <c r="Y207" s="27">
        <f>IF(G207,N207,"")</f>
        <v/>
      </c>
      <c r="Z207" s="27">
        <f>IF(R207,O207,"")</f>
        <v/>
      </c>
      <c r="AA207" s="27">
        <f>IF(R207,N207,"")</f>
        <v/>
      </c>
    </row>
    <row r="208">
      <c r="A208" s="31" t="n">
        <v>0</v>
      </c>
      <c r="B208" s="31" t="n">
        <v>0.2</v>
      </c>
      <c r="C208" s="31" t="n">
        <v>0.5</v>
      </c>
      <c r="D208" s="31" t="n">
        <v>0.3</v>
      </c>
      <c r="E208" s="27" t="inlineStr">
        <is>
          <t>1M 20%/2M 50%/3M 30%</t>
        </is>
      </c>
      <c r="F208" s="27" t="n">
        <v>50</v>
      </c>
      <c r="G208" s="27">
        <f>A208*$B$7&gt;=$B$9</f>
        <v/>
      </c>
      <c r="H208" s="13">
        <f>$B$7*(A208*E$71+B208*F$71+C208*G$71+D208*H$71)+F208/100*$B$7*J$71-$C$71</f>
        <v/>
      </c>
      <c r="I208" s="13">
        <f>$B$7*(A208*L$71+B208*M$71+C208*N$71+D208*O$71)+F208/100*$B$7*Q$71-$C$71</f>
        <v/>
      </c>
      <c r="J208" s="13">
        <f>$B$7*(A208*S$71+B208*T$71+C208*U$71+D208*V$71)+F208/100*$B$7*X$71-$C$71</f>
        <v/>
      </c>
      <c r="K208" s="13">
        <f>$B$7*(A208*Z$71+B208*AA$71+C208*AB$71+D208*AC$71)+F208/100*$B$7*AE$71-$C$71</f>
        <v/>
      </c>
      <c r="L208" s="13">
        <f>$B$7*(A208*AG$71+B208*AH$71+C208*AI$71+D208*AJ$71)+F208/100*$B$7*AL$71-$C$71</f>
        <v/>
      </c>
      <c r="M208" s="13">
        <f>$B$7*(A208*AN$71+B208*AO$71+C208*AP$71+D208*AQ$71)+F208/100*$B$7*AS$71-$C$71</f>
        <v/>
      </c>
      <c r="N208" s="13">
        <f>SUMPRODUCT($H$24:$M$24,H208:M208)</f>
        <v/>
      </c>
      <c r="O208" s="14">
        <f>SQRT(SUMPRODUCT($H$24:$M$24,(H208:M208-N208)^2))</f>
        <v/>
      </c>
      <c r="P208" s="13">
        <f>MIN(H208:M208)</f>
        <v/>
      </c>
      <c r="Q208" s="13">
        <f>MAX(H208:M208)</f>
        <v/>
      </c>
      <c r="R208" s="27">
        <f>IF(G208,SUMPRODUCT(($G$76:$G$1505)*($N$76:$N$1505&gt;=N208)*($O$76:$O$1505&lt;=O208))=1,FALSE)</f>
        <v/>
      </c>
      <c r="S208" s="16">
        <f>IF(R208,ABS((O208-$AC$76)/MAX(0.0001,$AC$77-$AC$76)-(N208-$AC$78)/MAX(0.0001,$AC$79-$AC$78)),-1)</f>
        <v/>
      </c>
      <c r="T208" s="14">
        <f>IF(G208,O208,NA())</f>
        <v/>
      </c>
      <c r="U208" s="13">
        <f>IF(G208,N208,NA())</f>
        <v/>
      </c>
      <c r="V208" s="14">
        <f>IF(R208,O208,NA())</f>
        <v/>
      </c>
      <c r="W208" s="13">
        <f>IF(R208,N208,NA())</f>
        <v/>
      </c>
      <c r="X208" s="27">
        <f>IF(G208,P208,"")</f>
        <v/>
      </c>
      <c r="Y208" s="27">
        <f>IF(G208,N208,"")</f>
        <v/>
      </c>
      <c r="Z208" s="27">
        <f>IF(R208,O208,"")</f>
        <v/>
      </c>
      <c r="AA208" s="27">
        <f>IF(R208,N208,"")</f>
        <v/>
      </c>
    </row>
    <row r="209">
      <c r="A209" s="31" t="n">
        <v>0</v>
      </c>
      <c r="B209" s="31" t="n">
        <v>0.2</v>
      </c>
      <c r="C209" s="31" t="n">
        <v>0.5</v>
      </c>
      <c r="D209" s="31" t="n">
        <v>0.3</v>
      </c>
      <c r="E209" s="27" t="inlineStr">
        <is>
          <t>1M 20%/2M 50%/3M 30%</t>
        </is>
      </c>
      <c r="F209" s="27" t="n">
        <v>75</v>
      </c>
      <c r="G209" s="27">
        <f>A209*$B$7&gt;=$B$9</f>
        <v/>
      </c>
      <c r="H209" s="13">
        <f>$B$7*(A209*E$71+B209*F$71+C209*G$71+D209*H$71)+F209/100*$B$7*J$71-$C$71</f>
        <v/>
      </c>
      <c r="I209" s="13">
        <f>$B$7*(A209*L$71+B209*M$71+C209*N$71+D209*O$71)+F209/100*$B$7*Q$71-$C$71</f>
        <v/>
      </c>
      <c r="J209" s="13">
        <f>$B$7*(A209*S$71+B209*T$71+C209*U$71+D209*V$71)+F209/100*$B$7*X$71-$C$71</f>
        <v/>
      </c>
      <c r="K209" s="13">
        <f>$B$7*(A209*Z$71+B209*AA$71+C209*AB$71+D209*AC$71)+F209/100*$B$7*AE$71-$C$71</f>
        <v/>
      </c>
      <c r="L209" s="13">
        <f>$B$7*(A209*AG$71+B209*AH$71+C209*AI$71+D209*AJ$71)+F209/100*$B$7*AL$71-$C$71</f>
        <v/>
      </c>
      <c r="M209" s="13">
        <f>$B$7*(A209*AN$71+B209*AO$71+C209*AP$71+D209*AQ$71)+F209/100*$B$7*AS$71-$C$71</f>
        <v/>
      </c>
      <c r="N209" s="13">
        <f>SUMPRODUCT($H$24:$M$24,H209:M209)</f>
        <v/>
      </c>
      <c r="O209" s="14">
        <f>SQRT(SUMPRODUCT($H$24:$M$24,(H209:M209-N209)^2))</f>
        <v/>
      </c>
      <c r="P209" s="13">
        <f>MIN(H209:M209)</f>
        <v/>
      </c>
      <c r="Q209" s="13">
        <f>MAX(H209:M209)</f>
        <v/>
      </c>
      <c r="R209" s="27">
        <f>IF(G209,SUMPRODUCT(($G$76:$G$1505)*($N$76:$N$1505&gt;=N209)*($O$76:$O$1505&lt;=O209))=1,FALSE)</f>
        <v/>
      </c>
      <c r="S209" s="16">
        <f>IF(R209,ABS((O209-$AC$76)/MAX(0.0001,$AC$77-$AC$76)-(N209-$AC$78)/MAX(0.0001,$AC$79-$AC$78)),-1)</f>
        <v/>
      </c>
      <c r="T209" s="14">
        <f>IF(G209,O209,NA())</f>
        <v/>
      </c>
      <c r="U209" s="13">
        <f>IF(G209,N209,NA())</f>
        <v/>
      </c>
      <c r="V209" s="14">
        <f>IF(R209,O209,NA())</f>
        <v/>
      </c>
      <c r="W209" s="13">
        <f>IF(R209,N209,NA())</f>
        <v/>
      </c>
      <c r="X209" s="27">
        <f>IF(G209,P209,"")</f>
        <v/>
      </c>
      <c r="Y209" s="27">
        <f>IF(G209,N209,"")</f>
        <v/>
      </c>
      <c r="Z209" s="27">
        <f>IF(R209,O209,"")</f>
        <v/>
      </c>
      <c r="AA209" s="27">
        <f>IF(R209,N209,"")</f>
        <v/>
      </c>
    </row>
    <row r="210">
      <c r="A210" s="31" t="n">
        <v>0</v>
      </c>
      <c r="B210" s="31" t="n">
        <v>0.2</v>
      </c>
      <c r="C210" s="31" t="n">
        <v>0.5</v>
      </c>
      <c r="D210" s="31" t="n">
        <v>0.3</v>
      </c>
      <c r="E210" s="27" t="inlineStr">
        <is>
          <t>1M 20%/2M 50%/3M 30%</t>
        </is>
      </c>
      <c r="F210" s="27" t="n">
        <v>100</v>
      </c>
      <c r="G210" s="27">
        <f>A210*$B$7&gt;=$B$9</f>
        <v/>
      </c>
      <c r="H210" s="13">
        <f>$B$7*(A210*E$71+B210*F$71+C210*G$71+D210*H$71)+F210/100*$B$7*J$71-$C$71</f>
        <v/>
      </c>
      <c r="I210" s="13">
        <f>$B$7*(A210*L$71+B210*M$71+C210*N$71+D210*O$71)+F210/100*$B$7*Q$71-$C$71</f>
        <v/>
      </c>
      <c r="J210" s="13">
        <f>$B$7*(A210*S$71+B210*T$71+C210*U$71+D210*V$71)+F210/100*$B$7*X$71-$C$71</f>
        <v/>
      </c>
      <c r="K210" s="13">
        <f>$B$7*(A210*Z$71+B210*AA$71+C210*AB$71+D210*AC$71)+F210/100*$B$7*AE$71-$C$71</f>
        <v/>
      </c>
      <c r="L210" s="13">
        <f>$B$7*(A210*AG$71+B210*AH$71+C210*AI$71+D210*AJ$71)+F210/100*$B$7*AL$71-$C$71</f>
        <v/>
      </c>
      <c r="M210" s="13">
        <f>$B$7*(A210*AN$71+B210*AO$71+C210*AP$71+D210*AQ$71)+F210/100*$B$7*AS$71-$C$71</f>
        <v/>
      </c>
      <c r="N210" s="13">
        <f>SUMPRODUCT($H$24:$M$24,H210:M210)</f>
        <v/>
      </c>
      <c r="O210" s="14">
        <f>SQRT(SUMPRODUCT($H$24:$M$24,(H210:M210-N210)^2))</f>
        <v/>
      </c>
      <c r="P210" s="13">
        <f>MIN(H210:M210)</f>
        <v/>
      </c>
      <c r="Q210" s="13">
        <f>MAX(H210:M210)</f>
        <v/>
      </c>
      <c r="R210" s="27">
        <f>IF(G210,SUMPRODUCT(($G$76:$G$1505)*($N$76:$N$1505&gt;=N210)*($O$76:$O$1505&lt;=O210))=1,FALSE)</f>
        <v/>
      </c>
      <c r="S210" s="16">
        <f>IF(R210,ABS((O210-$AC$76)/MAX(0.0001,$AC$77-$AC$76)-(N210-$AC$78)/MAX(0.0001,$AC$79-$AC$78)),-1)</f>
        <v/>
      </c>
      <c r="T210" s="14">
        <f>IF(G210,O210,NA())</f>
        <v/>
      </c>
      <c r="U210" s="13">
        <f>IF(G210,N210,NA())</f>
        <v/>
      </c>
      <c r="V210" s="14">
        <f>IF(R210,O210,NA())</f>
        <v/>
      </c>
      <c r="W210" s="13">
        <f>IF(R210,N210,NA())</f>
        <v/>
      </c>
      <c r="X210" s="27">
        <f>IF(G210,P210,"")</f>
        <v/>
      </c>
      <c r="Y210" s="27">
        <f>IF(G210,N210,"")</f>
        <v/>
      </c>
      <c r="Z210" s="27">
        <f>IF(R210,O210,"")</f>
        <v/>
      </c>
      <c r="AA210" s="27">
        <f>IF(R210,N210,"")</f>
        <v/>
      </c>
    </row>
    <row r="211">
      <c r="A211" s="31" t="n">
        <v>0</v>
      </c>
      <c r="B211" s="31" t="n">
        <v>0.2</v>
      </c>
      <c r="C211" s="31" t="n">
        <v>0.6</v>
      </c>
      <c r="D211" s="31" t="n">
        <v>0.2</v>
      </c>
      <c r="E211" s="27" t="inlineStr">
        <is>
          <t>1M 20%/2M 60%/3M 20%</t>
        </is>
      </c>
      <c r="F211" s="27" t="n">
        <v>0</v>
      </c>
      <c r="G211" s="27">
        <f>A211*$B$7&gt;=$B$9</f>
        <v/>
      </c>
      <c r="H211" s="13">
        <f>$B$7*(A211*E$71+B211*F$71+C211*G$71+D211*H$71)+F211/100*$B$7*J$71-$C$71</f>
        <v/>
      </c>
      <c r="I211" s="13">
        <f>$B$7*(A211*L$71+B211*M$71+C211*N$71+D211*O$71)+F211/100*$B$7*Q$71-$C$71</f>
        <v/>
      </c>
      <c r="J211" s="13">
        <f>$B$7*(A211*S$71+B211*T$71+C211*U$71+D211*V$71)+F211/100*$B$7*X$71-$C$71</f>
        <v/>
      </c>
      <c r="K211" s="13">
        <f>$B$7*(A211*Z$71+B211*AA$71+C211*AB$71+D211*AC$71)+F211/100*$B$7*AE$71-$C$71</f>
        <v/>
      </c>
      <c r="L211" s="13">
        <f>$B$7*(A211*AG$71+B211*AH$71+C211*AI$71+D211*AJ$71)+F211/100*$B$7*AL$71-$C$71</f>
        <v/>
      </c>
      <c r="M211" s="13">
        <f>$B$7*(A211*AN$71+B211*AO$71+C211*AP$71+D211*AQ$71)+F211/100*$B$7*AS$71-$C$71</f>
        <v/>
      </c>
      <c r="N211" s="13">
        <f>SUMPRODUCT($H$24:$M$24,H211:M211)</f>
        <v/>
      </c>
      <c r="O211" s="14">
        <f>SQRT(SUMPRODUCT($H$24:$M$24,(H211:M211-N211)^2))</f>
        <v/>
      </c>
      <c r="P211" s="13">
        <f>MIN(H211:M211)</f>
        <v/>
      </c>
      <c r="Q211" s="13">
        <f>MAX(H211:M211)</f>
        <v/>
      </c>
      <c r="R211" s="27">
        <f>IF(G211,SUMPRODUCT(($G$76:$G$1505)*($N$76:$N$1505&gt;=N211)*($O$76:$O$1505&lt;=O211))=1,FALSE)</f>
        <v/>
      </c>
      <c r="S211" s="16">
        <f>IF(R211,ABS((O211-$AC$76)/MAX(0.0001,$AC$77-$AC$76)-(N211-$AC$78)/MAX(0.0001,$AC$79-$AC$78)),-1)</f>
        <v/>
      </c>
      <c r="T211" s="14">
        <f>IF(G211,O211,NA())</f>
        <v/>
      </c>
      <c r="U211" s="13">
        <f>IF(G211,N211,NA())</f>
        <v/>
      </c>
      <c r="V211" s="14">
        <f>IF(R211,O211,NA())</f>
        <v/>
      </c>
      <c r="W211" s="13">
        <f>IF(R211,N211,NA())</f>
        <v/>
      </c>
      <c r="X211" s="27">
        <f>IF(G211,P211,"")</f>
        <v/>
      </c>
      <c r="Y211" s="27">
        <f>IF(G211,N211,"")</f>
        <v/>
      </c>
      <c r="Z211" s="27">
        <f>IF(R211,O211,"")</f>
        <v/>
      </c>
      <c r="AA211" s="27">
        <f>IF(R211,N211,"")</f>
        <v/>
      </c>
    </row>
    <row r="212">
      <c r="A212" s="31" t="n">
        <v>0</v>
      </c>
      <c r="B212" s="31" t="n">
        <v>0.2</v>
      </c>
      <c r="C212" s="31" t="n">
        <v>0.6</v>
      </c>
      <c r="D212" s="31" t="n">
        <v>0.2</v>
      </c>
      <c r="E212" s="27" t="inlineStr">
        <is>
          <t>1M 20%/2M 60%/3M 20%</t>
        </is>
      </c>
      <c r="F212" s="27" t="n">
        <v>25</v>
      </c>
      <c r="G212" s="27">
        <f>A212*$B$7&gt;=$B$9</f>
        <v/>
      </c>
      <c r="H212" s="13">
        <f>$B$7*(A212*E$71+B212*F$71+C212*G$71+D212*H$71)+F212/100*$B$7*J$71-$C$71</f>
        <v/>
      </c>
      <c r="I212" s="13">
        <f>$B$7*(A212*L$71+B212*M$71+C212*N$71+D212*O$71)+F212/100*$B$7*Q$71-$C$71</f>
        <v/>
      </c>
      <c r="J212" s="13">
        <f>$B$7*(A212*S$71+B212*T$71+C212*U$71+D212*V$71)+F212/100*$B$7*X$71-$C$71</f>
        <v/>
      </c>
      <c r="K212" s="13">
        <f>$B$7*(A212*Z$71+B212*AA$71+C212*AB$71+D212*AC$71)+F212/100*$B$7*AE$71-$C$71</f>
        <v/>
      </c>
      <c r="L212" s="13">
        <f>$B$7*(A212*AG$71+B212*AH$71+C212*AI$71+D212*AJ$71)+F212/100*$B$7*AL$71-$C$71</f>
        <v/>
      </c>
      <c r="M212" s="13">
        <f>$B$7*(A212*AN$71+B212*AO$71+C212*AP$71+D212*AQ$71)+F212/100*$B$7*AS$71-$C$71</f>
        <v/>
      </c>
      <c r="N212" s="13">
        <f>SUMPRODUCT($H$24:$M$24,H212:M212)</f>
        <v/>
      </c>
      <c r="O212" s="14">
        <f>SQRT(SUMPRODUCT($H$24:$M$24,(H212:M212-N212)^2))</f>
        <v/>
      </c>
      <c r="P212" s="13">
        <f>MIN(H212:M212)</f>
        <v/>
      </c>
      <c r="Q212" s="13">
        <f>MAX(H212:M212)</f>
        <v/>
      </c>
      <c r="R212" s="27">
        <f>IF(G212,SUMPRODUCT(($G$76:$G$1505)*($N$76:$N$1505&gt;=N212)*($O$76:$O$1505&lt;=O212))=1,FALSE)</f>
        <v/>
      </c>
      <c r="S212" s="16">
        <f>IF(R212,ABS((O212-$AC$76)/MAX(0.0001,$AC$77-$AC$76)-(N212-$AC$78)/MAX(0.0001,$AC$79-$AC$78)),-1)</f>
        <v/>
      </c>
      <c r="T212" s="14">
        <f>IF(G212,O212,NA())</f>
        <v/>
      </c>
      <c r="U212" s="13">
        <f>IF(G212,N212,NA())</f>
        <v/>
      </c>
      <c r="V212" s="14">
        <f>IF(R212,O212,NA())</f>
        <v/>
      </c>
      <c r="W212" s="13">
        <f>IF(R212,N212,NA())</f>
        <v/>
      </c>
      <c r="X212" s="27">
        <f>IF(G212,P212,"")</f>
        <v/>
      </c>
      <c r="Y212" s="27">
        <f>IF(G212,N212,"")</f>
        <v/>
      </c>
      <c r="Z212" s="27">
        <f>IF(R212,O212,"")</f>
        <v/>
      </c>
      <c r="AA212" s="27">
        <f>IF(R212,N212,"")</f>
        <v/>
      </c>
    </row>
    <row r="213">
      <c r="A213" s="31" t="n">
        <v>0</v>
      </c>
      <c r="B213" s="31" t="n">
        <v>0.2</v>
      </c>
      <c r="C213" s="31" t="n">
        <v>0.6</v>
      </c>
      <c r="D213" s="31" t="n">
        <v>0.2</v>
      </c>
      <c r="E213" s="27" t="inlineStr">
        <is>
          <t>1M 20%/2M 60%/3M 20%</t>
        </is>
      </c>
      <c r="F213" s="27" t="n">
        <v>50</v>
      </c>
      <c r="G213" s="27">
        <f>A213*$B$7&gt;=$B$9</f>
        <v/>
      </c>
      <c r="H213" s="13">
        <f>$B$7*(A213*E$71+B213*F$71+C213*G$71+D213*H$71)+F213/100*$B$7*J$71-$C$71</f>
        <v/>
      </c>
      <c r="I213" s="13">
        <f>$B$7*(A213*L$71+B213*M$71+C213*N$71+D213*O$71)+F213/100*$B$7*Q$71-$C$71</f>
        <v/>
      </c>
      <c r="J213" s="13">
        <f>$B$7*(A213*S$71+B213*T$71+C213*U$71+D213*V$71)+F213/100*$B$7*X$71-$C$71</f>
        <v/>
      </c>
      <c r="K213" s="13">
        <f>$B$7*(A213*Z$71+B213*AA$71+C213*AB$71+D213*AC$71)+F213/100*$B$7*AE$71-$C$71</f>
        <v/>
      </c>
      <c r="L213" s="13">
        <f>$B$7*(A213*AG$71+B213*AH$71+C213*AI$71+D213*AJ$71)+F213/100*$B$7*AL$71-$C$71</f>
        <v/>
      </c>
      <c r="M213" s="13">
        <f>$B$7*(A213*AN$71+B213*AO$71+C213*AP$71+D213*AQ$71)+F213/100*$B$7*AS$71-$C$71</f>
        <v/>
      </c>
      <c r="N213" s="13">
        <f>SUMPRODUCT($H$24:$M$24,H213:M213)</f>
        <v/>
      </c>
      <c r="O213" s="14">
        <f>SQRT(SUMPRODUCT($H$24:$M$24,(H213:M213-N213)^2))</f>
        <v/>
      </c>
      <c r="P213" s="13">
        <f>MIN(H213:M213)</f>
        <v/>
      </c>
      <c r="Q213" s="13">
        <f>MAX(H213:M213)</f>
        <v/>
      </c>
      <c r="R213" s="27">
        <f>IF(G213,SUMPRODUCT(($G$76:$G$1505)*($N$76:$N$1505&gt;=N213)*($O$76:$O$1505&lt;=O213))=1,FALSE)</f>
        <v/>
      </c>
      <c r="S213" s="16">
        <f>IF(R213,ABS((O213-$AC$76)/MAX(0.0001,$AC$77-$AC$76)-(N213-$AC$78)/MAX(0.0001,$AC$79-$AC$78)),-1)</f>
        <v/>
      </c>
      <c r="T213" s="14">
        <f>IF(G213,O213,NA())</f>
        <v/>
      </c>
      <c r="U213" s="13">
        <f>IF(G213,N213,NA())</f>
        <v/>
      </c>
      <c r="V213" s="14">
        <f>IF(R213,O213,NA())</f>
        <v/>
      </c>
      <c r="W213" s="13">
        <f>IF(R213,N213,NA())</f>
        <v/>
      </c>
      <c r="X213" s="27">
        <f>IF(G213,P213,"")</f>
        <v/>
      </c>
      <c r="Y213" s="27">
        <f>IF(G213,N213,"")</f>
        <v/>
      </c>
      <c r="Z213" s="27">
        <f>IF(R213,O213,"")</f>
        <v/>
      </c>
      <c r="AA213" s="27">
        <f>IF(R213,N213,"")</f>
        <v/>
      </c>
    </row>
    <row r="214">
      <c r="A214" s="31" t="n">
        <v>0</v>
      </c>
      <c r="B214" s="31" t="n">
        <v>0.2</v>
      </c>
      <c r="C214" s="31" t="n">
        <v>0.6</v>
      </c>
      <c r="D214" s="31" t="n">
        <v>0.2</v>
      </c>
      <c r="E214" s="27" t="inlineStr">
        <is>
          <t>1M 20%/2M 60%/3M 20%</t>
        </is>
      </c>
      <c r="F214" s="27" t="n">
        <v>75</v>
      </c>
      <c r="G214" s="27">
        <f>A214*$B$7&gt;=$B$9</f>
        <v/>
      </c>
      <c r="H214" s="13">
        <f>$B$7*(A214*E$71+B214*F$71+C214*G$71+D214*H$71)+F214/100*$B$7*J$71-$C$71</f>
        <v/>
      </c>
      <c r="I214" s="13">
        <f>$B$7*(A214*L$71+B214*M$71+C214*N$71+D214*O$71)+F214/100*$B$7*Q$71-$C$71</f>
        <v/>
      </c>
      <c r="J214" s="13">
        <f>$B$7*(A214*S$71+B214*T$71+C214*U$71+D214*V$71)+F214/100*$B$7*X$71-$C$71</f>
        <v/>
      </c>
      <c r="K214" s="13">
        <f>$B$7*(A214*Z$71+B214*AA$71+C214*AB$71+D214*AC$71)+F214/100*$B$7*AE$71-$C$71</f>
        <v/>
      </c>
      <c r="L214" s="13">
        <f>$B$7*(A214*AG$71+B214*AH$71+C214*AI$71+D214*AJ$71)+F214/100*$B$7*AL$71-$C$71</f>
        <v/>
      </c>
      <c r="M214" s="13">
        <f>$B$7*(A214*AN$71+B214*AO$71+C214*AP$71+D214*AQ$71)+F214/100*$B$7*AS$71-$C$71</f>
        <v/>
      </c>
      <c r="N214" s="13">
        <f>SUMPRODUCT($H$24:$M$24,H214:M214)</f>
        <v/>
      </c>
      <c r="O214" s="14">
        <f>SQRT(SUMPRODUCT($H$24:$M$24,(H214:M214-N214)^2))</f>
        <v/>
      </c>
      <c r="P214" s="13">
        <f>MIN(H214:M214)</f>
        <v/>
      </c>
      <c r="Q214" s="13">
        <f>MAX(H214:M214)</f>
        <v/>
      </c>
      <c r="R214" s="27">
        <f>IF(G214,SUMPRODUCT(($G$76:$G$1505)*($N$76:$N$1505&gt;=N214)*($O$76:$O$1505&lt;=O214))=1,FALSE)</f>
        <v/>
      </c>
      <c r="S214" s="16">
        <f>IF(R214,ABS((O214-$AC$76)/MAX(0.0001,$AC$77-$AC$76)-(N214-$AC$78)/MAX(0.0001,$AC$79-$AC$78)),-1)</f>
        <v/>
      </c>
      <c r="T214" s="14">
        <f>IF(G214,O214,NA())</f>
        <v/>
      </c>
      <c r="U214" s="13">
        <f>IF(G214,N214,NA())</f>
        <v/>
      </c>
      <c r="V214" s="14">
        <f>IF(R214,O214,NA())</f>
        <v/>
      </c>
      <c r="W214" s="13">
        <f>IF(R214,N214,NA())</f>
        <v/>
      </c>
      <c r="X214" s="27">
        <f>IF(G214,P214,"")</f>
        <v/>
      </c>
      <c r="Y214" s="27">
        <f>IF(G214,N214,"")</f>
        <v/>
      </c>
      <c r="Z214" s="27">
        <f>IF(R214,O214,"")</f>
        <v/>
      </c>
      <c r="AA214" s="27">
        <f>IF(R214,N214,"")</f>
        <v/>
      </c>
    </row>
    <row r="215">
      <c r="A215" s="31" t="n">
        <v>0</v>
      </c>
      <c r="B215" s="31" t="n">
        <v>0.2</v>
      </c>
      <c r="C215" s="31" t="n">
        <v>0.6</v>
      </c>
      <c r="D215" s="31" t="n">
        <v>0.2</v>
      </c>
      <c r="E215" s="27" t="inlineStr">
        <is>
          <t>1M 20%/2M 60%/3M 20%</t>
        </is>
      </c>
      <c r="F215" s="27" t="n">
        <v>100</v>
      </c>
      <c r="G215" s="27">
        <f>A215*$B$7&gt;=$B$9</f>
        <v/>
      </c>
      <c r="H215" s="13">
        <f>$B$7*(A215*E$71+B215*F$71+C215*G$71+D215*H$71)+F215/100*$B$7*J$71-$C$71</f>
        <v/>
      </c>
      <c r="I215" s="13">
        <f>$B$7*(A215*L$71+B215*M$71+C215*N$71+D215*O$71)+F215/100*$B$7*Q$71-$C$71</f>
        <v/>
      </c>
      <c r="J215" s="13">
        <f>$B$7*(A215*S$71+B215*T$71+C215*U$71+D215*V$71)+F215/100*$B$7*X$71-$C$71</f>
        <v/>
      </c>
      <c r="K215" s="13">
        <f>$B$7*(A215*Z$71+B215*AA$71+C215*AB$71+D215*AC$71)+F215/100*$B$7*AE$71-$C$71</f>
        <v/>
      </c>
      <c r="L215" s="13">
        <f>$B$7*(A215*AG$71+B215*AH$71+C215*AI$71+D215*AJ$71)+F215/100*$B$7*AL$71-$C$71</f>
        <v/>
      </c>
      <c r="M215" s="13">
        <f>$B$7*(A215*AN$71+B215*AO$71+C215*AP$71+D215*AQ$71)+F215/100*$B$7*AS$71-$C$71</f>
        <v/>
      </c>
      <c r="N215" s="13">
        <f>SUMPRODUCT($H$24:$M$24,H215:M215)</f>
        <v/>
      </c>
      <c r="O215" s="14">
        <f>SQRT(SUMPRODUCT($H$24:$M$24,(H215:M215-N215)^2))</f>
        <v/>
      </c>
      <c r="P215" s="13">
        <f>MIN(H215:M215)</f>
        <v/>
      </c>
      <c r="Q215" s="13">
        <f>MAX(H215:M215)</f>
        <v/>
      </c>
      <c r="R215" s="27">
        <f>IF(G215,SUMPRODUCT(($G$76:$G$1505)*($N$76:$N$1505&gt;=N215)*($O$76:$O$1505&lt;=O215))=1,FALSE)</f>
        <v/>
      </c>
      <c r="S215" s="16">
        <f>IF(R215,ABS((O215-$AC$76)/MAX(0.0001,$AC$77-$AC$76)-(N215-$AC$78)/MAX(0.0001,$AC$79-$AC$78)),-1)</f>
        <v/>
      </c>
      <c r="T215" s="14">
        <f>IF(G215,O215,NA())</f>
        <v/>
      </c>
      <c r="U215" s="13">
        <f>IF(G215,N215,NA())</f>
        <v/>
      </c>
      <c r="V215" s="14">
        <f>IF(R215,O215,NA())</f>
        <v/>
      </c>
      <c r="W215" s="13">
        <f>IF(R215,N215,NA())</f>
        <v/>
      </c>
      <c r="X215" s="27">
        <f>IF(G215,P215,"")</f>
        <v/>
      </c>
      <c r="Y215" s="27">
        <f>IF(G215,N215,"")</f>
        <v/>
      </c>
      <c r="Z215" s="27">
        <f>IF(R215,O215,"")</f>
        <v/>
      </c>
      <c r="AA215" s="27">
        <f>IF(R215,N215,"")</f>
        <v/>
      </c>
    </row>
    <row r="216">
      <c r="A216" s="31" t="n">
        <v>0</v>
      </c>
      <c r="B216" s="31" t="n">
        <v>0.2</v>
      </c>
      <c r="C216" s="31" t="n">
        <v>0.7</v>
      </c>
      <c r="D216" s="31" t="n">
        <v>0.1</v>
      </c>
      <c r="E216" s="27" t="inlineStr">
        <is>
          <t>1M 20%/2M 70%/3M 10%</t>
        </is>
      </c>
      <c r="F216" s="27" t="n">
        <v>0</v>
      </c>
      <c r="G216" s="27">
        <f>A216*$B$7&gt;=$B$9</f>
        <v/>
      </c>
      <c r="H216" s="13">
        <f>$B$7*(A216*E$71+B216*F$71+C216*G$71+D216*H$71)+F216/100*$B$7*J$71-$C$71</f>
        <v/>
      </c>
      <c r="I216" s="13">
        <f>$B$7*(A216*L$71+B216*M$71+C216*N$71+D216*O$71)+F216/100*$B$7*Q$71-$C$71</f>
        <v/>
      </c>
      <c r="J216" s="13">
        <f>$B$7*(A216*S$71+B216*T$71+C216*U$71+D216*V$71)+F216/100*$B$7*X$71-$C$71</f>
        <v/>
      </c>
      <c r="K216" s="13">
        <f>$B$7*(A216*Z$71+B216*AA$71+C216*AB$71+D216*AC$71)+F216/100*$B$7*AE$71-$C$71</f>
        <v/>
      </c>
      <c r="L216" s="13">
        <f>$B$7*(A216*AG$71+B216*AH$71+C216*AI$71+D216*AJ$71)+F216/100*$B$7*AL$71-$C$71</f>
        <v/>
      </c>
      <c r="M216" s="13">
        <f>$B$7*(A216*AN$71+B216*AO$71+C216*AP$71+D216*AQ$71)+F216/100*$B$7*AS$71-$C$71</f>
        <v/>
      </c>
      <c r="N216" s="13">
        <f>SUMPRODUCT($H$24:$M$24,H216:M216)</f>
        <v/>
      </c>
      <c r="O216" s="14">
        <f>SQRT(SUMPRODUCT($H$24:$M$24,(H216:M216-N216)^2))</f>
        <v/>
      </c>
      <c r="P216" s="13">
        <f>MIN(H216:M216)</f>
        <v/>
      </c>
      <c r="Q216" s="13">
        <f>MAX(H216:M216)</f>
        <v/>
      </c>
      <c r="R216" s="27">
        <f>IF(G216,SUMPRODUCT(($G$76:$G$1505)*($N$76:$N$1505&gt;=N216)*($O$76:$O$1505&lt;=O216))=1,FALSE)</f>
        <v/>
      </c>
      <c r="S216" s="16">
        <f>IF(R216,ABS((O216-$AC$76)/MAX(0.0001,$AC$77-$AC$76)-(N216-$AC$78)/MAX(0.0001,$AC$79-$AC$78)),-1)</f>
        <v/>
      </c>
      <c r="T216" s="14">
        <f>IF(G216,O216,NA())</f>
        <v/>
      </c>
      <c r="U216" s="13">
        <f>IF(G216,N216,NA())</f>
        <v/>
      </c>
      <c r="V216" s="14">
        <f>IF(R216,O216,NA())</f>
        <v/>
      </c>
      <c r="W216" s="13">
        <f>IF(R216,N216,NA())</f>
        <v/>
      </c>
      <c r="X216" s="27">
        <f>IF(G216,P216,"")</f>
        <v/>
      </c>
      <c r="Y216" s="27">
        <f>IF(G216,N216,"")</f>
        <v/>
      </c>
      <c r="Z216" s="27">
        <f>IF(R216,O216,"")</f>
        <v/>
      </c>
      <c r="AA216" s="27">
        <f>IF(R216,N216,"")</f>
        <v/>
      </c>
    </row>
    <row r="217">
      <c r="A217" s="31" t="n">
        <v>0</v>
      </c>
      <c r="B217" s="31" t="n">
        <v>0.2</v>
      </c>
      <c r="C217" s="31" t="n">
        <v>0.7</v>
      </c>
      <c r="D217" s="31" t="n">
        <v>0.1</v>
      </c>
      <c r="E217" s="27" t="inlineStr">
        <is>
          <t>1M 20%/2M 70%/3M 10%</t>
        </is>
      </c>
      <c r="F217" s="27" t="n">
        <v>25</v>
      </c>
      <c r="G217" s="27">
        <f>A217*$B$7&gt;=$B$9</f>
        <v/>
      </c>
      <c r="H217" s="13">
        <f>$B$7*(A217*E$71+B217*F$71+C217*G$71+D217*H$71)+F217/100*$B$7*J$71-$C$71</f>
        <v/>
      </c>
      <c r="I217" s="13">
        <f>$B$7*(A217*L$71+B217*M$71+C217*N$71+D217*O$71)+F217/100*$B$7*Q$71-$C$71</f>
        <v/>
      </c>
      <c r="J217" s="13">
        <f>$B$7*(A217*S$71+B217*T$71+C217*U$71+D217*V$71)+F217/100*$B$7*X$71-$C$71</f>
        <v/>
      </c>
      <c r="K217" s="13">
        <f>$B$7*(A217*Z$71+B217*AA$71+C217*AB$71+D217*AC$71)+F217/100*$B$7*AE$71-$C$71</f>
        <v/>
      </c>
      <c r="L217" s="13">
        <f>$B$7*(A217*AG$71+B217*AH$71+C217*AI$71+D217*AJ$71)+F217/100*$B$7*AL$71-$C$71</f>
        <v/>
      </c>
      <c r="M217" s="13">
        <f>$B$7*(A217*AN$71+B217*AO$71+C217*AP$71+D217*AQ$71)+F217/100*$B$7*AS$71-$C$71</f>
        <v/>
      </c>
      <c r="N217" s="13">
        <f>SUMPRODUCT($H$24:$M$24,H217:M217)</f>
        <v/>
      </c>
      <c r="O217" s="14">
        <f>SQRT(SUMPRODUCT($H$24:$M$24,(H217:M217-N217)^2))</f>
        <v/>
      </c>
      <c r="P217" s="13">
        <f>MIN(H217:M217)</f>
        <v/>
      </c>
      <c r="Q217" s="13">
        <f>MAX(H217:M217)</f>
        <v/>
      </c>
      <c r="R217" s="27">
        <f>IF(G217,SUMPRODUCT(($G$76:$G$1505)*($N$76:$N$1505&gt;=N217)*($O$76:$O$1505&lt;=O217))=1,FALSE)</f>
        <v/>
      </c>
      <c r="S217" s="16">
        <f>IF(R217,ABS((O217-$AC$76)/MAX(0.0001,$AC$77-$AC$76)-(N217-$AC$78)/MAX(0.0001,$AC$79-$AC$78)),-1)</f>
        <v/>
      </c>
      <c r="T217" s="14">
        <f>IF(G217,O217,NA())</f>
        <v/>
      </c>
      <c r="U217" s="13">
        <f>IF(G217,N217,NA())</f>
        <v/>
      </c>
      <c r="V217" s="14">
        <f>IF(R217,O217,NA())</f>
        <v/>
      </c>
      <c r="W217" s="13">
        <f>IF(R217,N217,NA())</f>
        <v/>
      </c>
      <c r="X217" s="27">
        <f>IF(G217,P217,"")</f>
        <v/>
      </c>
      <c r="Y217" s="27">
        <f>IF(G217,N217,"")</f>
        <v/>
      </c>
      <c r="Z217" s="27">
        <f>IF(R217,O217,"")</f>
        <v/>
      </c>
      <c r="AA217" s="27">
        <f>IF(R217,N217,"")</f>
        <v/>
      </c>
    </row>
    <row r="218">
      <c r="A218" s="31" t="n">
        <v>0</v>
      </c>
      <c r="B218" s="31" t="n">
        <v>0.2</v>
      </c>
      <c r="C218" s="31" t="n">
        <v>0.7</v>
      </c>
      <c r="D218" s="31" t="n">
        <v>0.1</v>
      </c>
      <c r="E218" s="27" t="inlineStr">
        <is>
          <t>1M 20%/2M 70%/3M 10%</t>
        </is>
      </c>
      <c r="F218" s="27" t="n">
        <v>50</v>
      </c>
      <c r="G218" s="27">
        <f>A218*$B$7&gt;=$B$9</f>
        <v/>
      </c>
      <c r="H218" s="13">
        <f>$B$7*(A218*E$71+B218*F$71+C218*G$71+D218*H$71)+F218/100*$B$7*J$71-$C$71</f>
        <v/>
      </c>
      <c r="I218" s="13">
        <f>$B$7*(A218*L$71+B218*M$71+C218*N$71+D218*O$71)+F218/100*$B$7*Q$71-$C$71</f>
        <v/>
      </c>
      <c r="J218" s="13">
        <f>$B$7*(A218*S$71+B218*T$71+C218*U$71+D218*V$71)+F218/100*$B$7*X$71-$C$71</f>
        <v/>
      </c>
      <c r="K218" s="13">
        <f>$B$7*(A218*Z$71+B218*AA$71+C218*AB$71+D218*AC$71)+F218/100*$B$7*AE$71-$C$71</f>
        <v/>
      </c>
      <c r="L218" s="13">
        <f>$B$7*(A218*AG$71+B218*AH$71+C218*AI$71+D218*AJ$71)+F218/100*$B$7*AL$71-$C$71</f>
        <v/>
      </c>
      <c r="M218" s="13">
        <f>$B$7*(A218*AN$71+B218*AO$71+C218*AP$71+D218*AQ$71)+F218/100*$B$7*AS$71-$C$71</f>
        <v/>
      </c>
      <c r="N218" s="13">
        <f>SUMPRODUCT($H$24:$M$24,H218:M218)</f>
        <v/>
      </c>
      <c r="O218" s="14">
        <f>SQRT(SUMPRODUCT($H$24:$M$24,(H218:M218-N218)^2))</f>
        <v/>
      </c>
      <c r="P218" s="13">
        <f>MIN(H218:M218)</f>
        <v/>
      </c>
      <c r="Q218" s="13">
        <f>MAX(H218:M218)</f>
        <v/>
      </c>
      <c r="R218" s="27">
        <f>IF(G218,SUMPRODUCT(($G$76:$G$1505)*($N$76:$N$1505&gt;=N218)*($O$76:$O$1505&lt;=O218))=1,FALSE)</f>
        <v/>
      </c>
      <c r="S218" s="16">
        <f>IF(R218,ABS((O218-$AC$76)/MAX(0.0001,$AC$77-$AC$76)-(N218-$AC$78)/MAX(0.0001,$AC$79-$AC$78)),-1)</f>
        <v/>
      </c>
      <c r="T218" s="14">
        <f>IF(G218,O218,NA())</f>
        <v/>
      </c>
      <c r="U218" s="13">
        <f>IF(G218,N218,NA())</f>
        <v/>
      </c>
      <c r="V218" s="14">
        <f>IF(R218,O218,NA())</f>
        <v/>
      </c>
      <c r="W218" s="13">
        <f>IF(R218,N218,NA())</f>
        <v/>
      </c>
      <c r="X218" s="27">
        <f>IF(G218,P218,"")</f>
        <v/>
      </c>
      <c r="Y218" s="27">
        <f>IF(G218,N218,"")</f>
        <v/>
      </c>
      <c r="Z218" s="27">
        <f>IF(R218,O218,"")</f>
        <v/>
      </c>
      <c r="AA218" s="27">
        <f>IF(R218,N218,"")</f>
        <v/>
      </c>
    </row>
    <row r="219">
      <c r="A219" s="31" t="n">
        <v>0</v>
      </c>
      <c r="B219" s="31" t="n">
        <v>0.2</v>
      </c>
      <c r="C219" s="31" t="n">
        <v>0.7</v>
      </c>
      <c r="D219" s="31" t="n">
        <v>0.1</v>
      </c>
      <c r="E219" s="27" t="inlineStr">
        <is>
          <t>1M 20%/2M 70%/3M 10%</t>
        </is>
      </c>
      <c r="F219" s="27" t="n">
        <v>75</v>
      </c>
      <c r="G219" s="27">
        <f>A219*$B$7&gt;=$B$9</f>
        <v/>
      </c>
      <c r="H219" s="13">
        <f>$B$7*(A219*E$71+B219*F$71+C219*G$71+D219*H$71)+F219/100*$B$7*J$71-$C$71</f>
        <v/>
      </c>
      <c r="I219" s="13">
        <f>$B$7*(A219*L$71+B219*M$71+C219*N$71+D219*O$71)+F219/100*$B$7*Q$71-$C$71</f>
        <v/>
      </c>
      <c r="J219" s="13">
        <f>$B$7*(A219*S$71+B219*T$71+C219*U$71+D219*V$71)+F219/100*$B$7*X$71-$C$71</f>
        <v/>
      </c>
      <c r="K219" s="13">
        <f>$B$7*(A219*Z$71+B219*AA$71+C219*AB$71+D219*AC$71)+F219/100*$B$7*AE$71-$C$71</f>
        <v/>
      </c>
      <c r="L219" s="13">
        <f>$B$7*(A219*AG$71+B219*AH$71+C219*AI$71+D219*AJ$71)+F219/100*$B$7*AL$71-$C$71</f>
        <v/>
      </c>
      <c r="M219" s="13">
        <f>$B$7*(A219*AN$71+B219*AO$71+C219*AP$71+D219*AQ$71)+F219/100*$B$7*AS$71-$C$71</f>
        <v/>
      </c>
      <c r="N219" s="13">
        <f>SUMPRODUCT($H$24:$M$24,H219:M219)</f>
        <v/>
      </c>
      <c r="O219" s="14">
        <f>SQRT(SUMPRODUCT($H$24:$M$24,(H219:M219-N219)^2))</f>
        <v/>
      </c>
      <c r="P219" s="13">
        <f>MIN(H219:M219)</f>
        <v/>
      </c>
      <c r="Q219" s="13">
        <f>MAX(H219:M219)</f>
        <v/>
      </c>
      <c r="R219" s="27">
        <f>IF(G219,SUMPRODUCT(($G$76:$G$1505)*($N$76:$N$1505&gt;=N219)*($O$76:$O$1505&lt;=O219))=1,FALSE)</f>
        <v/>
      </c>
      <c r="S219" s="16">
        <f>IF(R219,ABS((O219-$AC$76)/MAX(0.0001,$AC$77-$AC$76)-(N219-$AC$78)/MAX(0.0001,$AC$79-$AC$78)),-1)</f>
        <v/>
      </c>
      <c r="T219" s="14">
        <f>IF(G219,O219,NA())</f>
        <v/>
      </c>
      <c r="U219" s="13">
        <f>IF(G219,N219,NA())</f>
        <v/>
      </c>
      <c r="V219" s="14">
        <f>IF(R219,O219,NA())</f>
        <v/>
      </c>
      <c r="W219" s="13">
        <f>IF(R219,N219,NA())</f>
        <v/>
      </c>
      <c r="X219" s="27">
        <f>IF(G219,P219,"")</f>
        <v/>
      </c>
      <c r="Y219" s="27">
        <f>IF(G219,N219,"")</f>
        <v/>
      </c>
      <c r="Z219" s="27">
        <f>IF(R219,O219,"")</f>
        <v/>
      </c>
      <c r="AA219" s="27">
        <f>IF(R219,N219,"")</f>
        <v/>
      </c>
    </row>
    <row r="220">
      <c r="A220" s="31" t="n">
        <v>0</v>
      </c>
      <c r="B220" s="31" t="n">
        <v>0.2</v>
      </c>
      <c r="C220" s="31" t="n">
        <v>0.7</v>
      </c>
      <c r="D220" s="31" t="n">
        <v>0.1</v>
      </c>
      <c r="E220" s="27" t="inlineStr">
        <is>
          <t>1M 20%/2M 70%/3M 10%</t>
        </is>
      </c>
      <c r="F220" s="27" t="n">
        <v>100</v>
      </c>
      <c r="G220" s="27">
        <f>A220*$B$7&gt;=$B$9</f>
        <v/>
      </c>
      <c r="H220" s="13">
        <f>$B$7*(A220*E$71+B220*F$71+C220*G$71+D220*H$71)+F220/100*$B$7*J$71-$C$71</f>
        <v/>
      </c>
      <c r="I220" s="13">
        <f>$B$7*(A220*L$71+B220*M$71+C220*N$71+D220*O$71)+F220/100*$B$7*Q$71-$C$71</f>
        <v/>
      </c>
      <c r="J220" s="13">
        <f>$B$7*(A220*S$71+B220*T$71+C220*U$71+D220*V$71)+F220/100*$B$7*X$71-$C$71</f>
        <v/>
      </c>
      <c r="K220" s="13">
        <f>$B$7*(A220*Z$71+B220*AA$71+C220*AB$71+D220*AC$71)+F220/100*$B$7*AE$71-$C$71</f>
        <v/>
      </c>
      <c r="L220" s="13">
        <f>$B$7*(A220*AG$71+B220*AH$71+C220*AI$71+D220*AJ$71)+F220/100*$B$7*AL$71-$C$71</f>
        <v/>
      </c>
      <c r="M220" s="13">
        <f>$B$7*(A220*AN$71+B220*AO$71+C220*AP$71+D220*AQ$71)+F220/100*$B$7*AS$71-$C$71</f>
        <v/>
      </c>
      <c r="N220" s="13">
        <f>SUMPRODUCT($H$24:$M$24,H220:M220)</f>
        <v/>
      </c>
      <c r="O220" s="14">
        <f>SQRT(SUMPRODUCT($H$24:$M$24,(H220:M220-N220)^2))</f>
        <v/>
      </c>
      <c r="P220" s="13">
        <f>MIN(H220:M220)</f>
        <v/>
      </c>
      <c r="Q220" s="13">
        <f>MAX(H220:M220)</f>
        <v/>
      </c>
      <c r="R220" s="27">
        <f>IF(G220,SUMPRODUCT(($G$76:$G$1505)*($N$76:$N$1505&gt;=N220)*($O$76:$O$1505&lt;=O220))=1,FALSE)</f>
        <v/>
      </c>
      <c r="S220" s="16">
        <f>IF(R220,ABS((O220-$AC$76)/MAX(0.0001,$AC$77-$AC$76)-(N220-$AC$78)/MAX(0.0001,$AC$79-$AC$78)),-1)</f>
        <v/>
      </c>
      <c r="T220" s="14">
        <f>IF(G220,O220,NA())</f>
        <v/>
      </c>
      <c r="U220" s="13">
        <f>IF(G220,N220,NA())</f>
        <v/>
      </c>
      <c r="V220" s="14">
        <f>IF(R220,O220,NA())</f>
        <v/>
      </c>
      <c r="W220" s="13">
        <f>IF(R220,N220,NA())</f>
        <v/>
      </c>
      <c r="X220" s="27">
        <f>IF(G220,P220,"")</f>
        <v/>
      </c>
      <c r="Y220" s="27">
        <f>IF(G220,N220,"")</f>
        <v/>
      </c>
      <c r="Z220" s="27">
        <f>IF(R220,O220,"")</f>
        <v/>
      </c>
      <c r="AA220" s="27">
        <f>IF(R220,N220,"")</f>
        <v/>
      </c>
    </row>
    <row r="221">
      <c r="A221" s="31" t="n">
        <v>0</v>
      </c>
      <c r="B221" s="31" t="n">
        <v>0.2</v>
      </c>
      <c r="C221" s="31" t="n">
        <v>0.8</v>
      </c>
      <c r="D221" s="31" t="n">
        <v>0</v>
      </c>
      <c r="E221" s="27" t="inlineStr">
        <is>
          <t>1M 20%/2M 80%</t>
        </is>
      </c>
      <c r="F221" s="27" t="n">
        <v>0</v>
      </c>
      <c r="G221" s="27">
        <f>A221*$B$7&gt;=$B$9</f>
        <v/>
      </c>
      <c r="H221" s="13">
        <f>$B$7*(A221*E$71+B221*F$71+C221*G$71+D221*H$71)+F221/100*$B$7*J$71-$C$71</f>
        <v/>
      </c>
      <c r="I221" s="13">
        <f>$B$7*(A221*L$71+B221*M$71+C221*N$71+D221*O$71)+F221/100*$B$7*Q$71-$C$71</f>
        <v/>
      </c>
      <c r="J221" s="13">
        <f>$B$7*(A221*S$71+B221*T$71+C221*U$71+D221*V$71)+F221/100*$B$7*X$71-$C$71</f>
        <v/>
      </c>
      <c r="K221" s="13">
        <f>$B$7*(A221*Z$71+B221*AA$71+C221*AB$71+D221*AC$71)+F221/100*$B$7*AE$71-$C$71</f>
        <v/>
      </c>
      <c r="L221" s="13">
        <f>$B$7*(A221*AG$71+B221*AH$71+C221*AI$71+D221*AJ$71)+F221/100*$B$7*AL$71-$C$71</f>
        <v/>
      </c>
      <c r="M221" s="13">
        <f>$B$7*(A221*AN$71+B221*AO$71+C221*AP$71+D221*AQ$71)+F221/100*$B$7*AS$71-$C$71</f>
        <v/>
      </c>
      <c r="N221" s="13">
        <f>SUMPRODUCT($H$24:$M$24,H221:M221)</f>
        <v/>
      </c>
      <c r="O221" s="14">
        <f>SQRT(SUMPRODUCT($H$24:$M$24,(H221:M221-N221)^2))</f>
        <v/>
      </c>
      <c r="P221" s="13">
        <f>MIN(H221:M221)</f>
        <v/>
      </c>
      <c r="Q221" s="13">
        <f>MAX(H221:M221)</f>
        <v/>
      </c>
      <c r="R221" s="27">
        <f>IF(G221,SUMPRODUCT(($G$76:$G$1505)*($N$76:$N$1505&gt;=N221)*($O$76:$O$1505&lt;=O221))=1,FALSE)</f>
        <v/>
      </c>
      <c r="S221" s="16">
        <f>IF(R221,ABS((O221-$AC$76)/MAX(0.0001,$AC$77-$AC$76)-(N221-$AC$78)/MAX(0.0001,$AC$79-$AC$78)),-1)</f>
        <v/>
      </c>
      <c r="T221" s="14">
        <f>IF(G221,O221,NA())</f>
        <v/>
      </c>
      <c r="U221" s="13">
        <f>IF(G221,N221,NA())</f>
        <v/>
      </c>
      <c r="V221" s="14">
        <f>IF(R221,O221,NA())</f>
        <v/>
      </c>
      <c r="W221" s="13">
        <f>IF(R221,N221,NA())</f>
        <v/>
      </c>
      <c r="X221" s="27">
        <f>IF(G221,P221,"")</f>
        <v/>
      </c>
      <c r="Y221" s="27">
        <f>IF(G221,N221,"")</f>
        <v/>
      </c>
      <c r="Z221" s="27">
        <f>IF(R221,O221,"")</f>
        <v/>
      </c>
      <c r="AA221" s="27">
        <f>IF(R221,N221,"")</f>
        <v/>
      </c>
    </row>
    <row r="222">
      <c r="A222" s="31" t="n">
        <v>0</v>
      </c>
      <c r="B222" s="31" t="n">
        <v>0.2</v>
      </c>
      <c r="C222" s="31" t="n">
        <v>0.8</v>
      </c>
      <c r="D222" s="31" t="n">
        <v>0</v>
      </c>
      <c r="E222" s="27" t="inlineStr">
        <is>
          <t>1M 20%/2M 80%</t>
        </is>
      </c>
      <c r="F222" s="27" t="n">
        <v>25</v>
      </c>
      <c r="G222" s="27">
        <f>A222*$B$7&gt;=$B$9</f>
        <v/>
      </c>
      <c r="H222" s="13">
        <f>$B$7*(A222*E$71+B222*F$71+C222*G$71+D222*H$71)+F222/100*$B$7*J$71-$C$71</f>
        <v/>
      </c>
      <c r="I222" s="13">
        <f>$B$7*(A222*L$71+B222*M$71+C222*N$71+D222*O$71)+F222/100*$B$7*Q$71-$C$71</f>
        <v/>
      </c>
      <c r="J222" s="13">
        <f>$B$7*(A222*S$71+B222*T$71+C222*U$71+D222*V$71)+F222/100*$B$7*X$71-$C$71</f>
        <v/>
      </c>
      <c r="K222" s="13">
        <f>$B$7*(A222*Z$71+B222*AA$71+C222*AB$71+D222*AC$71)+F222/100*$B$7*AE$71-$C$71</f>
        <v/>
      </c>
      <c r="L222" s="13">
        <f>$B$7*(A222*AG$71+B222*AH$71+C222*AI$71+D222*AJ$71)+F222/100*$B$7*AL$71-$C$71</f>
        <v/>
      </c>
      <c r="M222" s="13">
        <f>$B$7*(A222*AN$71+B222*AO$71+C222*AP$71+D222*AQ$71)+F222/100*$B$7*AS$71-$C$71</f>
        <v/>
      </c>
      <c r="N222" s="13">
        <f>SUMPRODUCT($H$24:$M$24,H222:M222)</f>
        <v/>
      </c>
      <c r="O222" s="14">
        <f>SQRT(SUMPRODUCT($H$24:$M$24,(H222:M222-N222)^2))</f>
        <v/>
      </c>
      <c r="P222" s="13">
        <f>MIN(H222:M222)</f>
        <v/>
      </c>
      <c r="Q222" s="13">
        <f>MAX(H222:M222)</f>
        <v/>
      </c>
      <c r="R222" s="27">
        <f>IF(G222,SUMPRODUCT(($G$76:$G$1505)*($N$76:$N$1505&gt;=N222)*($O$76:$O$1505&lt;=O222))=1,FALSE)</f>
        <v/>
      </c>
      <c r="S222" s="16">
        <f>IF(R222,ABS((O222-$AC$76)/MAX(0.0001,$AC$77-$AC$76)-(N222-$AC$78)/MAX(0.0001,$AC$79-$AC$78)),-1)</f>
        <v/>
      </c>
      <c r="T222" s="14">
        <f>IF(G222,O222,NA())</f>
        <v/>
      </c>
      <c r="U222" s="13">
        <f>IF(G222,N222,NA())</f>
        <v/>
      </c>
      <c r="V222" s="14">
        <f>IF(R222,O222,NA())</f>
        <v/>
      </c>
      <c r="W222" s="13">
        <f>IF(R222,N222,NA())</f>
        <v/>
      </c>
      <c r="X222" s="27">
        <f>IF(G222,P222,"")</f>
        <v/>
      </c>
      <c r="Y222" s="27">
        <f>IF(G222,N222,"")</f>
        <v/>
      </c>
      <c r="Z222" s="27">
        <f>IF(R222,O222,"")</f>
        <v/>
      </c>
      <c r="AA222" s="27">
        <f>IF(R222,N222,"")</f>
        <v/>
      </c>
    </row>
    <row r="223">
      <c r="A223" s="31" t="n">
        <v>0</v>
      </c>
      <c r="B223" s="31" t="n">
        <v>0.2</v>
      </c>
      <c r="C223" s="31" t="n">
        <v>0.8</v>
      </c>
      <c r="D223" s="31" t="n">
        <v>0</v>
      </c>
      <c r="E223" s="27" t="inlineStr">
        <is>
          <t>1M 20%/2M 80%</t>
        </is>
      </c>
      <c r="F223" s="27" t="n">
        <v>50</v>
      </c>
      <c r="G223" s="27">
        <f>A223*$B$7&gt;=$B$9</f>
        <v/>
      </c>
      <c r="H223" s="13">
        <f>$B$7*(A223*E$71+B223*F$71+C223*G$71+D223*H$71)+F223/100*$B$7*J$71-$C$71</f>
        <v/>
      </c>
      <c r="I223" s="13">
        <f>$B$7*(A223*L$71+B223*M$71+C223*N$71+D223*O$71)+F223/100*$B$7*Q$71-$C$71</f>
        <v/>
      </c>
      <c r="J223" s="13">
        <f>$B$7*(A223*S$71+B223*T$71+C223*U$71+D223*V$71)+F223/100*$B$7*X$71-$C$71</f>
        <v/>
      </c>
      <c r="K223" s="13">
        <f>$B$7*(A223*Z$71+B223*AA$71+C223*AB$71+D223*AC$71)+F223/100*$B$7*AE$71-$C$71</f>
        <v/>
      </c>
      <c r="L223" s="13">
        <f>$B$7*(A223*AG$71+B223*AH$71+C223*AI$71+D223*AJ$71)+F223/100*$B$7*AL$71-$C$71</f>
        <v/>
      </c>
      <c r="M223" s="13">
        <f>$B$7*(A223*AN$71+B223*AO$71+C223*AP$71+D223*AQ$71)+F223/100*$B$7*AS$71-$C$71</f>
        <v/>
      </c>
      <c r="N223" s="13">
        <f>SUMPRODUCT($H$24:$M$24,H223:M223)</f>
        <v/>
      </c>
      <c r="O223" s="14">
        <f>SQRT(SUMPRODUCT($H$24:$M$24,(H223:M223-N223)^2))</f>
        <v/>
      </c>
      <c r="P223" s="13">
        <f>MIN(H223:M223)</f>
        <v/>
      </c>
      <c r="Q223" s="13">
        <f>MAX(H223:M223)</f>
        <v/>
      </c>
      <c r="R223" s="27">
        <f>IF(G223,SUMPRODUCT(($G$76:$G$1505)*($N$76:$N$1505&gt;=N223)*($O$76:$O$1505&lt;=O223))=1,FALSE)</f>
        <v/>
      </c>
      <c r="S223" s="16">
        <f>IF(R223,ABS((O223-$AC$76)/MAX(0.0001,$AC$77-$AC$76)-(N223-$AC$78)/MAX(0.0001,$AC$79-$AC$78)),-1)</f>
        <v/>
      </c>
      <c r="T223" s="14">
        <f>IF(G223,O223,NA())</f>
        <v/>
      </c>
      <c r="U223" s="13">
        <f>IF(G223,N223,NA())</f>
        <v/>
      </c>
      <c r="V223" s="14">
        <f>IF(R223,O223,NA())</f>
        <v/>
      </c>
      <c r="W223" s="13">
        <f>IF(R223,N223,NA())</f>
        <v/>
      </c>
      <c r="X223" s="27">
        <f>IF(G223,P223,"")</f>
        <v/>
      </c>
      <c r="Y223" s="27">
        <f>IF(G223,N223,"")</f>
        <v/>
      </c>
      <c r="Z223" s="27">
        <f>IF(R223,O223,"")</f>
        <v/>
      </c>
      <c r="AA223" s="27">
        <f>IF(R223,N223,"")</f>
        <v/>
      </c>
    </row>
    <row r="224">
      <c r="A224" s="31" t="n">
        <v>0</v>
      </c>
      <c r="B224" s="31" t="n">
        <v>0.2</v>
      </c>
      <c r="C224" s="31" t="n">
        <v>0.8</v>
      </c>
      <c r="D224" s="31" t="n">
        <v>0</v>
      </c>
      <c r="E224" s="27" t="inlineStr">
        <is>
          <t>1M 20%/2M 80%</t>
        </is>
      </c>
      <c r="F224" s="27" t="n">
        <v>75</v>
      </c>
      <c r="G224" s="27">
        <f>A224*$B$7&gt;=$B$9</f>
        <v/>
      </c>
      <c r="H224" s="13">
        <f>$B$7*(A224*E$71+B224*F$71+C224*G$71+D224*H$71)+F224/100*$B$7*J$71-$C$71</f>
        <v/>
      </c>
      <c r="I224" s="13">
        <f>$B$7*(A224*L$71+B224*M$71+C224*N$71+D224*O$71)+F224/100*$B$7*Q$71-$C$71</f>
        <v/>
      </c>
      <c r="J224" s="13">
        <f>$B$7*(A224*S$71+B224*T$71+C224*U$71+D224*V$71)+F224/100*$B$7*X$71-$C$71</f>
        <v/>
      </c>
      <c r="K224" s="13">
        <f>$B$7*(A224*Z$71+B224*AA$71+C224*AB$71+D224*AC$71)+F224/100*$B$7*AE$71-$C$71</f>
        <v/>
      </c>
      <c r="L224" s="13">
        <f>$B$7*(A224*AG$71+B224*AH$71+C224*AI$71+D224*AJ$71)+F224/100*$B$7*AL$71-$C$71</f>
        <v/>
      </c>
      <c r="M224" s="13">
        <f>$B$7*(A224*AN$71+B224*AO$71+C224*AP$71+D224*AQ$71)+F224/100*$B$7*AS$71-$C$71</f>
        <v/>
      </c>
      <c r="N224" s="13">
        <f>SUMPRODUCT($H$24:$M$24,H224:M224)</f>
        <v/>
      </c>
      <c r="O224" s="14">
        <f>SQRT(SUMPRODUCT($H$24:$M$24,(H224:M224-N224)^2))</f>
        <v/>
      </c>
      <c r="P224" s="13">
        <f>MIN(H224:M224)</f>
        <v/>
      </c>
      <c r="Q224" s="13">
        <f>MAX(H224:M224)</f>
        <v/>
      </c>
      <c r="R224" s="27">
        <f>IF(G224,SUMPRODUCT(($G$76:$G$1505)*($N$76:$N$1505&gt;=N224)*($O$76:$O$1505&lt;=O224))=1,FALSE)</f>
        <v/>
      </c>
      <c r="S224" s="16">
        <f>IF(R224,ABS((O224-$AC$76)/MAX(0.0001,$AC$77-$AC$76)-(N224-$AC$78)/MAX(0.0001,$AC$79-$AC$78)),-1)</f>
        <v/>
      </c>
      <c r="T224" s="14">
        <f>IF(G224,O224,NA())</f>
        <v/>
      </c>
      <c r="U224" s="13">
        <f>IF(G224,N224,NA())</f>
        <v/>
      </c>
      <c r="V224" s="14">
        <f>IF(R224,O224,NA())</f>
        <v/>
      </c>
      <c r="W224" s="13">
        <f>IF(R224,N224,NA())</f>
        <v/>
      </c>
      <c r="X224" s="27">
        <f>IF(G224,P224,"")</f>
        <v/>
      </c>
      <c r="Y224" s="27">
        <f>IF(G224,N224,"")</f>
        <v/>
      </c>
      <c r="Z224" s="27">
        <f>IF(R224,O224,"")</f>
        <v/>
      </c>
      <c r="AA224" s="27">
        <f>IF(R224,N224,"")</f>
        <v/>
      </c>
    </row>
    <row r="225">
      <c r="A225" s="31" t="n">
        <v>0</v>
      </c>
      <c r="B225" s="31" t="n">
        <v>0.2</v>
      </c>
      <c r="C225" s="31" t="n">
        <v>0.8</v>
      </c>
      <c r="D225" s="31" t="n">
        <v>0</v>
      </c>
      <c r="E225" s="27" t="inlineStr">
        <is>
          <t>1M 20%/2M 80%</t>
        </is>
      </c>
      <c r="F225" s="27" t="n">
        <v>100</v>
      </c>
      <c r="G225" s="27">
        <f>A225*$B$7&gt;=$B$9</f>
        <v/>
      </c>
      <c r="H225" s="13">
        <f>$B$7*(A225*E$71+B225*F$71+C225*G$71+D225*H$71)+F225/100*$B$7*J$71-$C$71</f>
        <v/>
      </c>
      <c r="I225" s="13">
        <f>$B$7*(A225*L$71+B225*M$71+C225*N$71+D225*O$71)+F225/100*$B$7*Q$71-$C$71</f>
        <v/>
      </c>
      <c r="J225" s="13">
        <f>$B$7*(A225*S$71+B225*T$71+C225*U$71+D225*V$71)+F225/100*$B$7*X$71-$C$71</f>
        <v/>
      </c>
      <c r="K225" s="13">
        <f>$B$7*(A225*Z$71+B225*AA$71+C225*AB$71+D225*AC$71)+F225/100*$B$7*AE$71-$C$71</f>
        <v/>
      </c>
      <c r="L225" s="13">
        <f>$B$7*(A225*AG$71+B225*AH$71+C225*AI$71+D225*AJ$71)+F225/100*$B$7*AL$71-$C$71</f>
        <v/>
      </c>
      <c r="M225" s="13">
        <f>$B$7*(A225*AN$71+B225*AO$71+C225*AP$71+D225*AQ$71)+F225/100*$B$7*AS$71-$C$71</f>
        <v/>
      </c>
      <c r="N225" s="13">
        <f>SUMPRODUCT($H$24:$M$24,H225:M225)</f>
        <v/>
      </c>
      <c r="O225" s="14">
        <f>SQRT(SUMPRODUCT($H$24:$M$24,(H225:M225-N225)^2))</f>
        <v/>
      </c>
      <c r="P225" s="13">
        <f>MIN(H225:M225)</f>
        <v/>
      </c>
      <c r="Q225" s="13">
        <f>MAX(H225:M225)</f>
        <v/>
      </c>
      <c r="R225" s="27">
        <f>IF(G225,SUMPRODUCT(($G$76:$G$1505)*($N$76:$N$1505&gt;=N225)*($O$76:$O$1505&lt;=O225))=1,FALSE)</f>
        <v/>
      </c>
      <c r="S225" s="16">
        <f>IF(R225,ABS((O225-$AC$76)/MAX(0.0001,$AC$77-$AC$76)-(N225-$AC$78)/MAX(0.0001,$AC$79-$AC$78)),-1)</f>
        <v/>
      </c>
      <c r="T225" s="14">
        <f>IF(G225,O225,NA())</f>
        <v/>
      </c>
      <c r="U225" s="13">
        <f>IF(G225,N225,NA())</f>
        <v/>
      </c>
      <c r="V225" s="14">
        <f>IF(R225,O225,NA())</f>
        <v/>
      </c>
      <c r="W225" s="13">
        <f>IF(R225,N225,NA())</f>
        <v/>
      </c>
      <c r="X225" s="27">
        <f>IF(G225,P225,"")</f>
        <v/>
      </c>
      <c r="Y225" s="27">
        <f>IF(G225,N225,"")</f>
        <v/>
      </c>
      <c r="Z225" s="27">
        <f>IF(R225,O225,"")</f>
        <v/>
      </c>
      <c r="AA225" s="27">
        <f>IF(R225,N225,"")</f>
        <v/>
      </c>
    </row>
    <row r="226">
      <c r="A226" s="31" t="n">
        <v>0</v>
      </c>
      <c r="B226" s="31" t="n">
        <v>0.3</v>
      </c>
      <c r="C226" s="31" t="n">
        <v>0</v>
      </c>
      <c r="D226" s="31" t="n">
        <v>0.7</v>
      </c>
      <c r="E226" s="27" t="inlineStr">
        <is>
          <t>1M 30%/3M 70%</t>
        </is>
      </c>
      <c r="F226" s="27" t="n">
        <v>0</v>
      </c>
      <c r="G226" s="27">
        <f>A226*$B$7&gt;=$B$9</f>
        <v/>
      </c>
      <c r="H226" s="13">
        <f>$B$7*(A226*E$71+B226*F$71+C226*G$71+D226*H$71)+F226/100*$B$7*J$71-$C$71</f>
        <v/>
      </c>
      <c r="I226" s="13">
        <f>$B$7*(A226*L$71+B226*M$71+C226*N$71+D226*O$71)+F226/100*$B$7*Q$71-$C$71</f>
        <v/>
      </c>
      <c r="J226" s="13">
        <f>$B$7*(A226*S$71+B226*T$71+C226*U$71+D226*V$71)+F226/100*$B$7*X$71-$C$71</f>
        <v/>
      </c>
      <c r="K226" s="13">
        <f>$B$7*(A226*Z$71+B226*AA$71+C226*AB$71+D226*AC$71)+F226/100*$B$7*AE$71-$C$71</f>
        <v/>
      </c>
      <c r="L226" s="13">
        <f>$B$7*(A226*AG$71+B226*AH$71+C226*AI$71+D226*AJ$71)+F226/100*$B$7*AL$71-$C$71</f>
        <v/>
      </c>
      <c r="M226" s="13">
        <f>$B$7*(A226*AN$71+B226*AO$71+C226*AP$71+D226*AQ$71)+F226/100*$B$7*AS$71-$C$71</f>
        <v/>
      </c>
      <c r="N226" s="13">
        <f>SUMPRODUCT($H$24:$M$24,H226:M226)</f>
        <v/>
      </c>
      <c r="O226" s="14">
        <f>SQRT(SUMPRODUCT($H$24:$M$24,(H226:M226-N226)^2))</f>
        <v/>
      </c>
      <c r="P226" s="13">
        <f>MIN(H226:M226)</f>
        <v/>
      </c>
      <c r="Q226" s="13">
        <f>MAX(H226:M226)</f>
        <v/>
      </c>
      <c r="R226" s="27">
        <f>IF(G226,SUMPRODUCT(($G$76:$G$1505)*($N$76:$N$1505&gt;=N226)*($O$76:$O$1505&lt;=O226))=1,FALSE)</f>
        <v/>
      </c>
      <c r="S226" s="16">
        <f>IF(R226,ABS((O226-$AC$76)/MAX(0.0001,$AC$77-$AC$76)-(N226-$AC$78)/MAX(0.0001,$AC$79-$AC$78)),-1)</f>
        <v/>
      </c>
      <c r="T226" s="14">
        <f>IF(G226,O226,NA())</f>
        <v/>
      </c>
      <c r="U226" s="13">
        <f>IF(G226,N226,NA())</f>
        <v/>
      </c>
      <c r="V226" s="14">
        <f>IF(R226,O226,NA())</f>
        <v/>
      </c>
      <c r="W226" s="13">
        <f>IF(R226,N226,NA())</f>
        <v/>
      </c>
      <c r="X226" s="27">
        <f>IF(G226,P226,"")</f>
        <v/>
      </c>
      <c r="Y226" s="27">
        <f>IF(G226,N226,"")</f>
        <v/>
      </c>
      <c r="Z226" s="27">
        <f>IF(R226,O226,"")</f>
        <v/>
      </c>
      <c r="AA226" s="27">
        <f>IF(R226,N226,"")</f>
        <v/>
      </c>
    </row>
    <row r="227">
      <c r="A227" s="31" t="n">
        <v>0</v>
      </c>
      <c r="B227" s="31" t="n">
        <v>0.3</v>
      </c>
      <c r="C227" s="31" t="n">
        <v>0</v>
      </c>
      <c r="D227" s="31" t="n">
        <v>0.7</v>
      </c>
      <c r="E227" s="27" t="inlineStr">
        <is>
          <t>1M 30%/3M 70%</t>
        </is>
      </c>
      <c r="F227" s="27" t="n">
        <v>25</v>
      </c>
      <c r="G227" s="27">
        <f>A227*$B$7&gt;=$B$9</f>
        <v/>
      </c>
      <c r="H227" s="13">
        <f>$B$7*(A227*E$71+B227*F$71+C227*G$71+D227*H$71)+F227/100*$B$7*J$71-$C$71</f>
        <v/>
      </c>
      <c r="I227" s="13">
        <f>$B$7*(A227*L$71+B227*M$71+C227*N$71+D227*O$71)+F227/100*$B$7*Q$71-$C$71</f>
        <v/>
      </c>
      <c r="J227" s="13">
        <f>$B$7*(A227*S$71+B227*T$71+C227*U$71+D227*V$71)+F227/100*$B$7*X$71-$C$71</f>
        <v/>
      </c>
      <c r="K227" s="13">
        <f>$B$7*(A227*Z$71+B227*AA$71+C227*AB$71+D227*AC$71)+F227/100*$B$7*AE$71-$C$71</f>
        <v/>
      </c>
      <c r="L227" s="13">
        <f>$B$7*(A227*AG$71+B227*AH$71+C227*AI$71+D227*AJ$71)+F227/100*$B$7*AL$71-$C$71</f>
        <v/>
      </c>
      <c r="M227" s="13">
        <f>$B$7*(A227*AN$71+B227*AO$71+C227*AP$71+D227*AQ$71)+F227/100*$B$7*AS$71-$C$71</f>
        <v/>
      </c>
      <c r="N227" s="13">
        <f>SUMPRODUCT($H$24:$M$24,H227:M227)</f>
        <v/>
      </c>
      <c r="O227" s="14">
        <f>SQRT(SUMPRODUCT($H$24:$M$24,(H227:M227-N227)^2))</f>
        <v/>
      </c>
      <c r="P227" s="13">
        <f>MIN(H227:M227)</f>
        <v/>
      </c>
      <c r="Q227" s="13">
        <f>MAX(H227:M227)</f>
        <v/>
      </c>
      <c r="R227" s="27">
        <f>IF(G227,SUMPRODUCT(($G$76:$G$1505)*($N$76:$N$1505&gt;=N227)*($O$76:$O$1505&lt;=O227))=1,FALSE)</f>
        <v/>
      </c>
      <c r="S227" s="16">
        <f>IF(R227,ABS((O227-$AC$76)/MAX(0.0001,$AC$77-$AC$76)-(N227-$AC$78)/MAX(0.0001,$AC$79-$AC$78)),-1)</f>
        <v/>
      </c>
      <c r="T227" s="14">
        <f>IF(G227,O227,NA())</f>
        <v/>
      </c>
      <c r="U227" s="13">
        <f>IF(G227,N227,NA())</f>
        <v/>
      </c>
      <c r="V227" s="14">
        <f>IF(R227,O227,NA())</f>
        <v/>
      </c>
      <c r="W227" s="13">
        <f>IF(R227,N227,NA())</f>
        <v/>
      </c>
      <c r="X227" s="27">
        <f>IF(G227,P227,"")</f>
        <v/>
      </c>
      <c r="Y227" s="27">
        <f>IF(G227,N227,"")</f>
        <v/>
      </c>
      <c r="Z227" s="27">
        <f>IF(R227,O227,"")</f>
        <v/>
      </c>
      <c r="AA227" s="27">
        <f>IF(R227,N227,"")</f>
        <v/>
      </c>
    </row>
    <row r="228">
      <c r="A228" s="31" t="n">
        <v>0</v>
      </c>
      <c r="B228" s="31" t="n">
        <v>0.3</v>
      </c>
      <c r="C228" s="31" t="n">
        <v>0</v>
      </c>
      <c r="D228" s="31" t="n">
        <v>0.7</v>
      </c>
      <c r="E228" s="27" t="inlineStr">
        <is>
          <t>1M 30%/3M 70%</t>
        </is>
      </c>
      <c r="F228" s="27" t="n">
        <v>50</v>
      </c>
      <c r="G228" s="27">
        <f>A228*$B$7&gt;=$B$9</f>
        <v/>
      </c>
      <c r="H228" s="13">
        <f>$B$7*(A228*E$71+B228*F$71+C228*G$71+D228*H$71)+F228/100*$B$7*J$71-$C$71</f>
        <v/>
      </c>
      <c r="I228" s="13">
        <f>$B$7*(A228*L$71+B228*M$71+C228*N$71+D228*O$71)+F228/100*$B$7*Q$71-$C$71</f>
        <v/>
      </c>
      <c r="J228" s="13">
        <f>$B$7*(A228*S$71+B228*T$71+C228*U$71+D228*V$71)+F228/100*$B$7*X$71-$C$71</f>
        <v/>
      </c>
      <c r="K228" s="13">
        <f>$B$7*(A228*Z$71+B228*AA$71+C228*AB$71+D228*AC$71)+F228/100*$B$7*AE$71-$C$71</f>
        <v/>
      </c>
      <c r="L228" s="13">
        <f>$B$7*(A228*AG$71+B228*AH$71+C228*AI$71+D228*AJ$71)+F228/100*$B$7*AL$71-$C$71</f>
        <v/>
      </c>
      <c r="M228" s="13">
        <f>$B$7*(A228*AN$71+B228*AO$71+C228*AP$71+D228*AQ$71)+F228/100*$B$7*AS$71-$C$71</f>
        <v/>
      </c>
      <c r="N228" s="13">
        <f>SUMPRODUCT($H$24:$M$24,H228:M228)</f>
        <v/>
      </c>
      <c r="O228" s="14">
        <f>SQRT(SUMPRODUCT($H$24:$M$24,(H228:M228-N228)^2))</f>
        <v/>
      </c>
      <c r="P228" s="13">
        <f>MIN(H228:M228)</f>
        <v/>
      </c>
      <c r="Q228" s="13">
        <f>MAX(H228:M228)</f>
        <v/>
      </c>
      <c r="R228" s="27">
        <f>IF(G228,SUMPRODUCT(($G$76:$G$1505)*($N$76:$N$1505&gt;=N228)*($O$76:$O$1505&lt;=O228))=1,FALSE)</f>
        <v/>
      </c>
      <c r="S228" s="16">
        <f>IF(R228,ABS((O228-$AC$76)/MAX(0.0001,$AC$77-$AC$76)-(N228-$AC$78)/MAX(0.0001,$AC$79-$AC$78)),-1)</f>
        <v/>
      </c>
      <c r="T228" s="14">
        <f>IF(G228,O228,NA())</f>
        <v/>
      </c>
      <c r="U228" s="13">
        <f>IF(G228,N228,NA())</f>
        <v/>
      </c>
      <c r="V228" s="14">
        <f>IF(R228,O228,NA())</f>
        <v/>
      </c>
      <c r="W228" s="13">
        <f>IF(R228,N228,NA())</f>
        <v/>
      </c>
      <c r="X228" s="27">
        <f>IF(G228,P228,"")</f>
        <v/>
      </c>
      <c r="Y228" s="27">
        <f>IF(G228,N228,"")</f>
        <v/>
      </c>
      <c r="Z228" s="27">
        <f>IF(R228,O228,"")</f>
        <v/>
      </c>
      <c r="AA228" s="27">
        <f>IF(R228,N228,"")</f>
        <v/>
      </c>
    </row>
    <row r="229">
      <c r="A229" s="31" t="n">
        <v>0</v>
      </c>
      <c r="B229" s="31" t="n">
        <v>0.3</v>
      </c>
      <c r="C229" s="31" t="n">
        <v>0</v>
      </c>
      <c r="D229" s="31" t="n">
        <v>0.7</v>
      </c>
      <c r="E229" s="27" t="inlineStr">
        <is>
          <t>1M 30%/3M 70%</t>
        </is>
      </c>
      <c r="F229" s="27" t="n">
        <v>75</v>
      </c>
      <c r="G229" s="27">
        <f>A229*$B$7&gt;=$B$9</f>
        <v/>
      </c>
      <c r="H229" s="13">
        <f>$B$7*(A229*E$71+B229*F$71+C229*G$71+D229*H$71)+F229/100*$B$7*J$71-$C$71</f>
        <v/>
      </c>
      <c r="I229" s="13">
        <f>$B$7*(A229*L$71+B229*M$71+C229*N$71+D229*O$71)+F229/100*$B$7*Q$71-$C$71</f>
        <v/>
      </c>
      <c r="J229" s="13">
        <f>$B$7*(A229*S$71+B229*T$71+C229*U$71+D229*V$71)+F229/100*$B$7*X$71-$C$71</f>
        <v/>
      </c>
      <c r="K229" s="13">
        <f>$B$7*(A229*Z$71+B229*AA$71+C229*AB$71+D229*AC$71)+F229/100*$B$7*AE$71-$C$71</f>
        <v/>
      </c>
      <c r="L229" s="13">
        <f>$B$7*(A229*AG$71+B229*AH$71+C229*AI$71+D229*AJ$71)+F229/100*$B$7*AL$71-$C$71</f>
        <v/>
      </c>
      <c r="M229" s="13">
        <f>$B$7*(A229*AN$71+B229*AO$71+C229*AP$71+D229*AQ$71)+F229/100*$B$7*AS$71-$C$71</f>
        <v/>
      </c>
      <c r="N229" s="13">
        <f>SUMPRODUCT($H$24:$M$24,H229:M229)</f>
        <v/>
      </c>
      <c r="O229" s="14">
        <f>SQRT(SUMPRODUCT($H$24:$M$24,(H229:M229-N229)^2))</f>
        <v/>
      </c>
      <c r="P229" s="13">
        <f>MIN(H229:M229)</f>
        <v/>
      </c>
      <c r="Q229" s="13">
        <f>MAX(H229:M229)</f>
        <v/>
      </c>
      <c r="R229" s="27">
        <f>IF(G229,SUMPRODUCT(($G$76:$G$1505)*($N$76:$N$1505&gt;=N229)*($O$76:$O$1505&lt;=O229))=1,FALSE)</f>
        <v/>
      </c>
      <c r="S229" s="16">
        <f>IF(R229,ABS((O229-$AC$76)/MAX(0.0001,$AC$77-$AC$76)-(N229-$AC$78)/MAX(0.0001,$AC$79-$AC$78)),-1)</f>
        <v/>
      </c>
      <c r="T229" s="14">
        <f>IF(G229,O229,NA())</f>
        <v/>
      </c>
      <c r="U229" s="13">
        <f>IF(G229,N229,NA())</f>
        <v/>
      </c>
      <c r="V229" s="14">
        <f>IF(R229,O229,NA())</f>
        <v/>
      </c>
      <c r="W229" s="13">
        <f>IF(R229,N229,NA())</f>
        <v/>
      </c>
      <c r="X229" s="27">
        <f>IF(G229,P229,"")</f>
        <v/>
      </c>
      <c r="Y229" s="27">
        <f>IF(G229,N229,"")</f>
        <v/>
      </c>
      <c r="Z229" s="27">
        <f>IF(R229,O229,"")</f>
        <v/>
      </c>
      <c r="AA229" s="27">
        <f>IF(R229,N229,"")</f>
        <v/>
      </c>
    </row>
    <row r="230">
      <c r="A230" s="31" t="n">
        <v>0</v>
      </c>
      <c r="B230" s="31" t="n">
        <v>0.3</v>
      </c>
      <c r="C230" s="31" t="n">
        <v>0</v>
      </c>
      <c r="D230" s="31" t="n">
        <v>0.7</v>
      </c>
      <c r="E230" s="27" t="inlineStr">
        <is>
          <t>1M 30%/3M 70%</t>
        </is>
      </c>
      <c r="F230" s="27" t="n">
        <v>100</v>
      </c>
      <c r="G230" s="27">
        <f>A230*$B$7&gt;=$B$9</f>
        <v/>
      </c>
      <c r="H230" s="13">
        <f>$B$7*(A230*E$71+B230*F$71+C230*G$71+D230*H$71)+F230/100*$B$7*J$71-$C$71</f>
        <v/>
      </c>
      <c r="I230" s="13">
        <f>$B$7*(A230*L$71+B230*M$71+C230*N$71+D230*O$71)+F230/100*$B$7*Q$71-$C$71</f>
        <v/>
      </c>
      <c r="J230" s="13">
        <f>$B$7*(A230*S$71+B230*T$71+C230*U$71+D230*V$71)+F230/100*$B$7*X$71-$C$71</f>
        <v/>
      </c>
      <c r="K230" s="13">
        <f>$B$7*(A230*Z$71+B230*AA$71+C230*AB$71+D230*AC$71)+F230/100*$B$7*AE$71-$C$71</f>
        <v/>
      </c>
      <c r="L230" s="13">
        <f>$B$7*(A230*AG$71+B230*AH$71+C230*AI$71+D230*AJ$71)+F230/100*$B$7*AL$71-$C$71</f>
        <v/>
      </c>
      <c r="M230" s="13">
        <f>$B$7*(A230*AN$71+B230*AO$71+C230*AP$71+D230*AQ$71)+F230/100*$B$7*AS$71-$C$71</f>
        <v/>
      </c>
      <c r="N230" s="13">
        <f>SUMPRODUCT($H$24:$M$24,H230:M230)</f>
        <v/>
      </c>
      <c r="O230" s="14">
        <f>SQRT(SUMPRODUCT($H$24:$M$24,(H230:M230-N230)^2))</f>
        <v/>
      </c>
      <c r="P230" s="13">
        <f>MIN(H230:M230)</f>
        <v/>
      </c>
      <c r="Q230" s="13">
        <f>MAX(H230:M230)</f>
        <v/>
      </c>
      <c r="R230" s="27">
        <f>IF(G230,SUMPRODUCT(($G$76:$G$1505)*($N$76:$N$1505&gt;=N230)*($O$76:$O$1505&lt;=O230))=1,FALSE)</f>
        <v/>
      </c>
      <c r="S230" s="16">
        <f>IF(R230,ABS((O230-$AC$76)/MAX(0.0001,$AC$77-$AC$76)-(N230-$AC$78)/MAX(0.0001,$AC$79-$AC$78)),-1)</f>
        <v/>
      </c>
      <c r="T230" s="14">
        <f>IF(G230,O230,NA())</f>
        <v/>
      </c>
      <c r="U230" s="13">
        <f>IF(G230,N230,NA())</f>
        <v/>
      </c>
      <c r="V230" s="14">
        <f>IF(R230,O230,NA())</f>
        <v/>
      </c>
      <c r="W230" s="13">
        <f>IF(R230,N230,NA())</f>
        <v/>
      </c>
      <c r="X230" s="27">
        <f>IF(G230,P230,"")</f>
        <v/>
      </c>
      <c r="Y230" s="27">
        <f>IF(G230,N230,"")</f>
        <v/>
      </c>
      <c r="Z230" s="27">
        <f>IF(R230,O230,"")</f>
        <v/>
      </c>
      <c r="AA230" s="27">
        <f>IF(R230,N230,"")</f>
        <v/>
      </c>
    </row>
    <row r="231">
      <c r="A231" s="31" t="n">
        <v>0</v>
      </c>
      <c r="B231" s="31" t="n">
        <v>0.3</v>
      </c>
      <c r="C231" s="31" t="n">
        <v>0.1</v>
      </c>
      <c r="D231" s="31" t="n">
        <v>0.6</v>
      </c>
      <c r="E231" s="27" t="inlineStr">
        <is>
          <t>1M 30%/2M 10%/3M 60%</t>
        </is>
      </c>
      <c r="F231" s="27" t="n">
        <v>0</v>
      </c>
      <c r="G231" s="27">
        <f>A231*$B$7&gt;=$B$9</f>
        <v/>
      </c>
      <c r="H231" s="13">
        <f>$B$7*(A231*E$71+B231*F$71+C231*G$71+D231*H$71)+F231/100*$B$7*J$71-$C$71</f>
        <v/>
      </c>
      <c r="I231" s="13">
        <f>$B$7*(A231*L$71+B231*M$71+C231*N$71+D231*O$71)+F231/100*$B$7*Q$71-$C$71</f>
        <v/>
      </c>
      <c r="J231" s="13">
        <f>$B$7*(A231*S$71+B231*T$71+C231*U$71+D231*V$71)+F231/100*$B$7*X$71-$C$71</f>
        <v/>
      </c>
      <c r="K231" s="13">
        <f>$B$7*(A231*Z$71+B231*AA$71+C231*AB$71+D231*AC$71)+F231/100*$B$7*AE$71-$C$71</f>
        <v/>
      </c>
      <c r="L231" s="13">
        <f>$B$7*(A231*AG$71+B231*AH$71+C231*AI$71+D231*AJ$71)+F231/100*$B$7*AL$71-$C$71</f>
        <v/>
      </c>
      <c r="M231" s="13">
        <f>$B$7*(A231*AN$71+B231*AO$71+C231*AP$71+D231*AQ$71)+F231/100*$B$7*AS$71-$C$71</f>
        <v/>
      </c>
      <c r="N231" s="13">
        <f>SUMPRODUCT($H$24:$M$24,H231:M231)</f>
        <v/>
      </c>
      <c r="O231" s="14">
        <f>SQRT(SUMPRODUCT($H$24:$M$24,(H231:M231-N231)^2))</f>
        <v/>
      </c>
      <c r="P231" s="13">
        <f>MIN(H231:M231)</f>
        <v/>
      </c>
      <c r="Q231" s="13">
        <f>MAX(H231:M231)</f>
        <v/>
      </c>
      <c r="R231" s="27">
        <f>IF(G231,SUMPRODUCT(($G$76:$G$1505)*($N$76:$N$1505&gt;=N231)*($O$76:$O$1505&lt;=O231))=1,FALSE)</f>
        <v/>
      </c>
      <c r="S231" s="16">
        <f>IF(R231,ABS((O231-$AC$76)/MAX(0.0001,$AC$77-$AC$76)-(N231-$AC$78)/MAX(0.0001,$AC$79-$AC$78)),-1)</f>
        <v/>
      </c>
      <c r="T231" s="14">
        <f>IF(G231,O231,NA())</f>
        <v/>
      </c>
      <c r="U231" s="13">
        <f>IF(G231,N231,NA())</f>
        <v/>
      </c>
      <c r="V231" s="14">
        <f>IF(R231,O231,NA())</f>
        <v/>
      </c>
      <c r="W231" s="13">
        <f>IF(R231,N231,NA())</f>
        <v/>
      </c>
      <c r="X231" s="27">
        <f>IF(G231,P231,"")</f>
        <v/>
      </c>
      <c r="Y231" s="27">
        <f>IF(G231,N231,"")</f>
        <v/>
      </c>
      <c r="Z231" s="27">
        <f>IF(R231,O231,"")</f>
        <v/>
      </c>
      <c r="AA231" s="27">
        <f>IF(R231,N231,"")</f>
        <v/>
      </c>
    </row>
    <row r="232">
      <c r="A232" s="31" t="n">
        <v>0</v>
      </c>
      <c r="B232" s="31" t="n">
        <v>0.3</v>
      </c>
      <c r="C232" s="31" t="n">
        <v>0.1</v>
      </c>
      <c r="D232" s="31" t="n">
        <v>0.6</v>
      </c>
      <c r="E232" s="27" t="inlineStr">
        <is>
          <t>1M 30%/2M 10%/3M 60%</t>
        </is>
      </c>
      <c r="F232" s="27" t="n">
        <v>25</v>
      </c>
      <c r="G232" s="27">
        <f>A232*$B$7&gt;=$B$9</f>
        <v/>
      </c>
      <c r="H232" s="13">
        <f>$B$7*(A232*E$71+B232*F$71+C232*G$71+D232*H$71)+F232/100*$B$7*J$71-$C$71</f>
        <v/>
      </c>
      <c r="I232" s="13">
        <f>$B$7*(A232*L$71+B232*M$71+C232*N$71+D232*O$71)+F232/100*$B$7*Q$71-$C$71</f>
        <v/>
      </c>
      <c r="J232" s="13">
        <f>$B$7*(A232*S$71+B232*T$71+C232*U$71+D232*V$71)+F232/100*$B$7*X$71-$C$71</f>
        <v/>
      </c>
      <c r="K232" s="13">
        <f>$B$7*(A232*Z$71+B232*AA$71+C232*AB$71+D232*AC$71)+F232/100*$B$7*AE$71-$C$71</f>
        <v/>
      </c>
      <c r="L232" s="13">
        <f>$B$7*(A232*AG$71+B232*AH$71+C232*AI$71+D232*AJ$71)+F232/100*$B$7*AL$71-$C$71</f>
        <v/>
      </c>
      <c r="M232" s="13">
        <f>$B$7*(A232*AN$71+B232*AO$71+C232*AP$71+D232*AQ$71)+F232/100*$B$7*AS$71-$C$71</f>
        <v/>
      </c>
      <c r="N232" s="13">
        <f>SUMPRODUCT($H$24:$M$24,H232:M232)</f>
        <v/>
      </c>
      <c r="O232" s="14">
        <f>SQRT(SUMPRODUCT($H$24:$M$24,(H232:M232-N232)^2))</f>
        <v/>
      </c>
      <c r="P232" s="13">
        <f>MIN(H232:M232)</f>
        <v/>
      </c>
      <c r="Q232" s="13">
        <f>MAX(H232:M232)</f>
        <v/>
      </c>
      <c r="R232" s="27">
        <f>IF(G232,SUMPRODUCT(($G$76:$G$1505)*($N$76:$N$1505&gt;=N232)*($O$76:$O$1505&lt;=O232))=1,FALSE)</f>
        <v/>
      </c>
      <c r="S232" s="16">
        <f>IF(R232,ABS((O232-$AC$76)/MAX(0.0001,$AC$77-$AC$76)-(N232-$AC$78)/MAX(0.0001,$AC$79-$AC$78)),-1)</f>
        <v/>
      </c>
      <c r="T232" s="14">
        <f>IF(G232,O232,NA())</f>
        <v/>
      </c>
      <c r="U232" s="13">
        <f>IF(G232,N232,NA())</f>
        <v/>
      </c>
      <c r="V232" s="14">
        <f>IF(R232,O232,NA())</f>
        <v/>
      </c>
      <c r="W232" s="13">
        <f>IF(R232,N232,NA())</f>
        <v/>
      </c>
      <c r="X232" s="27">
        <f>IF(G232,P232,"")</f>
        <v/>
      </c>
      <c r="Y232" s="27">
        <f>IF(G232,N232,"")</f>
        <v/>
      </c>
      <c r="Z232" s="27">
        <f>IF(R232,O232,"")</f>
        <v/>
      </c>
      <c r="AA232" s="27">
        <f>IF(R232,N232,"")</f>
        <v/>
      </c>
    </row>
    <row r="233">
      <c r="A233" s="31" t="n">
        <v>0</v>
      </c>
      <c r="B233" s="31" t="n">
        <v>0.3</v>
      </c>
      <c r="C233" s="31" t="n">
        <v>0.1</v>
      </c>
      <c r="D233" s="31" t="n">
        <v>0.6</v>
      </c>
      <c r="E233" s="27" t="inlineStr">
        <is>
          <t>1M 30%/2M 10%/3M 60%</t>
        </is>
      </c>
      <c r="F233" s="27" t="n">
        <v>50</v>
      </c>
      <c r="G233" s="27">
        <f>A233*$B$7&gt;=$B$9</f>
        <v/>
      </c>
      <c r="H233" s="13">
        <f>$B$7*(A233*E$71+B233*F$71+C233*G$71+D233*H$71)+F233/100*$B$7*J$71-$C$71</f>
        <v/>
      </c>
      <c r="I233" s="13">
        <f>$B$7*(A233*L$71+B233*M$71+C233*N$71+D233*O$71)+F233/100*$B$7*Q$71-$C$71</f>
        <v/>
      </c>
      <c r="J233" s="13">
        <f>$B$7*(A233*S$71+B233*T$71+C233*U$71+D233*V$71)+F233/100*$B$7*X$71-$C$71</f>
        <v/>
      </c>
      <c r="K233" s="13">
        <f>$B$7*(A233*Z$71+B233*AA$71+C233*AB$71+D233*AC$71)+F233/100*$B$7*AE$71-$C$71</f>
        <v/>
      </c>
      <c r="L233" s="13">
        <f>$B$7*(A233*AG$71+B233*AH$71+C233*AI$71+D233*AJ$71)+F233/100*$B$7*AL$71-$C$71</f>
        <v/>
      </c>
      <c r="M233" s="13">
        <f>$B$7*(A233*AN$71+B233*AO$71+C233*AP$71+D233*AQ$71)+F233/100*$B$7*AS$71-$C$71</f>
        <v/>
      </c>
      <c r="N233" s="13">
        <f>SUMPRODUCT($H$24:$M$24,H233:M233)</f>
        <v/>
      </c>
      <c r="O233" s="14">
        <f>SQRT(SUMPRODUCT($H$24:$M$24,(H233:M233-N233)^2))</f>
        <v/>
      </c>
      <c r="P233" s="13">
        <f>MIN(H233:M233)</f>
        <v/>
      </c>
      <c r="Q233" s="13">
        <f>MAX(H233:M233)</f>
        <v/>
      </c>
      <c r="R233" s="27">
        <f>IF(G233,SUMPRODUCT(($G$76:$G$1505)*($N$76:$N$1505&gt;=N233)*($O$76:$O$1505&lt;=O233))=1,FALSE)</f>
        <v/>
      </c>
      <c r="S233" s="16">
        <f>IF(R233,ABS((O233-$AC$76)/MAX(0.0001,$AC$77-$AC$76)-(N233-$AC$78)/MAX(0.0001,$AC$79-$AC$78)),-1)</f>
        <v/>
      </c>
      <c r="T233" s="14">
        <f>IF(G233,O233,NA())</f>
        <v/>
      </c>
      <c r="U233" s="13">
        <f>IF(G233,N233,NA())</f>
        <v/>
      </c>
      <c r="V233" s="14">
        <f>IF(R233,O233,NA())</f>
        <v/>
      </c>
      <c r="W233" s="13">
        <f>IF(R233,N233,NA())</f>
        <v/>
      </c>
      <c r="X233" s="27">
        <f>IF(G233,P233,"")</f>
        <v/>
      </c>
      <c r="Y233" s="27">
        <f>IF(G233,N233,"")</f>
        <v/>
      </c>
      <c r="Z233" s="27">
        <f>IF(R233,O233,"")</f>
        <v/>
      </c>
      <c r="AA233" s="27">
        <f>IF(R233,N233,"")</f>
        <v/>
      </c>
    </row>
    <row r="234">
      <c r="A234" s="31" t="n">
        <v>0</v>
      </c>
      <c r="B234" s="31" t="n">
        <v>0.3</v>
      </c>
      <c r="C234" s="31" t="n">
        <v>0.1</v>
      </c>
      <c r="D234" s="31" t="n">
        <v>0.6</v>
      </c>
      <c r="E234" s="27" t="inlineStr">
        <is>
          <t>1M 30%/2M 10%/3M 60%</t>
        </is>
      </c>
      <c r="F234" s="27" t="n">
        <v>75</v>
      </c>
      <c r="G234" s="27">
        <f>A234*$B$7&gt;=$B$9</f>
        <v/>
      </c>
      <c r="H234" s="13">
        <f>$B$7*(A234*E$71+B234*F$71+C234*G$71+D234*H$71)+F234/100*$B$7*J$71-$C$71</f>
        <v/>
      </c>
      <c r="I234" s="13">
        <f>$B$7*(A234*L$71+B234*M$71+C234*N$71+D234*O$71)+F234/100*$B$7*Q$71-$C$71</f>
        <v/>
      </c>
      <c r="J234" s="13">
        <f>$B$7*(A234*S$71+B234*T$71+C234*U$71+D234*V$71)+F234/100*$B$7*X$71-$C$71</f>
        <v/>
      </c>
      <c r="K234" s="13">
        <f>$B$7*(A234*Z$71+B234*AA$71+C234*AB$71+D234*AC$71)+F234/100*$B$7*AE$71-$C$71</f>
        <v/>
      </c>
      <c r="L234" s="13">
        <f>$B$7*(A234*AG$71+B234*AH$71+C234*AI$71+D234*AJ$71)+F234/100*$B$7*AL$71-$C$71</f>
        <v/>
      </c>
      <c r="M234" s="13">
        <f>$B$7*(A234*AN$71+B234*AO$71+C234*AP$71+D234*AQ$71)+F234/100*$B$7*AS$71-$C$71</f>
        <v/>
      </c>
      <c r="N234" s="13">
        <f>SUMPRODUCT($H$24:$M$24,H234:M234)</f>
        <v/>
      </c>
      <c r="O234" s="14">
        <f>SQRT(SUMPRODUCT($H$24:$M$24,(H234:M234-N234)^2))</f>
        <v/>
      </c>
      <c r="P234" s="13">
        <f>MIN(H234:M234)</f>
        <v/>
      </c>
      <c r="Q234" s="13">
        <f>MAX(H234:M234)</f>
        <v/>
      </c>
      <c r="R234" s="27">
        <f>IF(G234,SUMPRODUCT(($G$76:$G$1505)*($N$76:$N$1505&gt;=N234)*($O$76:$O$1505&lt;=O234))=1,FALSE)</f>
        <v/>
      </c>
      <c r="S234" s="16">
        <f>IF(R234,ABS((O234-$AC$76)/MAX(0.0001,$AC$77-$AC$76)-(N234-$AC$78)/MAX(0.0001,$AC$79-$AC$78)),-1)</f>
        <v/>
      </c>
      <c r="T234" s="14">
        <f>IF(G234,O234,NA())</f>
        <v/>
      </c>
      <c r="U234" s="13">
        <f>IF(G234,N234,NA())</f>
        <v/>
      </c>
      <c r="V234" s="14">
        <f>IF(R234,O234,NA())</f>
        <v/>
      </c>
      <c r="W234" s="13">
        <f>IF(R234,N234,NA())</f>
        <v/>
      </c>
      <c r="X234" s="27">
        <f>IF(G234,P234,"")</f>
        <v/>
      </c>
      <c r="Y234" s="27">
        <f>IF(G234,N234,"")</f>
        <v/>
      </c>
      <c r="Z234" s="27">
        <f>IF(R234,O234,"")</f>
        <v/>
      </c>
      <c r="AA234" s="27">
        <f>IF(R234,N234,"")</f>
        <v/>
      </c>
    </row>
    <row r="235">
      <c r="A235" s="31" t="n">
        <v>0</v>
      </c>
      <c r="B235" s="31" t="n">
        <v>0.3</v>
      </c>
      <c r="C235" s="31" t="n">
        <v>0.1</v>
      </c>
      <c r="D235" s="31" t="n">
        <v>0.6</v>
      </c>
      <c r="E235" s="27" t="inlineStr">
        <is>
          <t>1M 30%/2M 10%/3M 60%</t>
        </is>
      </c>
      <c r="F235" s="27" t="n">
        <v>100</v>
      </c>
      <c r="G235" s="27">
        <f>A235*$B$7&gt;=$B$9</f>
        <v/>
      </c>
      <c r="H235" s="13">
        <f>$B$7*(A235*E$71+B235*F$71+C235*G$71+D235*H$71)+F235/100*$B$7*J$71-$C$71</f>
        <v/>
      </c>
      <c r="I235" s="13">
        <f>$B$7*(A235*L$71+B235*M$71+C235*N$71+D235*O$71)+F235/100*$B$7*Q$71-$C$71</f>
        <v/>
      </c>
      <c r="J235" s="13">
        <f>$B$7*(A235*S$71+B235*T$71+C235*U$71+D235*V$71)+F235/100*$B$7*X$71-$C$71</f>
        <v/>
      </c>
      <c r="K235" s="13">
        <f>$B$7*(A235*Z$71+B235*AA$71+C235*AB$71+D235*AC$71)+F235/100*$B$7*AE$71-$C$71</f>
        <v/>
      </c>
      <c r="L235" s="13">
        <f>$B$7*(A235*AG$71+B235*AH$71+C235*AI$71+D235*AJ$71)+F235/100*$B$7*AL$71-$C$71</f>
        <v/>
      </c>
      <c r="M235" s="13">
        <f>$B$7*(A235*AN$71+B235*AO$71+C235*AP$71+D235*AQ$71)+F235/100*$B$7*AS$71-$C$71</f>
        <v/>
      </c>
      <c r="N235" s="13">
        <f>SUMPRODUCT($H$24:$M$24,H235:M235)</f>
        <v/>
      </c>
      <c r="O235" s="14">
        <f>SQRT(SUMPRODUCT($H$24:$M$24,(H235:M235-N235)^2))</f>
        <v/>
      </c>
      <c r="P235" s="13">
        <f>MIN(H235:M235)</f>
        <v/>
      </c>
      <c r="Q235" s="13">
        <f>MAX(H235:M235)</f>
        <v/>
      </c>
      <c r="R235" s="27">
        <f>IF(G235,SUMPRODUCT(($G$76:$G$1505)*($N$76:$N$1505&gt;=N235)*($O$76:$O$1505&lt;=O235))=1,FALSE)</f>
        <v/>
      </c>
      <c r="S235" s="16">
        <f>IF(R235,ABS((O235-$AC$76)/MAX(0.0001,$AC$77-$AC$76)-(N235-$AC$78)/MAX(0.0001,$AC$79-$AC$78)),-1)</f>
        <v/>
      </c>
      <c r="T235" s="14">
        <f>IF(G235,O235,NA())</f>
        <v/>
      </c>
      <c r="U235" s="13">
        <f>IF(G235,N235,NA())</f>
        <v/>
      </c>
      <c r="V235" s="14">
        <f>IF(R235,O235,NA())</f>
        <v/>
      </c>
      <c r="W235" s="13">
        <f>IF(R235,N235,NA())</f>
        <v/>
      </c>
      <c r="X235" s="27">
        <f>IF(G235,P235,"")</f>
        <v/>
      </c>
      <c r="Y235" s="27">
        <f>IF(G235,N235,"")</f>
        <v/>
      </c>
      <c r="Z235" s="27">
        <f>IF(R235,O235,"")</f>
        <v/>
      </c>
      <c r="AA235" s="27">
        <f>IF(R235,N235,"")</f>
        <v/>
      </c>
    </row>
    <row r="236">
      <c r="A236" s="31" t="n">
        <v>0</v>
      </c>
      <c r="B236" s="31" t="n">
        <v>0.3</v>
      </c>
      <c r="C236" s="31" t="n">
        <v>0.2</v>
      </c>
      <c r="D236" s="31" t="n">
        <v>0.5</v>
      </c>
      <c r="E236" s="27" t="inlineStr">
        <is>
          <t>1M 30%/2M 20%/3M 50%</t>
        </is>
      </c>
      <c r="F236" s="27" t="n">
        <v>0</v>
      </c>
      <c r="G236" s="27">
        <f>A236*$B$7&gt;=$B$9</f>
        <v/>
      </c>
      <c r="H236" s="13">
        <f>$B$7*(A236*E$71+B236*F$71+C236*G$71+D236*H$71)+F236/100*$B$7*J$71-$C$71</f>
        <v/>
      </c>
      <c r="I236" s="13">
        <f>$B$7*(A236*L$71+B236*M$71+C236*N$71+D236*O$71)+F236/100*$B$7*Q$71-$C$71</f>
        <v/>
      </c>
      <c r="J236" s="13">
        <f>$B$7*(A236*S$71+B236*T$71+C236*U$71+D236*V$71)+F236/100*$B$7*X$71-$C$71</f>
        <v/>
      </c>
      <c r="K236" s="13">
        <f>$B$7*(A236*Z$71+B236*AA$71+C236*AB$71+D236*AC$71)+F236/100*$B$7*AE$71-$C$71</f>
        <v/>
      </c>
      <c r="L236" s="13">
        <f>$B$7*(A236*AG$71+B236*AH$71+C236*AI$71+D236*AJ$71)+F236/100*$B$7*AL$71-$C$71</f>
        <v/>
      </c>
      <c r="M236" s="13">
        <f>$B$7*(A236*AN$71+B236*AO$71+C236*AP$71+D236*AQ$71)+F236/100*$B$7*AS$71-$C$71</f>
        <v/>
      </c>
      <c r="N236" s="13">
        <f>SUMPRODUCT($H$24:$M$24,H236:M236)</f>
        <v/>
      </c>
      <c r="O236" s="14">
        <f>SQRT(SUMPRODUCT($H$24:$M$24,(H236:M236-N236)^2))</f>
        <v/>
      </c>
      <c r="P236" s="13">
        <f>MIN(H236:M236)</f>
        <v/>
      </c>
      <c r="Q236" s="13">
        <f>MAX(H236:M236)</f>
        <v/>
      </c>
      <c r="R236" s="27">
        <f>IF(G236,SUMPRODUCT(($G$76:$G$1505)*($N$76:$N$1505&gt;=N236)*($O$76:$O$1505&lt;=O236))=1,FALSE)</f>
        <v/>
      </c>
      <c r="S236" s="16">
        <f>IF(R236,ABS((O236-$AC$76)/MAX(0.0001,$AC$77-$AC$76)-(N236-$AC$78)/MAX(0.0001,$AC$79-$AC$78)),-1)</f>
        <v/>
      </c>
      <c r="T236" s="14">
        <f>IF(G236,O236,NA())</f>
        <v/>
      </c>
      <c r="U236" s="13">
        <f>IF(G236,N236,NA())</f>
        <v/>
      </c>
      <c r="V236" s="14">
        <f>IF(R236,O236,NA())</f>
        <v/>
      </c>
      <c r="W236" s="13">
        <f>IF(R236,N236,NA())</f>
        <v/>
      </c>
      <c r="X236" s="27">
        <f>IF(G236,P236,"")</f>
        <v/>
      </c>
      <c r="Y236" s="27">
        <f>IF(G236,N236,"")</f>
        <v/>
      </c>
      <c r="Z236" s="27">
        <f>IF(R236,O236,"")</f>
        <v/>
      </c>
      <c r="AA236" s="27">
        <f>IF(R236,N236,"")</f>
        <v/>
      </c>
    </row>
    <row r="237">
      <c r="A237" s="31" t="n">
        <v>0</v>
      </c>
      <c r="B237" s="31" t="n">
        <v>0.3</v>
      </c>
      <c r="C237" s="31" t="n">
        <v>0.2</v>
      </c>
      <c r="D237" s="31" t="n">
        <v>0.5</v>
      </c>
      <c r="E237" s="27" t="inlineStr">
        <is>
          <t>1M 30%/2M 20%/3M 50%</t>
        </is>
      </c>
      <c r="F237" s="27" t="n">
        <v>25</v>
      </c>
      <c r="G237" s="27">
        <f>A237*$B$7&gt;=$B$9</f>
        <v/>
      </c>
      <c r="H237" s="13">
        <f>$B$7*(A237*E$71+B237*F$71+C237*G$71+D237*H$71)+F237/100*$B$7*J$71-$C$71</f>
        <v/>
      </c>
      <c r="I237" s="13">
        <f>$B$7*(A237*L$71+B237*M$71+C237*N$71+D237*O$71)+F237/100*$B$7*Q$71-$C$71</f>
        <v/>
      </c>
      <c r="J237" s="13">
        <f>$B$7*(A237*S$71+B237*T$71+C237*U$71+D237*V$71)+F237/100*$B$7*X$71-$C$71</f>
        <v/>
      </c>
      <c r="K237" s="13">
        <f>$B$7*(A237*Z$71+B237*AA$71+C237*AB$71+D237*AC$71)+F237/100*$B$7*AE$71-$C$71</f>
        <v/>
      </c>
      <c r="L237" s="13">
        <f>$B$7*(A237*AG$71+B237*AH$71+C237*AI$71+D237*AJ$71)+F237/100*$B$7*AL$71-$C$71</f>
        <v/>
      </c>
      <c r="M237" s="13">
        <f>$B$7*(A237*AN$71+B237*AO$71+C237*AP$71+D237*AQ$71)+F237/100*$B$7*AS$71-$C$71</f>
        <v/>
      </c>
      <c r="N237" s="13">
        <f>SUMPRODUCT($H$24:$M$24,H237:M237)</f>
        <v/>
      </c>
      <c r="O237" s="14">
        <f>SQRT(SUMPRODUCT($H$24:$M$24,(H237:M237-N237)^2))</f>
        <v/>
      </c>
      <c r="P237" s="13">
        <f>MIN(H237:M237)</f>
        <v/>
      </c>
      <c r="Q237" s="13">
        <f>MAX(H237:M237)</f>
        <v/>
      </c>
      <c r="R237" s="27">
        <f>IF(G237,SUMPRODUCT(($G$76:$G$1505)*($N$76:$N$1505&gt;=N237)*($O$76:$O$1505&lt;=O237))=1,FALSE)</f>
        <v/>
      </c>
      <c r="S237" s="16">
        <f>IF(R237,ABS((O237-$AC$76)/MAX(0.0001,$AC$77-$AC$76)-(N237-$AC$78)/MAX(0.0001,$AC$79-$AC$78)),-1)</f>
        <v/>
      </c>
      <c r="T237" s="14">
        <f>IF(G237,O237,NA())</f>
        <v/>
      </c>
      <c r="U237" s="13">
        <f>IF(G237,N237,NA())</f>
        <v/>
      </c>
      <c r="V237" s="14">
        <f>IF(R237,O237,NA())</f>
        <v/>
      </c>
      <c r="W237" s="13">
        <f>IF(R237,N237,NA())</f>
        <v/>
      </c>
      <c r="X237" s="27">
        <f>IF(G237,P237,"")</f>
        <v/>
      </c>
      <c r="Y237" s="27">
        <f>IF(G237,N237,"")</f>
        <v/>
      </c>
      <c r="Z237" s="27">
        <f>IF(R237,O237,"")</f>
        <v/>
      </c>
      <c r="AA237" s="27">
        <f>IF(R237,N237,"")</f>
        <v/>
      </c>
    </row>
    <row r="238">
      <c r="A238" s="31" t="n">
        <v>0</v>
      </c>
      <c r="B238" s="31" t="n">
        <v>0.3</v>
      </c>
      <c r="C238" s="31" t="n">
        <v>0.2</v>
      </c>
      <c r="D238" s="31" t="n">
        <v>0.5</v>
      </c>
      <c r="E238" s="27" t="inlineStr">
        <is>
          <t>1M 30%/2M 20%/3M 50%</t>
        </is>
      </c>
      <c r="F238" s="27" t="n">
        <v>50</v>
      </c>
      <c r="G238" s="27">
        <f>A238*$B$7&gt;=$B$9</f>
        <v/>
      </c>
      <c r="H238" s="13">
        <f>$B$7*(A238*E$71+B238*F$71+C238*G$71+D238*H$71)+F238/100*$B$7*J$71-$C$71</f>
        <v/>
      </c>
      <c r="I238" s="13">
        <f>$B$7*(A238*L$71+B238*M$71+C238*N$71+D238*O$71)+F238/100*$B$7*Q$71-$C$71</f>
        <v/>
      </c>
      <c r="J238" s="13">
        <f>$B$7*(A238*S$71+B238*T$71+C238*U$71+D238*V$71)+F238/100*$B$7*X$71-$C$71</f>
        <v/>
      </c>
      <c r="K238" s="13">
        <f>$B$7*(A238*Z$71+B238*AA$71+C238*AB$71+D238*AC$71)+F238/100*$B$7*AE$71-$C$71</f>
        <v/>
      </c>
      <c r="L238" s="13">
        <f>$B$7*(A238*AG$71+B238*AH$71+C238*AI$71+D238*AJ$71)+F238/100*$B$7*AL$71-$C$71</f>
        <v/>
      </c>
      <c r="M238" s="13">
        <f>$B$7*(A238*AN$71+B238*AO$71+C238*AP$71+D238*AQ$71)+F238/100*$B$7*AS$71-$C$71</f>
        <v/>
      </c>
      <c r="N238" s="13">
        <f>SUMPRODUCT($H$24:$M$24,H238:M238)</f>
        <v/>
      </c>
      <c r="O238" s="14">
        <f>SQRT(SUMPRODUCT($H$24:$M$24,(H238:M238-N238)^2))</f>
        <v/>
      </c>
      <c r="P238" s="13">
        <f>MIN(H238:M238)</f>
        <v/>
      </c>
      <c r="Q238" s="13">
        <f>MAX(H238:M238)</f>
        <v/>
      </c>
      <c r="R238" s="27">
        <f>IF(G238,SUMPRODUCT(($G$76:$G$1505)*($N$76:$N$1505&gt;=N238)*($O$76:$O$1505&lt;=O238))=1,FALSE)</f>
        <v/>
      </c>
      <c r="S238" s="16">
        <f>IF(R238,ABS((O238-$AC$76)/MAX(0.0001,$AC$77-$AC$76)-(N238-$AC$78)/MAX(0.0001,$AC$79-$AC$78)),-1)</f>
        <v/>
      </c>
      <c r="T238" s="14">
        <f>IF(G238,O238,NA())</f>
        <v/>
      </c>
      <c r="U238" s="13">
        <f>IF(G238,N238,NA())</f>
        <v/>
      </c>
      <c r="V238" s="14">
        <f>IF(R238,O238,NA())</f>
        <v/>
      </c>
      <c r="W238" s="13">
        <f>IF(R238,N238,NA())</f>
        <v/>
      </c>
      <c r="X238" s="27">
        <f>IF(G238,P238,"")</f>
        <v/>
      </c>
      <c r="Y238" s="27">
        <f>IF(G238,N238,"")</f>
        <v/>
      </c>
      <c r="Z238" s="27">
        <f>IF(R238,O238,"")</f>
        <v/>
      </c>
      <c r="AA238" s="27">
        <f>IF(R238,N238,"")</f>
        <v/>
      </c>
    </row>
    <row r="239">
      <c r="A239" s="31" t="n">
        <v>0</v>
      </c>
      <c r="B239" s="31" t="n">
        <v>0.3</v>
      </c>
      <c r="C239" s="31" t="n">
        <v>0.2</v>
      </c>
      <c r="D239" s="31" t="n">
        <v>0.5</v>
      </c>
      <c r="E239" s="27" t="inlineStr">
        <is>
          <t>1M 30%/2M 20%/3M 50%</t>
        </is>
      </c>
      <c r="F239" s="27" t="n">
        <v>75</v>
      </c>
      <c r="G239" s="27">
        <f>A239*$B$7&gt;=$B$9</f>
        <v/>
      </c>
      <c r="H239" s="13">
        <f>$B$7*(A239*E$71+B239*F$71+C239*G$71+D239*H$71)+F239/100*$B$7*J$71-$C$71</f>
        <v/>
      </c>
      <c r="I239" s="13">
        <f>$B$7*(A239*L$71+B239*M$71+C239*N$71+D239*O$71)+F239/100*$B$7*Q$71-$C$71</f>
        <v/>
      </c>
      <c r="J239" s="13">
        <f>$B$7*(A239*S$71+B239*T$71+C239*U$71+D239*V$71)+F239/100*$B$7*X$71-$C$71</f>
        <v/>
      </c>
      <c r="K239" s="13">
        <f>$B$7*(A239*Z$71+B239*AA$71+C239*AB$71+D239*AC$71)+F239/100*$B$7*AE$71-$C$71</f>
        <v/>
      </c>
      <c r="L239" s="13">
        <f>$B$7*(A239*AG$71+B239*AH$71+C239*AI$71+D239*AJ$71)+F239/100*$B$7*AL$71-$C$71</f>
        <v/>
      </c>
      <c r="M239" s="13">
        <f>$B$7*(A239*AN$71+B239*AO$71+C239*AP$71+D239*AQ$71)+F239/100*$B$7*AS$71-$C$71</f>
        <v/>
      </c>
      <c r="N239" s="13">
        <f>SUMPRODUCT($H$24:$M$24,H239:M239)</f>
        <v/>
      </c>
      <c r="O239" s="14">
        <f>SQRT(SUMPRODUCT($H$24:$M$24,(H239:M239-N239)^2))</f>
        <v/>
      </c>
      <c r="P239" s="13">
        <f>MIN(H239:M239)</f>
        <v/>
      </c>
      <c r="Q239" s="13">
        <f>MAX(H239:M239)</f>
        <v/>
      </c>
      <c r="R239" s="27">
        <f>IF(G239,SUMPRODUCT(($G$76:$G$1505)*($N$76:$N$1505&gt;=N239)*($O$76:$O$1505&lt;=O239))=1,FALSE)</f>
        <v/>
      </c>
      <c r="S239" s="16">
        <f>IF(R239,ABS((O239-$AC$76)/MAX(0.0001,$AC$77-$AC$76)-(N239-$AC$78)/MAX(0.0001,$AC$79-$AC$78)),-1)</f>
        <v/>
      </c>
      <c r="T239" s="14">
        <f>IF(G239,O239,NA())</f>
        <v/>
      </c>
      <c r="U239" s="13">
        <f>IF(G239,N239,NA())</f>
        <v/>
      </c>
      <c r="V239" s="14">
        <f>IF(R239,O239,NA())</f>
        <v/>
      </c>
      <c r="W239" s="13">
        <f>IF(R239,N239,NA())</f>
        <v/>
      </c>
      <c r="X239" s="27">
        <f>IF(G239,P239,"")</f>
        <v/>
      </c>
      <c r="Y239" s="27">
        <f>IF(G239,N239,"")</f>
        <v/>
      </c>
      <c r="Z239" s="27">
        <f>IF(R239,O239,"")</f>
        <v/>
      </c>
      <c r="AA239" s="27">
        <f>IF(R239,N239,"")</f>
        <v/>
      </c>
    </row>
    <row r="240">
      <c r="A240" s="31" t="n">
        <v>0</v>
      </c>
      <c r="B240" s="31" t="n">
        <v>0.3</v>
      </c>
      <c r="C240" s="31" t="n">
        <v>0.2</v>
      </c>
      <c r="D240" s="31" t="n">
        <v>0.5</v>
      </c>
      <c r="E240" s="27" t="inlineStr">
        <is>
          <t>1M 30%/2M 20%/3M 50%</t>
        </is>
      </c>
      <c r="F240" s="27" t="n">
        <v>100</v>
      </c>
      <c r="G240" s="27">
        <f>A240*$B$7&gt;=$B$9</f>
        <v/>
      </c>
      <c r="H240" s="13">
        <f>$B$7*(A240*E$71+B240*F$71+C240*G$71+D240*H$71)+F240/100*$B$7*J$71-$C$71</f>
        <v/>
      </c>
      <c r="I240" s="13">
        <f>$B$7*(A240*L$71+B240*M$71+C240*N$71+D240*O$71)+F240/100*$B$7*Q$71-$C$71</f>
        <v/>
      </c>
      <c r="J240" s="13">
        <f>$B$7*(A240*S$71+B240*T$71+C240*U$71+D240*V$71)+F240/100*$B$7*X$71-$C$71</f>
        <v/>
      </c>
      <c r="K240" s="13">
        <f>$B$7*(A240*Z$71+B240*AA$71+C240*AB$71+D240*AC$71)+F240/100*$B$7*AE$71-$C$71</f>
        <v/>
      </c>
      <c r="L240" s="13">
        <f>$B$7*(A240*AG$71+B240*AH$71+C240*AI$71+D240*AJ$71)+F240/100*$B$7*AL$71-$C$71</f>
        <v/>
      </c>
      <c r="M240" s="13">
        <f>$B$7*(A240*AN$71+B240*AO$71+C240*AP$71+D240*AQ$71)+F240/100*$B$7*AS$71-$C$71</f>
        <v/>
      </c>
      <c r="N240" s="13">
        <f>SUMPRODUCT($H$24:$M$24,H240:M240)</f>
        <v/>
      </c>
      <c r="O240" s="14">
        <f>SQRT(SUMPRODUCT($H$24:$M$24,(H240:M240-N240)^2))</f>
        <v/>
      </c>
      <c r="P240" s="13">
        <f>MIN(H240:M240)</f>
        <v/>
      </c>
      <c r="Q240" s="13">
        <f>MAX(H240:M240)</f>
        <v/>
      </c>
      <c r="R240" s="27">
        <f>IF(G240,SUMPRODUCT(($G$76:$G$1505)*($N$76:$N$1505&gt;=N240)*($O$76:$O$1505&lt;=O240))=1,FALSE)</f>
        <v/>
      </c>
      <c r="S240" s="16">
        <f>IF(R240,ABS((O240-$AC$76)/MAX(0.0001,$AC$77-$AC$76)-(N240-$AC$78)/MAX(0.0001,$AC$79-$AC$78)),-1)</f>
        <v/>
      </c>
      <c r="T240" s="14">
        <f>IF(G240,O240,NA())</f>
        <v/>
      </c>
      <c r="U240" s="13">
        <f>IF(G240,N240,NA())</f>
        <v/>
      </c>
      <c r="V240" s="14">
        <f>IF(R240,O240,NA())</f>
        <v/>
      </c>
      <c r="W240" s="13">
        <f>IF(R240,N240,NA())</f>
        <v/>
      </c>
      <c r="X240" s="27">
        <f>IF(G240,P240,"")</f>
        <v/>
      </c>
      <c r="Y240" s="27">
        <f>IF(G240,N240,"")</f>
        <v/>
      </c>
      <c r="Z240" s="27">
        <f>IF(R240,O240,"")</f>
        <v/>
      </c>
      <c r="AA240" s="27">
        <f>IF(R240,N240,"")</f>
        <v/>
      </c>
    </row>
    <row r="241">
      <c r="A241" s="31" t="n">
        <v>0</v>
      </c>
      <c r="B241" s="31" t="n">
        <v>0.3</v>
      </c>
      <c r="C241" s="31" t="n">
        <v>0.3</v>
      </c>
      <c r="D241" s="31" t="n">
        <v>0.4</v>
      </c>
      <c r="E241" s="27" t="inlineStr">
        <is>
          <t>1M 30%/2M 30%/3M 40%</t>
        </is>
      </c>
      <c r="F241" s="27" t="n">
        <v>0</v>
      </c>
      <c r="G241" s="27">
        <f>A241*$B$7&gt;=$B$9</f>
        <v/>
      </c>
      <c r="H241" s="13">
        <f>$B$7*(A241*E$71+B241*F$71+C241*G$71+D241*H$71)+F241/100*$B$7*J$71-$C$71</f>
        <v/>
      </c>
      <c r="I241" s="13">
        <f>$B$7*(A241*L$71+B241*M$71+C241*N$71+D241*O$71)+F241/100*$B$7*Q$71-$C$71</f>
        <v/>
      </c>
      <c r="J241" s="13">
        <f>$B$7*(A241*S$71+B241*T$71+C241*U$71+D241*V$71)+F241/100*$B$7*X$71-$C$71</f>
        <v/>
      </c>
      <c r="K241" s="13">
        <f>$B$7*(A241*Z$71+B241*AA$71+C241*AB$71+D241*AC$71)+F241/100*$B$7*AE$71-$C$71</f>
        <v/>
      </c>
      <c r="L241" s="13">
        <f>$B$7*(A241*AG$71+B241*AH$71+C241*AI$71+D241*AJ$71)+F241/100*$B$7*AL$71-$C$71</f>
        <v/>
      </c>
      <c r="M241" s="13">
        <f>$B$7*(A241*AN$71+B241*AO$71+C241*AP$71+D241*AQ$71)+F241/100*$B$7*AS$71-$C$71</f>
        <v/>
      </c>
      <c r="N241" s="13">
        <f>SUMPRODUCT($H$24:$M$24,H241:M241)</f>
        <v/>
      </c>
      <c r="O241" s="14">
        <f>SQRT(SUMPRODUCT($H$24:$M$24,(H241:M241-N241)^2))</f>
        <v/>
      </c>
      <c r="P241" s="13">
        <f>MIN(H241:M241)</f>
        <v/>
      </c>
      <c r="Q241" s="13">
        <f>MAX(H241:M241)</f>
        <v/>
      </c>
      <c r="R241" s="27">
        <f>IF(G241,SUMPRODUCT(($G$76:$G$1505)*($N$76:$N$1505&gt;=N241)*($O$76:$O$1505&lt;=O241))=1,FALSE)</f>
        <v/>
      </c>
      <c r="S241" s="16">
        <f>IF(R241,ABS((O241-$AC$76)/MAX(0.0001,$AC$77-$AC$76)-(N241-$AC$78)/MAX(0.0001,$AC$79-$AC$78)),-1)</f>
        <v/>
      </c>
      <c r="T241" s="14">
        <f>IF(G241,O241,NA())</f>
        <v/>
      </c>
      <c r="U241" s="13">
        <f>IF(G241,N241,NA())</f>
        <v/>
      </c>
      <c r="V241" s="14">
        <f>IF(R241,O241,NA())</f>
        <v/>
      </c>
      <c r="W241" s="13">
        <f>IF(R241,N241,NA())</f>
        <v/>
      </c>
      <c r="X241" s="27">
        <f>IF(G241,P241,"")</f>
        <v/>
      </c>
      <c r="Y241" s="27">
        <f>IF(G241,N241,"")</f>
        <v/>
      </c>
      <c r="Z241" s="27">
        <f>IF(R241,O241,"")</f>
        <v/>
      </c>
      <c r="AA241" s="27">
        <f>IF(R241,N241,"")</f>
        <v/>
      </c>
    </row>
    <row r="242">
      <c r="A242" s="31" t="n">
        <v>0</v>
      </c>
      <c r="B242" s="31" t="n">
        <v>0.3</v>
      </c>
      <c r="C242" s="31" t="n">
        <v>0.3</v>
      </c>
      <c r="D242" s="31" t="n">
        <v>0.4</v>
      </c>
      <c r="E242" s="27" t="inlineStr">
        <is>
          <t>1M 30%/2M 30%/3M 40%</t>
        </is>
      </c>
      <c r="F242" s="27" t="n">
        <v>25</v>
      </c>
      <c r="G242" s="27">
        <f>A242*$B$7&gt;=$B$9</f>
        <v/>
      </c>
      <c r="H242" s="13">
        <f>$B$7*(A242*E$71+B242*F$71+C242*G$71+D242*H$71)+F242/100*$B$7*J$71-$C$71</f>
        <v/>
      </c>
      <c r="I242" s="13">
        <f>$B$7*(A242*L$71+B242*M$71+C242*N$71+D242*O$71)+F242/100*$B$7*Q$71-$C$71</f>
        <v/>
      </c>
      <c r="J242" s="13">
        <f>$B$7*(A242*S$71+B242*T$71+C242*U$71+D242*V$71)+F242/100*$B$7*X$71-$C$71</f>
        <v/>
      </c>
      <c r="K242" s="13">
        <f>$B$7*(A242*Z$71+B242*AA$71+C242*AB$71+D242*AC$71)+F242/100*$B$7*AE$71-$C$71</f>
        <v/>
      </c>
      <c r="L242" s="13">
        <f>$B$7*(A242*AG$71+B242*AH$71+C242*AI$71+D242*AJ$71)+F242/100*$B$7*AL$71-$C$71</f>
        <v/>
      </c>
      <c r="M242" s="13">
        <f>$B$7*(A242*AN$71+B242*AO$71+C242*AP$71+D242*AQ$71)+F242/100*$B$7*AS$71-$C$71</f>
        <v/>
      </c>
      <c r="N242" s="13">
        <f>SUMPRODUCT($H$24:$M$24,H242:M242)</f>
        <v/>
      </c>
      <c r="O242" s="14">
        <f>SQRT(SUMPRODUCT($H$24:$M$24,(H242:M242-N242)^2))</f>
        <v/>
      </c>
      <c r="P242" s="13">
        <f>MIN(H242:M242)</f>
        <v/>
      </c>
      <c r="Q242" s="13">
        <f>MAX(H242:M242)</f>
        <v/>
      </c>
      <c r="R242" s="27">
        <f>IF(G242,SUMPRODUCT(($G$76:$G$1505)*($N$76:$N$1505&gt;=N242)*($O$76:$O$1505&lt;=O242))=1,FALSE)</f>
        <v/>
      </c>
      <c r="S242" s="16">
        <f>IF(R242,ABS((O242-$AC$76)/MAX(0.0001,$AC$77-$AC$76)-(N242-$AC$78)/MAX(0.0001,$AC$79-$AC$78)),-1)</f>
        <v/>
      </c>
      <c r="T242" s="14">
        <f>IF(G242,O242,NA())</f>
        <v/>
      </c>
      <c r="U242" s="13">
        <f>IF(G242,N242,NA())</f>
        <v/>
      </c>
      <c r="V242" s="14">
        <f>IF(R242,O242,NA())</f>
        <v/>
      </c>
      <c r="W242" s="13">
        <f>IF(R242,N242,NA())</f>
        <v/>
      </c>
      <c r="X242" s="27">
        <f>IF(G242,P242,"")</f>
        <v/>
      </c>
      <c r="Y242" s="27">
        <f>IF(G242,N242,"")</f>
        <v/>
      </c>
      <c r="Z242" s="27">
        <f>IF(R242,O242,"")</f>
        <v/>
      </c>
      <c r="AA242" s="27">
        <f>IF(R242,N242,"")</f>
        <v/>
      </c>
    </row>
    <row r="243">
      <c r="A243" s="31" t="n">
        <v>0</v>
      </c>
      <c r="B243" s="31" t="n">
        <v>0.3</v>
      </c>
      <c r="C243" s="31" t="n">
        <v>0.3</v>
      </c>
      <c r="D243" s="31" t="n">
        <v>0.4</v>
      </c>
      <c r="E243" s="27" t="inlineStr">
        <is>
          <t>1M 30%/2M 30%/3M 40%</t>
        </is>
      </c>
      <c r="F243" s="27" t="n">
        <v>50</v>
      </c>
      <c r="G243" s="27">
        <f>A243*$B$7&gt;=$B$9</f>
        <v/>
      </c>
      <c r="H243" s="13">
        <f>$B$7*(A243*E$71+B243*F$71+C243*G$71+D243*H$71)+F243/100*$B$7*J$71-$C$71</f>
        <v/>
      </c>
      <c r="I243" s="13">
        <f>$B$7*(A243*L$71+B243*M$71+C243*N$71+D243*O$71)+F243/100*$B$7*Q$71-$C$71</f>
        <v/>
      </c>
      <c r="J243" s="13">
        <f>$B$7*(A243*S$71+B243*T$71+C243*U$71+D243*V$71)+F243/100*$B$7*X$71-$C$71</f>
        <v/>
      </c>
      <c r="K243" s="13">
        <f>$B$7*(A243*Z$71+B243*AA$71+C243*AB$71+D243*AC$71)+F243/100*$B$7*AE$71-$C$71</f>
        <v/>
      </c>
      <c r="L243" s="13">
        <f>$B$7*(A243*AG$71+B243*AH$71+C243*AI$71+D243*AJ$71)+F243/100*$B$7*AL$71-$C$71</f>
        <v/>
      </c>
      <c r="M243" s="13">
        <f>$B$7*(A243*AN$71+B243*AO$71+C243*AP$71+D243*AQ$71)+F243/100*$B$7*AS$71-$C$71</f>
        <v/>
      </c>
      <c r="N243" s="13">
        <f>SUMPRODUCT($H$24:$M$24,H243:M243)</f>
        <v/>
      </c>
      <c r="O243" s="14">
        <f>SQRT(SUMPRODUCT($H$24:$M$24,(H243:M243-N243)^2))</f>
        <v/>
      </c>
      <c r="P243" s="13">
        <f>MIN(H243:M243)</f>
        <v/>
      </c>
      <c r="Q243" s="13">
        <f>MAX(H243:M243)</f>
        <v/>
      </c>
      <c r="R243" s="27">
        <f>IF(G243,SUMPRODUCT(($G$76:$G$1505)*($N$76:$N$1505&gt;=N243)*($O$76:$O$1505&lt;=O243))=1,FALSE)</f>
        <v/>
      </c>
      <c r="S243" s="16">
        <f>IF(R243,ABS((O243-$AC$76)/MAX(0.0001,$AC$77-$AC$76)-(N243-$AC$78)/MAX(0.0001,$AC$79-$AC$78)),-1)</f>
        <v/>
      </c>
      <c r="T243" s="14">
        <f>IF(G243,O243,NA())</f>
        <v/>
      </c>
      <c r="U243" s="13">
        <f>IF(G243,N243,NA())</f>
        <v/>
      </c>
      <c r="V243" s="14">
        <f>IF(R243,O243,NA())</f>
        <v/>
      </c>
      <c r="W243" s="13">
        <f>IF(R243,N243,NA())</f>
        <v/>
      </c>
      <c r="X243" s="27">
        <f>IF(G243,P243,"")</f>
        <v/>
      </c>
      <c r="Y243" s="27">
        <f>IF(G243,N243,"")</f>
        <v/>
      </c>
      <c r="Z243" s="27">
        <f>IF(R243,O243,"")</f>
        <v/>
      </c>
      <c r="AA243" s="27">
        <f>IF(R243,N243,"")</f>
        <v/>
      </c>
    </row>
    <row r="244">
      <c r="A244" s="31" t="n">
        <v>0</v>
      </c>
      <c r="B244" s="31" t="n">
        <v>0.3</v>
      </c>
      <c r="C244" s="31" t="n">
        <v>0.3</v>
      </c>
      <c r="D244" s="31" t="n">
        <v>0.4</v>
      </c>
      <c r="E244" s="27" t="inlineStr">
        <is>
          <t>1M 30%/2M 30%/3M 40%</t>
        </is>
      </c>
      <c r="F244" s="27" t="n">
        <v>75</v>
      </c>
      <c r="G244" s="27">
        <f>A244*$B$7&gt;=$B$9</f>
        <v/>
      </c>
      <c r="H244" s="13">
        <f>$B$7*(A244*E$71+B244*F$71+C244*G$71+D244*H$71)+F244/100*$B$7*J$71-$C$71</f>
        <v/>
      </c>
      <c r="I244" s="13">
        <f>$B$7*(A244*L$71+B244*M$71+C244*N$71+D244*O$71)+F244/100*$B$7*Q$71-$C$71</f>
        <v/>
      </c>
      <c r="J244" s="13">
        <f>$B$7*(A244*S$71+B244*T$71+C244*U$71+D244*V$71)+F244/100*$B$7*X$71-$C$71</f>
        <v/>
      </c>
      <c r="K244" s="13">
        <f>$B$7*(A244*Z$71+B244*AA$71+C244*AB$71+D244*AC$71)+F244/100*$B$7*AE$71-$C$71</f>
        <v/>
      </c>
      <c r="L244" s="13">
        <f>$B$7*(A244*AG$71+B244*AH$71+C244*AI$71+D244*AJ$71)+F244/100*$B$7*AL$71-$C$71</f>
        <v/>
      </c>
      <c r="M244" s="13">
        <f>$B$7*(A244*AN$71+B244*AO$71+C244*AP$71+D244*AQ$71)+F244/100*$B$7*AS$71-$C$71</f>
        <v/>
      </c>
      <c r="N244" s="13">
        <f>SUMPRODUCT($H$24:$M$24,H244:M244)</f>
        <v/>
      </c>
      <c r="O244" s="14">
        <f>SQRT(SUMPRODUCT($H$24:$M$24,(H244:M244-N244)^2))</f>
        <v/>
      </c>
      <c r="P244" s="13">
        <f>MIN(H244:M244)</f>
        <v/>
      </c>
      <c r="Q244" s="13">
        <f>MAX(H244:M244)</f>
        <v/>
      </c>
      <c r="R244" s="27">
        <f>IF(G244,SUMPRODUCT(($G$76:$G$1505)*($N$76:$N$1505&gt;=N244)*($O$76:$O$1505&lt;=O244))=1,FALSE)</f>
        <v/>
      </c>
      <c r="S244" s="16">
        <f>IF(R244,ABS((O244-$AC$76)/MAX(0.0001,$AC$77-$AC$76)-(N244-$AC$78)/MAX(0.0001,$AC$79-$AC$78)),-1)</f>
        <v/>
      </c>
      <c r="T244" s="14">
        <f>IF(G244,O244,NA())</f>
        <v/>
      </c>
      <c r="U244" s="13">
        <f>IF(G244,N244,NA())</f>
        <v/>
      </c>
      <c r="V244" s="14">
        <f>IF(R244,O244,NA())</f>
        <v/>
      </c>
      <c r="W244" s="13">
        <f>IF(R244,N244,NA())</f>
        <v/>
      </c>
      <c r="X244" s="27">
        <f>IF(G244,P244,"")</f>
        <v/>
      </c>
      <c r="Y244" s="27">
        <f>IF(G244,N244,"")</f>
        <v/>
      </c>
      <c r="Z244" s="27">
        <f>IF(R244,O244,"")</f>
        <v/>
      </c>
      <c r="AA244" s="27">
        <f>IF(R244,N244,"")</f>
        <v/>
      </c>
    </row>
    <row r="245">
      <c r="A245" s="31" t="n">
        <v>0</v>
      </c>
      <c r="B245" s="31" t="n">
        <v>0.3</v>
      </c>
      <c r="C245" s="31" t="n">
        <v>0.3</v>
      </c>
      <c r="D245" s="31" t="n">
        <v>0.4</v>
      </c>
      <c r="E245" s="27" t="inlineStr">
        <is>
          <t>1M 30%/2M 30%/3M 40%</t>
        </is>
      </c>
      <c r="F245" s="27" t="n">
        <v>100</v>
      </c>
      <c r="G245" s="27">
        <f>A245*$B$7&gt;=$B$9</f>
        <v/>
      </c>
      <c r="H245" s="13">
        <f>$B$7*(A245*E$71+B245*F$71+C245*G$71+D245*H$71)+F245/100*$B$7*J$71-$C$71</f>
        <v/>
      </c>
      <c r="I245" s="13">
        <f>$B$7*(A245*L$71+B245*M$71+C245*N$71+D245*O$71)+F245/100*$B$7*Q$71-$C$71</f>
        <v/>
      </c>
      <c r="J245" s="13">
        <f>$B$7*(A245*S$71+B245*T$71+C245*U$71+D245*V$71)+F245/100*$B$7*X$71-$C$71</f>
        <v/>
      </c>
      <c r="K245" s="13">
        <f>$B$7*(A245*Z$71+B245*AA$71+C245*AB$71+D245*AC$71)+F245/100*$B$7*AE$71-$C$71</f>
        <v/>
      </c>
      <c r="L245" s="13">
        <f>$B$7*(A245*AG$71+B245*AH$71+C245*AI$71+D245*AJ$71)+F245/100*$B$7*AL$71-$C$71</f>
        <v/>
      </c>
      <c r="M245" s="13">
        <f>$B$7*(A245*AN$71+B245*AO$71+C245*AP$71+D245*AQ$71)+F245/100*$B$7*AS$71-$C$71</f>
        <v/>
      </c>
      <c r="N245" s="13">
        <f>SUMPRODUCT($H$24:$M$24,H245:M245)</f>
        <v/>
      </c>
      <c r="O245" s="14">
        <f>SQRT(SUMPRODUCT($H$24:$M$24,(H245:M245-N245)^2))</f>
        <v/>
      </c>
      <c r="P245" s="13">
        <f>MIN(H245:M245)</f>
        <v/>
      </c>
      <c r="Q245" s="13">
        <f>MAX(H245:M245)</f>
        <v/>
      </c>
      <c r="R245" s="27">
        <f>IF(G245,SUMPRODUCT(($G$76:$G$1505)*($N$76:$N$1505&gt;=N245)*($O$76:$O$1505&lt;=O245))=1,FALSE)</f>
        <v/>
      </c>
      <c r="S245" s="16">
        <f>IF(R245,ABS((O245-$AC$76)/MAX(0.0001,$AC$77-$AC$76)-(N245-$AC$78)/MAX(0.0001,$AC$79-$AC$78)),-1)</f>
        <v/>
      </c>
      <c r="T245" s="14">
        <f>IF(G245,O245,NA())</f>
        <v/>
      </c>
      <c r="U245" s="13">
        <f>IF(G245,N245,NA())</f>
        <v/>
      </c>
      <c r="V245" s="14">
        <f>IF(R245,O245,NA())</f>
        <v/>
      </c>
      <c r="W245" s="13">
        <f>IF(R245,N245,NA())</f>
        <v/>
      </c>
      <c r="X245" s="27">
        <f>IF(G245,P245,"")</f>
        <v/>
      </c>
      <c r="Y245" s="27">
        <f>IF(G245,N245,"")</f>
        <v/>
      </c>
      <c r="Z245" s="27">
        <f>IF(R245,O245,"")</f>
        <v/>
      </c>
      <c r="AA245" s="27">
        <f>IF(R245,N245,"")</f>
        <v/>
      </c>
    </row>
    <row r="246">
      <c r="A246" s="31" t="n">
        <v>0</v>
      </c>
      <c r="B246" s="31" t="n">
        <v>0.3</v>
      </c>
      <c r="C246" s="31" t="n">
        <v>0.4</v>
      </c>
      <c r="D246" s="31" t="n">
        <v>0.3</v>
      </c>
      <c r="E246" s="27" t="inlineStr">
        <is>
          <t>1M 30%/2M 40%/3M 30%</t>
        </is>
      </c>
      <c r="F246" s="27" t="n">
        <v>0</v>
      </c>
      <c r="G246" s="27">
        <f>A246*$B$7&gt;=$B$9</f>
        <v/>
      </c>
      <c r="H246" s="13">
        <f>$B$7*(A246*E$71+B246*F$71+C246*G$71+D246*H$71)+F246/100*$B$7*J$71-$C$71</f>
        <v/>
      </c>
      <c r="I246" s="13">
        <f>$B$7*(A246*L$71+B246*M$71+C246*N$71+D246*O$71)+F246/100*$B$7*Q$71-$C$71</f>
        <v/>
      </c>
      <c r="J246" s="13">
        <f>$B$7*(A246*S$71+B246*T$71+C246*U$71+D246*V$71)+F246/100*$B$7*X$71-$C$71</f>
        <v/>
      </c>
      <c r="K246" s="13">
        <f>$B$7*(A246*Z$71+B246*AA$71+C246*AB$71+D246*AC$71)+F246/100*$B$7*AE$71-$C$71</f>
        <v/>
      </c>
      <c r="L246" s="13">
        <f>$B$7*(A246*AG$71+B246*AH$71+C246*AI$71+D246*AJ$71)+F246/100*$B$7*AL$71-$C$71</f>
        <v/>
      </c>
      <c r="M246" s="13">
        <f>$B$7*(A246*AN$71+B246*AO$71+C246*AP$71+D246*AQ$71)+F246/100*$B$7*AS$71-$C$71</f>
        <v/>
      </c>
      <c r="N246" s="13">
        <f>SUMPRODUCT($H$24:$M$24,H246:M246)</f>
        <v/>
      </c>
      <c r="O246" s="14">
        <f>SQRT(SUMPRODUCT($H$24:$M$24,(H246:M246-N246)^2))</f>
        <v/>
      </c>
      <c r="P246" s="13">
        <f>MIN(H246:M246)</f>
        <v/>
      </c>
      <c r="Q246" s="13">
        <f>MAX(H246:M246)</f>
        <v/>
      </c>
      <c r="R246" s="27">
        <f>IF(G246,SUMPRODUCT(($G$76:$G$1505)*($N$76:$N$1505&gt;=N246)*($O$76:$O$1505&lt;=O246))=1,FALSE)</f>
        <v/>
      </c>
      <c r="S246" s="16">
        <f>IF(R246,ABS((O246-$AC$76)/MAX(0.0001,$AC$77-$AC$76)-(N246-$AC$78)/MAX(0.0001,$AC$79-$AC$78)),-1)</f>
        <v/>
      </c>
      <c r="T246" s="14">
        <f>IF(G246,O246,NA())</f>
        <v/>
      </c>
      <c r="U246" s="13">
        <f>IF(G246,N246,NA())</f>
        <v/>
      </c>
      <c r="V246" s="14">
        <f>IF(R246,O246,NA())</f>
        <v/>
      </c>
      <c r="W246" s="13">
        <f>IF(R246,N246,NA())</f>
        <v/>
      </c>
      <c r="X246" s="27">
        <f>IF(G246,P246,"")</f>
        <v/>
      </c>
      <c r="Y246" s="27">
        <f>IF(G246,N246,"")</f>
        <v/>
      </c>
      <c r="Z246" s="27">
        <f>IF(R246,O246,"")</f>
        <v/>
      </c>
      <c r="AA246" s="27">
        <f>IF(R246,N246,"")</f>
        <v/>
      </c>
    </row>
    <row r="247">
      <c r="A247" s="31" t="n">
        <v>0</v>
      </c>
      <c r="B247" s="31" t="n">
        <v>0.3</v>
      </c>
      <c r="C247" s="31" t="n">
        <v>0.4</v>
      </c>
      <c r="D247" s="31" t="n">
        <v>0.3</v>
      </c>
      <c r="E247" s="27" t="inlineStr">
        <is>
          <t>1M 30%/2M 40%/3M 30%</t>
        </is>
      </c>
      <c r="F247" s="27" t="n">
        <v>25</v>
      </c>
      <c r="G247" s="27">
        <f>A247*$B$7&gt;=$B$9</f>
        <v/>
      </c>
      <c r="H247" s="13">
        <f>$B$7*(A247*E$71+B247*F$71+C247*G$71+D247*H$71)+F247/100*$B$7*J$71-$C$71</f>
        <v/>
      </c>
      <c r="I247" s="13">
        <f>$B$7*(A247*L$71+B247*M$71+C247*N$71+D247*O$71)+F247/100*$B$7*Q$71-$C$71</f>
        <v/>
      </c>
      <c r="J247" s="13">
        <f>$B$7*(A247*S$71+B247*T$71+C247*U$71+D247*V$71)+F247/100*$B$7*X$71-$C$71</f>
        <v/>
      </c>
      <c r="K247" s="13">
        <f>$B$7*(A247*Z$71+B247*AA$71+C247*AB$71+D247*AC$71)+F247/100*$B$7*AE$71-$C$71</f>
        <v/>
      </c>
      <c r="L247" s="13">
        <f>$B$7*(A247*AG$71+B247*AH$71+C247*AI$71+D247*AJ$71)+F247/100*$B$7*AL$71-$C$71</f>
        <v/>
      </c>
      <c r="M247" s="13">
        <f>$B$7*(A247*AN$71+B247*AO$71+C247*AP$71+D247*AQ$71)+F247/100*$B$7*AS$71-$C$71</f>
        <v/>
      </c>
      <c r="N247" s="13">
        <f>SUMPRODUCT($H$24:$M$24,H247:M247)</f>
        <v/>
      </c>
      <c r="O247" s="14">
        <f>SQRT(SUMPRODUCT($H$24:$M$24,(H247:M247-N247)^2))</f>
        <v/>
      </c>
      <c r="P247" s="13">
        <f>MIN(H247:M247)</f>
        <v/>
      </c>
      <c r="Q247" s="13">
        <f>MAX(H247:M247)</f>
        <v/>
      </c>
      <c r="R247" s="27">
        <f>IF(G247,SUMPRODUCT(($G$76:$G$1505)*($N$76:$N$1505&gt;=N247)*($O$76:$O$1505&lt;=O247))=1,FALSE)</f>
        <v/>
      </c>
      <c r="S247" s="16">
        <f>IF(R247,ABS((O247-$AC$76)/MAX(0.0001,$AC$77-$AC$76)-(N247-$AC$78)/MAX(0.0001,$AC$79-$AC$78)),-1)</f>
        <v/>
      </c>
      <c r="T247" s="14">
        <f>IF(G247,O247,NA())</f>
        <v/>
      </c>
      <c r="U247" s="13">
        <f>IF(G247,N247,NA())</f>
        <v/>
      </c>
      <c r="V247" s="14">
        <f>IF(R247,O247,NA())</f>
        <v/>
      </c>
      <c r="W247" s="13">
        <f>IF(R247,N247,NA())</f>
        <v/>
      </c>
      <c r="X247" s="27">
        <f>IF(G247,P247,"")</f>
        <v/>
      </c>
      <c r="Y247" s="27">
        <f>IF(G247,N247,"")</f>
        <v/>
      </c>
      <c r="Z247" s="27">
        <f>IF(R247,O247,"")</f>
        <v/>
      </c>
      <c r="AA247" s="27">
        <f>IF(R247,N247,"")</f>
        <v/>
      </c>
    </row>
    <row r="248">
      <c r="A248" s="31" t="n">
        <v>0</v>
      </c>
      <c r="B248" s="31" t="n">
        <v>0.3</v>
      </c>
      <c r="C248" s="31" t="n">
        <v>0.4</v>
      </c>
      <c r="D248" s="31" t="n">
        <v>0.3</v>
      </c>
      <c r="E248" s="27" t="inlineStr">
        <is>
          <t>1M 30%/2M 40%/3M 30%</t>
        </is>
      </c>
      <c r="F248" s="27" t="n">
        <v>50</v>
      </c>
      <c r="G248" s="27">
        <f>A248*$B$7&gt;=$B$9</f>
        <v/>
      </c>
      <c r="H248" s="13">
        <f>$B$7*(A248*E$71+B248*F$71+C248*G$71+D248*H$71)+F248/100*$B$7*J$71-$C$71</f>
        <v/>
      </c>
      <c r="I248" s="13">
        <f>$B$7*(A248*L$71+B248*M$71+C248*N$71+D248*O$71)+F248/100*$B$7*Q$71-$C$71</f>
        <v/>
      </c>
      <c r="J248" s="13">
        <f>$B$7*(A248*S$71+B248*T$71+C248*U$71+D248*V$71)+F248/100*$B$7*X$71-$C$71</f>
        <v/>
      </c>
      <c r="K248" s="13">
        <f>$B$7*(A248*Z$71+B248*AA$71+C248*AB$71+D248*AC$71)+F248/100*$B$7*AE$71-$C$71</f>
        <v/>
      </c>
      <c r="L248" s="13">
        <f>$B$7*(A248*AG$71+B248*AH$71+C248*AI$71+D248*AJ$71)+F248/100*$B$7*AL$71-$C$71</f>
        <v/>
      </c>
      <c r="M248" s="13">
        <f>$B$7*(A248*AN$71+B248*AO$71+C248*AP$71+D248*AQ$71)+F248/100*$B$7*AS$71-$C$71</f>
        <v/>
      </c>
      <c r="N248" s="13">
        <f>SUMPRODUCT($H$24:$M$24,H248:M248)</f>
        <v/>
      </c>
      <c r="O248" s="14">
        <f>SQRT(SUMPRODUCT($H$24:$M$24,(H248:M248-N248)^2))</f>
        <v/>
      </c>
      <c r="P248" s="13">
        <f>MIN(H248:M248)</f>
        <v/>
      </c>
      <c r="Q248" s="13">
        <f>MAX(H248:M248)</f>
        <v/>
      </c>
      <c r="R248" s="27">
        <f>IF(G248,SUMPRODUCT(($G$76:$G$1505)*($N$76:$N$1505&gt;=N248)*($O$76:$O$1505&lt;=O248))=1,FALSE)</f>
        <v/>
      </c>
      <c r="S248" s="16">
        <f>IF(R248,ABS((O248-$AC$76)/MAX(0.0001,$AC$77-$AC$76)-(N248-$AC$78)/MAX(0.0001,$AC$79-$AC$78)),-1)</f>
        <v/>
      </c>
      <c r="T248" s="14">
        <f>IF(G248,O248,NA())</f>
        <v/>
      </c>
      <c r="U248" s="13">
        <f>IF(G248,N248,NA())</f>
        <v/>
      </c>
      <c r="V248" s="14">
        <f>IF(R248,O248,NA())</f>
        <v/>
      </c>
      <c r="W248" s="13">
        <f>IF(R248,N248,NA())</f>
        <v/>
      </c>
      <c r="X248" s="27">
        <f>IF(G248,P248,"")</f>
        <v/>
      </c>
      <c r="Y248" s="27">
        <f>IF(G248,N248,"")</f>
        <v/>
      </c>
      <c r="Z248" s="27">
        <f>IF(R248,O248,"")</f>
        <v/>
      </c>
      <c r="AA248" s="27">
        <f>IF(R248,N248,"")</f>
        <v/>
      </c>
    </row>
    <row r="249">
      <c r="A249" s="31" t="n">
        <v>0</v>
      </c>
      <c r="B249" s="31" t="n">
        <v>0.3</v>
      </c>
      <c r="C249" s="31" t="n">
        <v>0.4</v>
      </c>
      <c r="D249" s="31" t="n">
        <v>0.3</v>
      </c>
      <c r="E249" s="27" t="inlineStr">
        <is>
          <t>1M 30%/2M 40%/3M 30%</t>
        </is>
      </c>
      <c r="F249" s="27" t="n">
        <v>75</v>
      </c>
      <c r="G249" s="27">
        <f>A249*$B$7&gt;=$B$9</f>
        <v/>
      </c>
      <c r="H249" s="13">
        <f>$B$7*(A249*E$71+B249*F$71+C249*G$71+D249*H$71)+F249/100*$B$7*J$71-$C$71</f>
        <v/>
      </c>
      <c r="I249" s="13">
        <f>$B$7*(A249*L$71+B249*M$71+C249*N$71+D249*O$71)+F249/100*$B$7*Q$71-$C$71</f>
        <v/>
      </c>
      <c r="J249" s="13">
        <f>$B$7*(A249*S$71+B249*T$71+C249*U$71+D249*V$71)+F249/100*$B$7*X$71-$C$71</f>
        <v/>
      </c>
      <c r="K249" s="13">
        <f>$B$7*(A249*Z$71+B249*AA$71+C249*AB$71+D249*AC$71)+F249/100*$B$7*AE$71-$C$71</f>
        <v/>
      </c>
      <c r="L249" s="13">
        <f>$B$7*(A249*AG$71+B249*AH$71+C249*AI$71+D249*AJ$71)+F249/100*$B$7*AL$71-$C$71</f>
        <v/>
      </c>
      <c r="M249" s="13">
        <f>$B$7*(A249*AN$71+B249*AO$71+C249*AP$71+D249*AQ$71)+F249/100*$B$7*AS$71-$C$71</f>
        <v/>
      </c>
      <c r="N249" s="13">
        <f>SUMPRODUCT($H$24:$M$24,H249:M249)</f>
        <v/>
      </c>
      <c r="O249" s="14">
        <f>SQRT(SUMPRODUCT($H$24:$M$24,(H249:M249-N249)^2))</f>
        <v/>
      </c>
      <c r="P249" s="13">
        <f>MIN(H249:M249)</f>
        <v/>
      </c>
      <c r="Q249" s="13">
        <f>MAX(H249:M249)</f>
        <v/>
      </c>
      <c r="R249" s="27">
        <f>IF(G249,SUMPRODUCT(($G$76:$G$1505)*($N$76:$N$1505&gt;=N249)*($O$76:$O$1505&lt;=O249))=1,FALSE)</f>
        <v/>
      </c>
      <c r="S249" s="16">
        <f>IF(R249,ABS((O249-$AC$76)/MAX(0.0001,$AC$77-$AC$76)-(N249-$AC$78)/MAX(0.0001,$AC$79-$AC$78)),-1)</f>
        <v/>
      </c>
      <c r="T249" s="14">
        <f>IF(G249,O249,NA())</f>
        <v/>
      </c>
      <c r="U249" s="13">
        <f>IF(G249,N249,NA())</f>
        <v/>
      </c>
      <c r="V249" s="14">
        <f>IF(R249,O249,NA())</f>
        <v/>
      </c>
      <c r="W249" s="13">
        <f>IF(R249,N249,NA())</f>
        <v/>
      </c>
      <c r="X249" s="27">
        <f>IF(G249,P249,"")</f>
        <v/>
      </c>
      <c r="Y249" s="27">
        <f>IF(G249,N249,"")</f>
        <v/>
      </c>
      <c r="Z249" s="27">
        <f>IF(R249,O249,"")</f>
        <v/>
      </c>
      <c r="AA249" s="27">
        <f>IF(R249,N249,"")</f>
        <v/>
      </c>
    </row>
    <row r="250">
      <c r="A250" s="31" t="n">
        <v>0</v>
      </c>
      <c r="B250" s="31" t="n">
        <v>0.3</v>
      </c>
      <c r="C250" s="31" t="n">
        <v>0.4</v>
      </c>
      <c r="D250" s="31" t="n">
        <v>0.3</v>
      </c>
      <c r="E250" s="27" t="inlineStr">
        <is>
          <t>1M 30%/2M 40%/3M 30%</t>
        </is>
      </c>
      <c r="F250" s="27" t="n">
        <v>100</v>
      </c>
      <c r="G250" s="27">
        <f>A250*$B$7&gt;=$B$9</f>
        <v/>
      </c>
      <c r="H250" s="13">
        <f>$B$7*(A250*E$71+B250*F$71+C250*G$71+D250*H$71)+F250/100*$B$7*J$71-$C$71</f>
        <v/>
      </c>
      <c r="I250" s="13">
        <f>$B$7*(A250*L$71+B250*M$71+C250*N$71+D250*O$71)+F250/100*$B$7*Q$71-$C$71</f>
        <v/>
      </c>
      <c r="J250" s="13">
        <f>$B$7*(A250*S$71+B250*T$71+C250*U$71+D250*V$71)+F250/100*$B$7*X$71-$C$71</f>
        <v/>
      </c>
      <c r="K250" s="13">
        <f>$B$7*(A250*Z$71+B250*AA$71+C250*AB$71+D250*AC$71)+F250/100*$B$7*AE$71-$C$71</f>
        <v/>
      </c>
      <c r="L250" s="13">
        <f>$B$7*(A250*AG$71+B250*AH$71+C250*AI$71+D250*AJ$71)+F250/100*$B$7*AL$71-$C$71</f>
        <v/>
      </c>
      <c r="M250" s="13">
        <f>$B$7*(A250*AN$71+B250*AO$71+C250*AP$71+D250*AQ$71)+F250/100*$B$7*AS$71-$C$71</f>
        <v/>
      </c>
      <c r="N250" s="13">
        <f>SUMPRODUCT($H$24:$M$24,H250:M250)</f>
        <v/>
      </c>
      <c r="O250" s="14">
        <f>SQRT(SUMPRODUCT($H$24:$M$24,(H250:M250-N250)^2))</f>
        <v/>
      </c>
      <c r="P250" s="13">
        <f>MIN(H250:M250)</f>
        <v/>
      </c>
      <c r="Q250" s="13">
        <f>MAX(H250:M250)</f>
        <v/>
      </c>
      <c r="R250" s="27">
        <f>IF(G250,SUMPRODUCT(($G$76:$G$1505)*($N$76:$N$1505&gt;=N250)*($O$76:$O$1505&lt;=O250))=1,FALSE)</f>
        <v/>
      </c>
      <c r="S250" s="16">
        <f>IF(R250,ABS((O250-$AC$76)/MAX(0.0001,$AC$77-$AC$76)-(N250-$AC$78)/MAX(0.0001,$AC$79-$AC$78)),-1)</f>
        <v/>
      </c>
      <c r="T250" s="14">
        <f>IF(G250,O250,NA())</f>
        <v/>
      </c>
      <c r="U250" s="13">
        <f>IF(G250,N250,NA())</f>
        <v/>
      </c>
      <c r="V250" s="14">
        <f>IF(R250,O250,NA())</f>
        <v/>
      </c>
      <c r="W250" s="13">
        <f>IF(R250,N250,NA())</f>
        <v/>
      </c>
      <c r="X250" s="27">
        <f>IF(G250,P250,"")</f>
        <v/>
      </c>
      <c r="Y250" s="27">
        <f>IF(G250,N250,"")</f>
        <v/>
      </c>
      <c r="Z250" s="27">
        <f>IF(R250,O250,"")</f>
        <v/>
      </c>
      <c r="AA250" s="27">
        <f>IF(R250,N250,"")</f>
        <v/>
      </c>
    </row>
    <row r="251">
      <c r="A251" s="31" t="n">
        <v>0</v>
      </c>
      <c r="B251" s="31" t="n">
        <v>0.3</v>
      </c>
      <c r="C251" s="31" t="n">
        <v>0.5</v>
      </c>
      <c r="D251" s="31" t="n">
        <v>0.2</v>
      </c>
      <c r="E251" s="27" t="inlineStr">
        <is>
          <t>1M 30%/2M 50%/3M 20%</t>
        </is>
      </c>
      <c r="F251" s="27" t="n">
        <v>0</v>
      </c>
      <c r="G251" s="27">
        <f>A251*$B$7&gt;=$B$9</f>
        <v/>
      </c>
      <c r="H251" s="13">
        <f>$B$7*(A251*E$71+B251*F$71+C251*G$71+D251*H$71)+F251/100*$B$7*J$71-$C$71</f>
        <v/>
      </c>
      <c r="I251" s="13">
        <f>$B$7*(A251*L$71+B251*M$71+C251*N$71+D251*O$71)+F251/100*$B$7*Q$71-$C$71</f>
        <v/>
      </c>
      <c r="J251" s="13">
        <f>$B$7*(A251*S$71+B251*T$71+C251*U$71+D251*V$71)+F251/100*$B$7*X$71-$C$71</f>
        <v/>
      </c>
      <c r="K251" s="13">
        <f>$B$7*(A251*Z$71+B251*AA$71+C251*AB$71+D251*AC$71)+F251/100*$B$7*AE$71-$C$71</f>
        <v/>
      </c>
      <c r="L251" s="13">
        <f>$B$7*(A251*AG$71+B251*AH$71+C251*AI$71+D251*AJ$71)+F251/100*$B$7*AL$71-$C$71</f>
        <v/>
      </c>
      <c r="M251" s="13">
        <f>$B$7*(A251*AN$71+B251*AO$71+C251*AP$71+D251*AQ$71)+F251/100*$B$7*AS$71-$C$71</f>
        <v/>
      </c>
      <c r="N251" s="13">
        <f>SUMPRODUCT($H$24:$M$24,H251:M251)</f>
        <v/>
      </c>
      <c r="O251" s="14">
        <f>SQRT(SUMPRODUCT($H$24:$M$24,(H251:M251-N251)^2))</f>
        <v/>
      </c>
      <c r="P251" s="13">
        <f>MIN(H251:M251)</f>
        <v/>
      </c>
      <c r="Q251" s="13">
        <f>MAX(H251:M251)</f>
        <v/>
      </c>
      <c r="R251" s="27">
        <f>IF(G251,SUMPRODUCT(($G$76:$G$1505)*($N$76:$N$1505&gt;=N251)*($O$76:$O$1505&lt;=O251))=1,FALSE)</f>
        <v/>
      </c>
      <c r="S251" s="16">
        <f>IF(R251,ABS((O251-$AC$76)/MAX(0.0001,$AC$77-$AC$76)-(N251-$AC$78)/MAX(0.0001,$AC$79-$AC$78)),-1)</f>
        <v/>
      </c>
      <c r="T251" s="14">
        <f>IF(G251,O251,NA())</f>
        <v/>
      </c>
      <c r="U251" s="13">
        <f>IF(G251,N251,NA())</f>
        <v/>
      </c>
      <c r="V251" s="14">
        <f>IF(R251,O251,NA())</f>
        <v/>
      </c>
      <c r="W251" s="13">
        <f>IF(R251,N251,NA())</f>
        <v/>
      </c>
      <c r="X251" s="27">
        <f>IF(G251,P251,"")</f>
        <v/>
      </c>
      <c r="Y251" s="27">
        <f>IF(G251,N251,"")</f>
        <v/>
      </c>
      <c r="Z251" s="27">
        <f>IF(R251,O251,"")</f>
        <v/>
      </c>
      <c r="AA251" s="27">
        <f>IF(R251,N251,"")</f>
        <v/>
      </c>
    </row>
    <row r="252">
      <c r="A252" s="31" t="n">
        <v>0</v>
      </c>
      <c r="B252" s="31" t="n">
        <v>0.3</v>
      </c>
      <c r="C252" s="31" t="n">
        <v>0.5</v>
      </c>
      <c r="D252" s="31" t="n">
        <v>0.2</v>
      </c>
      <c r="E252" s="27" t="inlineStr">
        <is>
          <t>1M 30%/2M 50%/3M 20%</t>
        </is>
      </c>
      <c r="F252" s="27" t="n">
        <v>25</v>
      </c>
      <c r="G252" s="27">
        <f>A252*$B$7&gt;=$B$9</f>
        <v/>
      </c>
      <c r="H252" s="13">
        <f>$B$7*(A252*E$71+B252*F$71+C252*G$71+D252*H$71)+F252/100*$B$7*J$71-$C$71</f>
        <v/>
      </c>
      <c r="I252" s="13">
        <f>$B$7*(A252*L$71+B252*M$71+C252*N$71+D252*O$71)+F252/100*$B$7*Q$71-$C$71</f>
        <v/>
      </c>
      <c r="J252" s="13">
        <f>$B$7*(A252*S$71+B252*T$71+C252*U$71+D252*V$71)+F252/100*$B$7*X$71-$C$71</f>
        <v/>
      </c>
      <c r="K252" s="13">
        <f>$B$7*(A252*Z$71+B252*AA$71+C252*AB$71+D252*AC$71)+F252/100*$B$7*AE$71-$C$71</f>
        <v/>
      </c>
      <c r="L252" s="13">
        <f>$B$7*(A252*AG$71+B252*AH$71+C252*AI$71+D252*AJ$71)+F252/100*$B$7*AL$71-$C$71</f>
        <v/>
      </c>
      <c r="M252" s="13">
        <f>$B$7*(A252*AN$71+B252*AO$71+C252*AP$71+D252*AQ$71)+F252/100*$B$7*AS$71-$C$71</f>
        <v/>
      </c>
      <c r="N252" s="13">
        <f>SUMPRODUCT($H$24:$M$24,H252:M252)</f>
        <v/>
      </c>
      <c r="O252" s="14">
        <f>SQRT(SUMPRODUCT($H$24:$M$24,(H252:M252-N252)^2))</f>
        <v/>
      </c>
      <c r="P252" s="13">
        <f>MIN(H252:M252)</f>
        <v/>
      </c>
      <c r="Q252" s="13">
        <f>MAX(H252:M252)</f>
        <v/>
      </c>
      <c r="R252" s="27">
        <f>IF(G252,SUMPRODUCT(($G$76:$G$1505)*($N$76:$N$1505&gt;=N252)*($O$76:$O$1505&lt;=O252))=1,FALSE)</f>
        <v/>
      </c>
      <c r="S252" s="16">
        <f>IF(R252,ABS((O252-$AC$76)/MAX(0.0001,$AC$77-$AC$76)-(N252-$AC$78)/MAX(0.0001,$AC$79-$AC$78)),-1)</f>
        <v/>
      </c>
      <c r="T252" s="14">
        <f>IF(G252,O252,NA())</f>
        <v/>
      </c>
      <c r="U252" s="13">
        <f>IF(G252,N252,NA())</f>
        <v/>
      </c>
      <c r="V252" s="14">
        <f>IF(R252,O252,NA())</f>
        <v/>
      </c>
      <c r="W252" s="13">
        <f>IF(R252,N252,NA())</f>
        <v/>
      </c>
      <c r="X252" s="27">
        <f>IF(G252,P252,"")</f>
        <v/>
      </c>
      <c r="Y252" s="27">
        <f>IF(G252,N252,"")</f>
        <v/>
      </c>
      <c r="Z252" s="27">
        <f>IF(R252,O252,"")</f>
        <v/>
      </c>
      <c r="AA252" s="27">
        <f>IF(R252,N252,"")</f>
        <v/>
      </c>
    </row>
    <row r="253">
      <c r="A253" s="31" t="n">
        <v>0</v>
      </c>
      <c r="B253" s="31" t="n">
        <v>0.3</v>
      </c>
      <c r="C253" s="31" t="n">
        <v>0.5</v>
      </c>
      <c r="D253" s="31" t="n">
        <v>0.2</v>
      </c>
      <c r="E253" s="27" t="inlineStr">
        <is>
          <t>1M 30%/2M 50%/3M 20%</t>
        </is>
      </c>
      <c r="F253" s="27" t="n">
        <v>50</v>
      </c>
      <c r="G253" s="27">
        <f>A253*$B$7&gt;=$B$9</f>
        <v/>
      </c>
      <c r="H253" s="13">
        <f>$B$7*(A253*E$71+B253*F$71+C253*G$71+D253*H$71)+F253/100*$B$7*J$71-$C$71</f>
        <v/>
      </c>
      <c r="I253" s="13">
        <f>$B$7*(A253*L$71+B253*M$71+C253*N$71+D253*O$71)+F253/100*$B$7*Q$71-$C$71</f>
        <v/>
      </c>
      <c r="J253" s="13">
        <f>$B$7*(A253*S$71+B253*T$71+C253*U$71+D253*V$71)+F253/100*$B$7*X$71-$C$71</f>
        <v/>
      </c>
      <c r="K253" s="13">
        <f>$B$7*(A253*Z$71+B253*AA$71+C253*AB$71+D253*AC$71)+F253/100*$B$7*AE$71-$C$71</f>
        <v/>
      </c>
      <c r="L253" s="13">
        <f>$B$7*(A253*AG$71+B253*AH$71+C253*AI$71+D253*AJ$71)+F253/100*$B$7*AL$71-$C$71</f>
        <v/>
      </c>
      <c r="M253" s="13">
        <f>$B$7*(A253*AN$71+B253*AO$71+C253*AP$71+D253*AQ$71)+F253/100*$B$7*AS$71-$C$71</f>
        <v/>
      </c>
      <c r="N253" s="13">
        <f>SUMPRODUCT($H$24:$M$24,H253:M253)</f>
        <v/>
      </c>
      <c r="O253" s="14">
        <f>SQRT(SUMPRODUCT($H$24:$M$24,(H253:M253-N253)^2))</f>
        <v/>
      </c>
      <c r="P253" s="13">
        <f>MIN(H253:M253)</f>
        <v/>
      </c>
      <c r="Q253" s="13">
        <f>MAX(H253:M253)</f>
        <v/>
      </c>
      <c r="R253" s="27">
        <f>IF(G253,SUMPRODUCT(($G$76:$G$1505)*($N$76:$N$1505&gt;=N253)*($O$76:$O$1505&lt;=O253))=1,FALSE)</f>
        <v/>
      </c>
      <c r="S253" s="16">
        <f>IF(R253,ABS((O253-$AC$76)/MAX(0.0001,$AC$77-$AC$76)-(N253-$AC$78)/MAX(0.0001,$AC$79-$AC$78)),-1)</f>
        <v/>
      </c>
      <c r="T253" s="14">
        <f>IF(G253,O253,NA())</f>
        <v/>
      </c>
      <c r="U253" s="13">
        <f>IF(G253,N253,NA())</f>
        <v/>
      </c>
      <c r="V253" s="14">
        <f>IF(R253,O253,NA())</f>
        <v/>
      </c>
      <c r="W253" s="13">
        <f>IF(R253,N253,NA())</f>
        <v/>
      </c>
      <c r="X253" s="27">
        <f>IF(G253,P253,"")</f>
        <v/>
      </c>
      <c r="Y253" s="27">
        <f>IF(G253,N253,"")</f>
        <v/>
      </c>
      <c r="Z253" s="27">
        <f>IF(R253,O253,"")</f>
        <v/>
      </c>
      <c r="AA253" s="27">
        <f>IF(R253,N253,"")</f>
        <v/>
      </c>
    </row>
    <row r="254">
      <c r="A254" s="31" t="n">
        <v>0</v>
      </c>
      <c r="B254" s="31" t="n">
        <v>0.3</v>
      </c>
      <c r="C254" s="31" t="n">
        <v>0.5</v>
      </c>
      <c r="D254" s="31" t="n">
        <v>0.2</v>
      </c>
      <c r="E254" s="27" t="inlineStr">
        <is>
          <t>1M 30%/2M 50%/3M 20%</t>
        </is>
      </c>
      <c r="F254" s="27" t="n">
        <v>75</v>
      </c>
      <c r="G254" s="27">
        <f>A254*$B$7&gt;=$B$9</f>
        <v/>
      </c>
      <c r="H254" s="13">
        <f>$B$7*(A254*E$71+B254*F$71+C254*G$71+D254*H$71)+F254/100*$B$7*J$71-$C$71</f>
        <v/>
      </c>
      <c r="I254" s="13">
        <f>$B$7*(A254*L$71+B254*M$71+C254*N$71+D254*O$71)+F254/100*$B$7*Q$71-$C$71</f>
        <v/>
      </c>
      <c r="J254" s="13">
        <f>$B$7*(A254*S$71+B254*T$71+C254*U$71+D254*V$71)+F254/100*$B$7*X$71-$C$71</f>
        <v/>
      </c>
      <c r="K254" s="13">
        <f>$B$7*(A254*Z$71+B254*AA$71+C254*AB$71+D254*AC$71)+F254/100*$B$7*AE$71-$C$71</f>
        <v/>
      </c>
      <c r="L254" s="13">
        <f>$B$7*(A254*AG$71+B254*AH$71+C254*AI$71+D254*AJ$71)+F254/100*$B$7*AL$71-$C$71</f>
        <v/>
      </c>
      <c r="M254" s="13">
        <f>$B$7*(A254*AN$71+B254*AO$71+C254*AP$71+D254*AQ$71)+F254/100*$B$7*AS$71-$C$71</f>
        <v/>
      </c>
      <c r="N254" s="13">
        <f>SUMPRODUCT($H$24:$M$24,H254:M254)</f>
        <v/>
      </c>
      <c r="O254" s="14">
        <f>SQRT(SUMPRODUCT($H$24:$M$24,(H254:M254-N254)^2))</f>
        <v/>
      </c>
      <c r="P254" s="13">
        <f>MIN(H254:M254)</f>
        <v/>
      </c>
      <c r="Q254" s="13">
        <f>MAX(H254:M254)</f>
        <v/>
      </c>
      <c r="R254" s="27">
        <f>IF(G254,SUMPRODUCT(($G$76:$G$1505)*($N$76:$N$1505&gt;=N254)*($O$76:$O$1505&lt;=O254))=1,FALSE)</f>
        <v/>
      </c>
      <c r="S254" s="16">
        <f>IF(R254,ABS((O254-$AC$76)/MAX(0.0001,$AC$77-$AC$76)-(N254-$AC$78)/MAX(0.0001,$AC$79-$AC$78)),-1)</f>
        <v/>
      </c>
      <c r="T254" s="14">
        <f>IF(G254,O254,NA())</f>
        <v/>
      </c>
      <c r="U254" s="13">
        <f>IF(G254,N254,NA())</f>
        <v/>
      </c>
      <c r="V254" s="14">
        <f>IF(R254,O254,NA())</f>
        <v/>
      </c>
      <c r="W254" s="13">
        <f>IF(R254,N254,NA())</f>
        <v/>
      </c>
      <c r="X254" s="27">
        <f>IF(G254,P254,"")</f>
        <v/>
      </c>
      <c r="Y254" s="27">
        <f>IF(G254,N254,"")</f>
        <v/>
      </c>
      <c r="Z254" s="27">
        <f>IF(R254,O254,"")</f>
        <v/>
      </c>
      <c r="AA254" s="27">
        <f>IF(R254,N254,"")</f>
        <v/>
      </c>
    </row>
    <row r="255">
      <c r="A255" s="31" t="n">
        <v>0</v>
      </c>
      <c r="B255" s="31" t="n">
        <v>0.3</v>
      </c>
      <c r="C255" s="31" t="n">
        <v>0.5</v>
      </c>
      <c r="D255" s="31" t="n">
        <v>0.2</v>
      </c>
      <c r="E255" s="27" t="inlineStr">
        <is>
          <t>1M 30%/2M 50%/3M 20%</t>
        </is>
      </c>
      <c r="F255" s="27" t="n">
        <v>100</v>
      </c>
      <c r="G255" s="27">
        <f>A255*$B$7&gt;=$B$9</f>
        <v/>
      </c>
      <c r="H255" s="13">
        <f>$B$7*(A255*E$71+B255*F$71+C255*G$71+D255*H$71)+F255/100*$B$7*J$71-$C$71</f>
        <v/>
      </c>
      <c r="I255" s="13">
        <f>$B$7*(A255*L$71+B255*M$71+C255*N$71+D255*O$71)+F255/100*$B$7*Q$71-$C$71</f>
        <v/>
      </c>
      <c r="J255" s="13">
        <f>$B$7*(A255*S$71+B255*T$71+C255*U$71+D255*V$71)+F255/100*$B$7*X$71-$C$71</f>
        <v/>
      </c>
      <c r="K255" s="13">
        <f>$B$7*(A255*Z$71+B255*AA$71+C255*AB$71+D255*AC$71)+F255/100*$B$7*AE$71-$C$71</f>
        <v/>
      </c>
      <c r="L255" s="13">
        <f>$B$7*(A255*AG$71+B255*AH$71+C255*AI$71+D255*AJ$71)+F255/100*$B$7*AL$71-$C$71</f>
        <v/>
      </c>
      <c r="M255" s="13">
        <f>$B$7*(A255*AN$71+B255*AO$71+C255*AP$71+D255*AQ$71)+F255/100*$B$7*AS$71-$C$71</f>
        <v/>
      </c>
      <c r="N255" s="13">
        <f>SUMPRODUCT($H$24:$M$24,H255:M255)</f>
        <v/>
      </c>
      <c r="O255" s="14">
        <f>SQRT(SUMPRODUCT($H$24:$M$24,(H255:M255-N255)^2))</f>
        <v/>
      </c>
      <c r="P255" s="13">
        <f>MIN(H255:M255)</f>
        <v/>
      </c>
      <c r="Q255" s="13">
        <f>MAX(H255:M255)</f>
        <v/>
      </c>
      <c r="R255" s="27">
        <f>IF(G255,SUMPRODUCT(($G$76:$G$1505)*($N$76:$N$1505&gt;=N255)*($O$76:$O$1505&lt;=O255))=1,FALSE)</f>
        <v/>
      </c>
      <c r="S255" s="16">
        <f>IF(R255,ABS((O255-$AC$76)/MAX(0.0001,$AC$77-$AC$76)-(N255-$AC$78)/MAX(0.0001,$AC$79-$AC$78)),-1)</f>
        <v/>
      </c>
      <c r="T255" s="14">
        <f>IF(G255,O255,NA())</f>
        <v/>
      </c>
      <c r="U255" s="13">
        <f>IF(G255,N255,NA())</f>
        <v/>
      </c>
      <c r="V255" s="14">
        <f>IF(R255,O255,NA())</f>
        <v/>
      </c>
      <c r="W255" s="13">
        <f>IF(R255,N255,NA())</f>
        <v/>
      </c>
      <c r="X255" s="27">
        <f>IF(G255,P255,"")</f>
        <v/>
      </c>
      <c r="Y255" s="27">
        <f>IF(G255,N255,"")</f>
        <v/>
      </c>
      <c r="Z255" s="27">
        <f>IF(R255,O255,"")</f>
        <v/>
      </c>
      <c r="AA255" s="27">
        <f>IF(R255,N255,"")</f>
        <v/>
      </c>
    </row>
    <row r="256">
      <c r="A256" s="31" t="n">
        <v>0</v>
      </c>
      <c r="B256" s="31" t="n">
        <v>0.3</v>
      </c>
      <c r="C256" s="31" t="n">
        <v>0.6</v>
      </c>
      <c r="D256" s="31" t="n">
        <v>0.1</v>
      </c>
      <c r="E256" s="27" t="inlineStr">
        <is>
          <t>1M 30%/2M 60%/3M 10%</t>
        </is>
      </c>
      <c r="F256" s="27" t="n">
        <v>0</v>
      </c>
      <c r="G256" s="27">
        <f>A256*$B$7&gt;=$B$9</f>
        <v/>
      </c>
      <c r="H256" s="13">
        <f>$B$7*(A256*E$71+B256*F$71+C256*G$71+D256*H$71)+F256/100*$B$7*J$71-$C$71</f>
        <v/>
      </c>
      <c r="I256" s="13">
        <f>$B$7*(A256*L$71+B256*M$71+C256*N$71+D256*O$71)+F256/100*$B$7*Q$71-$C$71</f>
        <v/>
      </c>
      <c r="J256" s="13">
        <f>$B$7*(A256*S$71+B256*T$71+C256*U$71+D256*V$71)+F256/100*$B$7*X$71-$C$71</f>
        <v/>
      </c>
      <c r="K256" s="13">
        <f>$B$7*(A256*Z$71+B256*AA$71+C256*AB$71+D256*AC$71)+F256/100*$B$7*AE$71-$C$71</f>
        <v/>
      </c>
      <c r="L256" s="13">
        <f>$B$7*(A256*AG$71+B256*AH$71+C256*AI$71+D256*AJ$71)+F256/100*$B$7*AL$71-$C$71</f>
        <v/>
      </c>
      <c r="M256" s="13">
        <f>$B$7*(A256*AN$71+B256*AO$71+C256*AP$71+D256*AQ$71)+F256/100*$B$7*AS$71-$C$71</f>
        <v/>
      </c>
      <c r="N256" s="13">
        <f>SUMPRODUCT($H$24:$M$24,H256:M256)</f>
        <v/>
      </c>
      <c r="O256" s="14">
        <f>SQRT(SUMPRODUCT($H$24:$M$24,(H256:M256-N256)^2))</f>
        <v/>
      </c>
      <c r="P256" s="13">
        <f>MIN(H256:M256)</f>
        <v/>
      </c>
      <c r="Q256" s="13">
        <f>MAX(H256:M256)</f>
        <v/>
      </c>
      <c r="R256" s="27">
        <f>IF(G256,SUMPRODUCT(($G$76:$G$1505)*($N$76:$N$1505&gt;=N256)*($O$76:$O$1505&lt;=O256))=1,FALSE)</f>
        <v/>
      </c>
      <c r="S256" s="16">
        <f>IF(R256,ABS((O256-$AC$76)/MAX(0.0001,$AC$77-$AC$76)-(N256-$AC$78)/MAX(0.0001,$AC$79-$AC$78)),-1)</f>
        <v/>
      </c>
      <c r="T256" s="14">
        <f>IF(G256,O256,NA())</f>
        <v/>
      </c>
      <c r="U256" s="13">
        <f>IF(G256,N256,NA())</f>
        <v/>
      </c>
      <c r="V256" s="14">
        <f>IF(R256,O256,NA())</f>
        <v/>
      </c>
      <c r="W256" s="13">
        <f>IF(R256,N256,NA())</f>
        <v/>
      </c>
      <c r="X256" s="27">
        <f>IF(G256,P256,"")</f>
        <v/>
      </c>
      <c r="Y256" s="27">
        <f>IF(G256,N256,"")</f>
        <v/>
      </c>
      <c r="Z256" s="27">
        <f>IF(R256,O256,"")</f>
        <v/>
      </c>
      <c r="AA256" s="27">
        <f>IF(R256,N256,"")</f>
        <v/>
      </c>
    </row>
    <row r="257">
      <c r="A257" s="31" t="n">
        <v>0</v>
      </c>
      <c r="B257" s="31" t="n">
        <v>0.3</v>
      </c>
      <c r="C257" s="31" t="n">
        <v>0.6</v>
      </c>
      <c r="D257" s="31" t="n">
        <v>0.1</v>
      </c>
      <c r="E257" s="27" t="inlineStr">
        <is>
          <t>1M 30%/2M 60%/3M 10%</t>
        </is>
      </c>
      <c r="F257" s="27" t="n">
        <v>25</v>
      </c>
      <c r="G257" s="27">
        <f>A257*$B$7&gt;=$B$9</f>
        <v/>
      </c>
      <c r="H257" s="13">
        <f>$B$7*(A257*E$71+B257*F$71+C257*G$71+D257*H$71)+F257/100*$B$7*J$71-$C$71</f>
        <v/>
      </c>
      <c r="I257" s="13">
        <f>$B$7*(A257*L$71+B257*M$71+C257*N$71+D257*O$71)+F257/100*$B$7*Q$71-$C$71</f>
        <v/>
      </c>
      <c r="J257" s="13">
        <f>$B$7*(A257*S$71+B257*T$71+C257*U$71+D257*V$71)+F257/100*$B$7*X$71-$C$71</f>
        <v/>
      </c>
      <c r="K257" s="13">
        <f>$B$7*(A257*Z$71+B257*AA$71+C257*AB$71+D257*AC$71)+F257/100*$B$7*AE$71-$C$71</f>
        <v/>
      </c>
      <c r="L257" s="13">
        <f>$B$7*(A257*AG$71+B257*AH$71+C257*AI$71+D257*AJ$71)+F257/100*$B$7*AL$71-$C$71</f>
        <v/>
      </c>
      <c r="M257" s="13">
        <f>$B$7*(A257*AN$71+B257*AO$71+C257*AP$71+D257*AQ$71)+F257/100*$B$7*AS$71-$C$71</f>
        <v/>
      </c>
      <c r="N257" s="13">
        <f>SUMPRODUCT($H$24:$M$24,H257:M257)</f>
        <v/>
      </c>
      <c r="O257" s="14">
        <f>SQRT(SUMPRODUCT($H$24:$M$24,(H257:M257-N257)^2))</f>
        <v/>
      </c>
      <c r="P257" s="13">
        <f>MIN(H257:M257)</f>
        <v/>
      </c>
      <c r="Q257" s="13">
        <f>MAX(H257:M257)</f>
        <v/>
      </c>
      <c r="R257" s="27">
        <f>IF(G257,SUMPRODUCT(($G$76:$G$1505)*($N$76:$N$1505&gt;=N257)*($O$76:$O$1505&lt;=O257))=1,FALSE)</f>
        <v/>
      </c>
      <c r="S257" s="16">
        <f>IF(R257,ABS((O257-$AC$76)/MAX(0.0001,$AC$77-$AC$76)-(N257-$AC$78)/MAX(0.0001,$AC$79-$AC$78)),-1)</f>
        <v/>
      </c>
      <c r="T257" s="14">
        <f>IF(G257,O257,NA())</f>
        <v/>
      </c>
      <c r="U257" s="13">
        <f>IF(G257,N257,NA())</f>
        <v/>
      </c>
      <c r="V257" s="14">
        <f>IF(R257,O257,NA())</f>
        <v/>
      </c>
      <c r="W257" s="13">
        <f>IF(R257,N257,NA())</f>
        <v/>
      </c>
      <c r="X257" s="27">
        <f>IF(G257,P257,"")</f>
        <v/>
      </c>
      <c r="Y257" s="27">
        <f>IF(G257,N257,"")</f>
        <v/>
      </c>
      <c r="Z257" s="27">
        <f>IF(R257,O257,"")</f>
        <v/>
      </c>
      <c r="AA257" s="27">
        <f>IF(R257,N257,"")</f>
        <v/>
      </c>
    </row>
    <row r="258">
      <c r="A258" s="31" t="n">
        <v>0</v>
      </c>
      <c r="B258" s="31" t="n">
        <v>0.3</v>
      </c>
      <c r="C258" s="31" t="n">
        <v>0.6</v>
      </c>
      <c r="D258" s="31" t="n">
        <v>0.1</v>
      </c>
      <c r="E258" s="27" t="inlineStr">
        <is>
          <t>1M 30%/2M 60%/3M 10%</t>
        </is>
      </c>
      <c r="F258" s="27" t="n">
        <v>50</v>
      </c>
      <c r="G258" s="27">
        <f>A258*$B$7&gt;=$B$9</f>
        <v/>
      </c>
      <c r="H258" s="13">
        <f>$B$7*(A258*E$71+B258*F$71+C258*G$71+D258*H$71)+F258/100*$B$7*J$71-$C$71</f>
        <v/>
      </c>
      <c r="I258" s="13">
        <f>$B$7*(A258*L$71+B258*M$71+C258*N$71+D258*O$71)+F258/100*$B$7*Q$71-$C$71</f>
        <v/>
      </c>
      <c r="J258" s="13">
        <f>$B$7*(A258*S$71+B258*T$71+C258*U$71+D258*V$71)+F258/100*$B$7*X$71-$C$71</f>
        <v/>
      </c>
      <c r="K258" s="13">
        <f>$B$7*(A258*Z$71+B258*AA$71+C258*AB$71+D258*AC$71)+F258/100*$B$7*AE$71-$C$71</f>
        <v/>
      </c>
      <c r="L258" s="13">
        <f>$B$7*(A258*AG$71+B258*AH$71+C258*AI$71+D258*AJ$71)+F258/100*$B$7*AL$71-$C$71</f>
        <v/>
      </c>
      <c r="M258" s="13">
        <f>$B$7*(A258*AN$71+B258*AO$71+C258*AP$71+D258*AQ$71)+F258/100*$B$7*AS$71-$C$71</f>
        <v/>
      </c>
      <c r="N258" s="13">
        <f>SUMPRODUCT($H$24:$M$24,H258:M258)</f>
        <v/>
      </c>
      <c r="O258" s="14">
        <f>SQRT(SUMPRODUCT($H$24:$M$24,(H258:M258-N258)^2))</f>
        <v/>
      </c>
      <c r="P258" s="13">
        <f>MIN(H258:M258)</f>
        <v/>
      </c>
      <c r="Q258" s="13">
        <f>MAX(H258:M258)</f>
        <v/>
      </c>
      <c r="R258" s="27">
        <f>IF(G258,SUMPRODUCT(($G$76:$G$1505)*($N$76:$N$1505&gt;=N258)*($O$76:$O$1505&lt;=O258))=1,FALSE)</f>
        <v/>
      </c>
      <c r="S258" s="16">
        <f>IF(R258,ABS((O258-$AC$76)/MAX(0.0001,$AC$77-$AC$76)-(N258-$AC$78)/MAX(0.0001,$AC$79-$AC$78)),-1)</f>
        <v/>
      </c>
      <c r="T258" s="14">
        <f>IF(G258,O258,NA())</f>
        <v/>
      </c>
      <c r="U258" s="13">
        <f>IF(G258,N258,NA())</f>
        <v/>
      </c>
      <c r="V258" s="14">
        <f>IF(R258,O258,NA())</f>
        <v/>
      </c>
      <c r="W258" s="13">
        <f>IF(R258,N258,NA())</f>
        <v/>
      </c>
      <c r="X258" s="27">
        <f>IF(G258,P258,"")</f>
        <v/>
      </c>
      <c r="Y258" s="27">
        <f>IF(G258,N258,"")</f>
        <v/>
      </c>
      <c r="Z258" s="27">
        <f>IF(R258,O258,"")</f>
        <v/>
      </c>
      <c r="AA258" s="27">
        <f>IF(R258,N258,"")</f>
        <v/>
      </c>
    </row>
    <row r="259">
      <c r="A259" s="31" t="n">
        <v>0</v>
      </c>
      <c r="B259" s="31" t="n">
        <v>0.3</v>
      </c>
      <c r="C259" s="31" t="n">
        <v>0.6</v>
      </c>
      <c r="D259" s="31" t="n">
        <v>0.1</v>
      </c>
      <c r="E259" s="27" t="inlineStr">
        <is>
          <t>1M 30%/2M 60%/3M 10%</t>
        </is>
      </c>
      <c r="F259" s="27" t="n">
        <v>75</v>
      </c>
      <c r="G259" s="27">
        <f>A259*$B$7&gt;=$B$9</f>
        <v/>
      </c>
      <c r="H259" s="13">
        <f>$B$7*(A259*E$71+B259*F$71+C259*G$71+D259*H$71)+F259/100*$B$7*J$71-$C$71</f>
        <v/>
      </c>
      <c r="I259" s="13">
        <f>$B$7*(A259*L$71+B259*M$71+C259*N$71+D259*O$71)+F259/100*$B$7*Q$71-$C$71</f>
        <v/>
      </c>
      <c r="J259" s="13">
        <f>$B$7*(A259*S$71+B259*T$71+C259*U$71+D259*V$71)+F259/100*$B$7*X$71-$C$71</f>
        <v/>
      </c>
      <c r="K259" s="13">
        <f>$B$7*(A259*Z$71+B259*AA$71+C259*AB$71+D259*AC$71)+F259/100*$B$7*AE$71-$C$71</f>
        <v/>
      </c>
      <c r="L259" s="13">
        <f>$B$7*(A259*AG$71+B259*AH$71+C259*AI$71+D259*AJ$71)+F259/100*$B$7*AL$71-$C$71</f>
        <v/>
      </c>
      <c r="M259" s="13">
        <f>$B$7*(A259*AN$71+B259*AO$71+C259*AP$71+D259*AQ$71)+F259/100*$B$7*AS$71-$C$71</f>
        <v/>
      </c>
      <c r="N259" s="13">
        <f>SUMPRODUCT($H$24:$M$24,H259:M259)</f>
        <v/>
      </c>
      <c r="O259" s="14">
        <f>SQRT(SUMPRODUCT($H$24:$M$24,(H259:M259-N259)^2))</f>
        <v/>
      </c>
      <c r="P259" s="13">
        <f>MIN(H259:M259)</f>
        <v/>
      </c>
      <c r="Q259" s="13">
        <f>MAX(H259:M259)</f>
        <v/>
      </c>
      <c r="R259" s="27">
        <f>IF(G259,SUMPRODUCT(($G$76:$G$1505)*($N$76:$N$1505&gt;=N259)*($O$76:$O$1505&lt;=O259))=1,FALSE)</f>
        <v/>
      </c>
      <c r="S259" s="16">
        <f>IF(R259,ABS((O259-$AC$76)/MAX(0.0001,$AC$77-$AC$76)-(N259-$AC$78)/MAX(0.0001,$AC$79-$AC$78)),-1)</f>
        <v/>
      </c>
      <c r="T259" s="14">
        <f>IF(G259,O259,NA())</f>
        <v/>
      </c>
      <c r="U259" s="13">
        <f>IF(G259,N259,NA())</f>
        <v/>
      </c>
      <c r="V259" s="14">
        <f>IF(R259,O259,NA())</f>
        <v/>
      </c>
      <c r="W259" s="13">
        <f>IF(R259,N259,NA())</f>
        <v/>
      </c>
      <c r="X259" s="27">
        <f>IF(G259,P259,"")</f>
        <v/>
      </c>
      <c r="Y259" s="27">
        <f>IF(G259,N259,"")</f>
        <v/>
      </c>
      <c r="Z259" s="27">
        <f>IF(R259,O259,"")</f>
        <v/>
      </c>
      <c r="AA259" s="27">
        <f>IF(R259,N259,"")</f>
        <v/>
      </c>
    </row>
    <row r="260">
      <c r="A260" s="31" t="n">
        <v>0</v>
      </c>
      <c r="B260" s="31" t="n">
        <v>0.3</v>
      </c>
      <c r="C260" s="31" t="n">
        <v>0.6</v>
      </c>
      <c r="D260" s="31" t="n">
        <v>0.1</v>
      </c>
      <c r="E260" s="27" t="inlineStr">
        <is>
          <t>1M 30%/2M 60%/3M 10%</t>
        </is>
      </c>
      <c r="F260" s="27" t="n">
        <v>100</v>
      </c>
      <c r="G260" s="27">
        <f>A260*$B$7&gt;=$B$9</f>
        <v/>
      </c>
      <c r="H260" s="13">
        <f>$B$7*(A260*E$71+B260*F$71+C260*G$71+D260*H$71)+F260/100*$B$7*J$71-$C$71</f>
        <v/>
      </c>
      <c r="I260" s="13">
        <f>$B$7*(A260*L$71+B260*M$71+C260*N$71+D260*O$71)+F260/100*$B$7*Q$71-$C$71</f>
        <v/>
      </c>
      <c r="J260" s="13">
        <f>$B$7*(A260*S$71+B260*T$71+C260*U$71+D260*V$71)+F260/100*$B$7*X$71-$C$71</f>
        <v/>
      </c>
      <c r="K260" s="13">
        <f>$B$7*(A260*Z$71+B260*AA$71+C260*AB$71+D260*AC$71)+F260/100*$B$7*AE$71-$C$71</f>
        <v/>
      </c>
      <c r="L260" s="13">
        <f>$B$7*(A260*AG$71+B260*AH$71+C260*AI$71+D260*AJ$71)+F260/100*$B$7*AL$71-$C$71</f>
        <v/>
      </c>
      <c r="M260" s="13">
        <f>$B$7*(A260*AN$71+B260*AO$71+C260*AP$71+D260*AQ$71)+F260/100*$B$7*AS$71-$C$71</f>
        <v/>
      </c>
      <c r="N260" s="13">
        <f>SUMPRODUCT($H$24:$M$24,H260:M260)</f>
        <v/>
      </c>
      <c r="O260" s="14">
        <f>SQRT(SUMPRODUCT($H$24:$M$24,(H260:M260-N260)^2))</f>
        <v/>
      </c>
      <c r="P260" s="13">
        <f>MIN(H260:M260)</f>
        <v/>
      </c>
      <c r="Q260" s="13">
        <f>MAX(H260:M260)</f>
        <v/>
      </c>
      <c r="R260" s="27">
        <f>IF(G260,SUMPRODUCT(($G$76:$G$1505)*($N$76:$N$1505&gt;=N260)*($O$76:$O$1505&lt;=O260))=1,FALSE)</f>
        <v/>
      </c>
      <c r="S260" s="16">
        <f>IF(R260,ABS((O260-$AC$76)/MAX(0.0001,$AC$77-$AC$76)-(N260-$AC$78)/MAX(0.0001,$AC$79-$AC$78)),-1)</f>
        <v/>
      </c>
      <c r="T260" s="14">
        <f>IF(G260,O260,NA())</f>
        <v/>
      </c>
      <c r="U260" s="13">
        <f>IF(G260,N260,NA())</f>
        <v/>
      </c>
      <c r="V260" s="14">
        <f>IF(R260,O260,NA())</f>
        <v/>
      </c>
      <c r="W260" s="13">
        <f>IF(R260,N260,NA())</f>
        <v/>
      </c>
      <c r="X260" s="27">
        <f>IF(G260,P260,"")</f>
        <v/>
      </c>
      <c r="Y260" s="27">
        <f>IF(G260,N260,"")</f>
        <v/>
      </c>
      <c r="Z260" s="27">
        <f>IF(R260,O260,"")</f>
        <v/>
      </c>
      <c r="AA260" s="27">
        <f>IF(R260,N260,"")</f>
        <v/>
      </c>
    </row>
    <row r="261">
      <c r="A261" s="31" t="n">
        <v>0</v>
      </c>
      <c r="B261" s="31" t="n">
        <v>0.3</v>
      </c>
      <c r="C261" s="31" t="n">
        <v>0.7</v>
      </c>
      <c r="D261" s="31" t="n">
        <v>0</v>
      </c>
      <c r="E261" s="27" t="inlineStr">
        <is>
          <t>1M 30%/2M 70%</t>
        </is>
      </c>
      <c r="F261" s="27" t="n">
        <v>0</v>
      </c>
      <c r="G261" s="27">
        <f>A261*$B$7&gt;=$B$9</f>
        <v/>
      </c>
      <c r="H261" s="13">
        <f>$B$7*(A261*E$71+B261*F$71+C261*G$71+D261*H$71)+F261/100*$B$7*J$71-$C$71</f>
        <v/>
      </c>
      <c r="I261" s="13">
        <f>$B$7*(A261*L$71+B261*M$71+C261*N$71+D261*O$71)+F261/100*$B$7*Q$71-$C$71</f>
        <v/>
      </c>
      <c r="J261" s="13">
        <f>$B$7*(A261*S$71+B261*T$71+C261*U$71+D261*V$71)+F261/100*$B$7*X$71-$C$71</f>
        <v/>
      </c>
      <c r="K261" s="13">
        <f>$B$7*(A261*Z$71+B261*AA$71+C261*AB$71+D261*AC$71)+F261/100*$B$7*AE$71-$C$71</f>
        <v/>
      </c>
      <c r="L261" s="13">
        <f>$B$7*(A261*AG$71+B261*AH$71+C261*AI$71+D261*AJ$71)+F261/100*$B$7*AL$71-$C$71</f>
        <v/>
      </c>
      <c r="M261" s="13">
        <f>$B$7*(A261*AN$71+B261*AO$71+C261*AP$71+D261*AQ$71)+F261/100*$B$7*AS$71-$C$71</f>
        <v/>
      </c>
      <c r="N261" s="13">
        <f>SUMPRODUCT($H$24:$M$24,H261:M261)</f>
        <v/>
      </c>
      <c r="O261" s="14">
        <f>SQRT(SUMPRODUCT($H$24:$M$24,(H261:M261-N261)^2))</f>
        <v/>
      </c>
      <c r="P261" s="13">
        <f>MIN(H261:M261)</f>
        <v/>
      </c>
      <c r="Q261" s="13">
        <f>MAX(H261:M261)</f>
        <v/>
      </c>
      <c r="R261" s="27">
        <f>IF(G261,SUMPRODUCT(($G$76:$G$1505)*($N$76:$N$1505&gt;=N261)*($O$76:$O$1505&lt;=O261))=1,FALSE)</f>
        <v/>
      </c>
      <c r="S261" s="16">
        <f>IF(R261,ABS((O261-$AC$76)/MAX(0.0001,$AC$77-$AC$76)-(N261-$AC$78)/MAX(0.0001,$AC$79-$AC$78)),-1)</f>
        <v/>
      </c>
      <c r="T261" s="14">
        <f>IF(G261,O261,NA())</f>
        <v/>
      </c>
      <c r="U261" s="13">
        <f>IF(G261,N261,NA())</f>
        <v/>
      </c>
      <c r="V261" s="14">
        <f>IF(R261,O261,NA())</f>
        <v/>
      </c>
      <c r="W261" s="13">
        <f>IF(R261,N261,NA())</f>
        <v/>
      </c>
      <c r="X261" s="27">
        <f>IF(G261,P261,"")</f>
        <v/>
      </c>
      <c r="Y261" s="27">
        <f>IF(G261,N261,"")</f>
        <v/>
      </c>
      <c r="Z261" s="27">
        <f>IF(R261,O261,"")</f>
        <v/>
      </c>
      <c r="AA261" s="27">
        <f>IF(R261,N261,"")</f>
        <v/>
      </c>
    </row>
    <row r="262">
      <c r="A262" s="31" t="n">
        <v>0</v>
      </c>
      <c r="B262" s="31" t="n">
        <v>0.3</v>
      </c>
      <c r="C262" s="31" t="n">
        <v>0.7</v>
      </c>
      <c r="D262" s="31" t="n">
        <v>0</v>
      </c>
      <c r="E262" s="27" t="inlineStr">
        <is>
          <t>1M 30%/2M 70%</t>
        </is>
      </c>
      <c r="F262" s="27" t="n">
        <v>25</v>
      </c>
      <c r="G262" s="27">
        <f>A262*$B$7&gt;=$B$9</f>
        <v/>
      </c>
      <c r="H262" s="13">
        <f>$B$7*(A262*E$71+B262*F$71+C262*G$71+D262*H$71)+F262/100*$B$7*J$71-$C$71</f>
        <v/>
      </c>
      <c r="I262" s="13">
        <f>$B$7*(A262*L$71+B262*M$71+C262*N$71+D262*O$71)+F262/100*$B$7*Q$71-$C$71</f>
        <v/>
      </c>
      <c r="J262" s="13">
        <f>$B$7*(A262*S$71+B262*T$71+C262*U$71+D262*V$71)+F262/100*$B$7*X$71-$C$71</f>
        <v/>
      </c>
      <c r="K262" s="13">
        <f>$B$7*(A262*Z$71+B262*AA$71+C262*AB$71+D262*AC$71)+F262/100*$B$7*AE$71-$C$71</f>
        <v/>
      </c>
      <c r="L262" s="13">
        <f>$B$7*(A262*AG$71+B262*AH$71+C262*AI$71+D262*AJ$71)+F262/100*$B$7*AL$71-$C$71</f>
        <v/>
      </c>
      <c r="M262" s="13">
        <f>$B$7*(A262*AN$71+B262*AO$71+C262*AP$71+D262*AQ$71)+F262/100*$B$7*AS$71-$C$71</f>
        <v/>
      </c>
      <c r="N262" s="13">
        <f>SUMPRODUCT($H$24:$M$24,H262:M262)</f>
        <v/>
      </c>
      <c r="O262" s="14">
        <f>SQRT(SUMPRODUCT($H$24:$M$24,(H262:M262-N262)^2))</f>
        <v/>
      </c>
      <c r="P262" s="13">
        <f>MIN(H262:M262)</f>
        <v/>
      </c>
      <c r="Q262" s="13">
        <f>MAX(H262:M262)</f>
        <v/>
      </c>
      <c r="R262" s="27">
        <f>IF(G262,SUMPRODUCT(($G$76:$G$1505)*($N$76:$N$1505&gt;=N262)*($O$76:$O$1505&lt;=O262))=1,FALSE)</f>
        <v/>
      </c>
      <c r="S262" s="16">
        <f>IF(R262,ABS((O262-$AC$76)/MAX(0.0001,$AC$77-$AC$76)-(N262-$AC$78)/MAX(0.0001,$AC$79-$AC$78)),-1)</f>
        <v/>
      </c>
      <c r="T262" s="14">
        <f>IF(G262,O262,NA())</f>
        <v/>
      </c>
      <c r="U262" s="13">
        <f>IF(G262,N262,NA())</f>
        <v/>
      </c>
      <c r="V262" s="14">
        <f>IF(R262,O262,NA())</f>
        <v/>
      </c>
      <c r="W262" s="13">
        <f>IF(R262,N262,NA())</f>
        <v/>
      </c>
      <c r="X262" s="27">
        <f>IF(G262,P262,"")</f>
        <v/>
      </c>
      <c r="Y262" s="27">
        <f>IF(G262,N262,"")</f>
        <v/>
      </c>
      <c r="Z262" s="27">
        <f>IF(R262,O262,"")</f>
        <v/>
      </c>
      <c r="AA262" s="27">
        <f>IF(R262,N262,"")</f>
        <v/>
      </c>
    </row>
    <row r="263">
      <c r="A263" s="31" t="n">
        <v>0</v>
      </c>
      <c r="B263" s="31" t="n">
        <v>0.3</v>
      </c>
      <c r="C263" s="31" t="n">
        <v>0.7</v>
      </c>
      <c r="D263" s="31" t="n">
        <v>0</v>
      </c>
      <c r="E263" s="27" t="inlineStr">
        <is>
          <t>1M 30%/2M 70%</t>
        </is>
      </c>
      <c r="F263" s="27" t="n">
        <v>50</v>
      </c>
      <c r="G263" s="27">
        <f>A263*$B$7&gt;=$B$9</f>
        <v/>
      </c>
      <c r="H263" s="13">
        <f>$B$7*(A263*E$71+B263*F$71+C263*G$71+D263*H$71)+F263/100*$B$7*J$71-$C$71</f>
        <v/>
      </c>
      <c r="I263" s="13">
        <f>$B$7*(A263*L$71+B263*M$71+C263*N$71+D263*O$71)+F263/100*$B$7*Q$71-$C$71</f>
        <v/>
      </c>
      <c r="J263" s="13">
        <f>$B$7*(A263*S$71+B263*T$71+C263*U$71+D263*V$71)+F263/100*$B$7*X$71-$C$71</f>
        <v/>
      </c>
      <c r="K263" s="13">
        <f>$B$7*(A263*Z$71+B263*AA$71+C263*AB$71+D263*AC$71)+F263/100*$B$7*AE$71-$C$71</f>
        <v/>
      </c>
      <c r="L263" s="13">
        <f>$B$7*(A263*AG$71+B263*AH$71+C263*AI$71+D263*AJ$71)+F263/100*$B$7*AL$71-$C$71</f>
        <v/>
      </c>
      <c r="M263" s="13">
        <f>$B$7*(A263*AN$71+B263*AO$71+C263*AP$71+D263*AQ$71)+F263/100*$B$7*AS$71-$C$71</f>
        <v/>
      </c>
      <c r="N263" s="13">
        <f>SUMPRODUCT($H$24:$M$24,H263:M263)</f>
        <v/>
      </c>
      <c r="O263" s="14">
        <f>SQRT(SUMPRODUCT($H$24:$M$24,(H263:M263-N263)^2))</f>
        <v/>
      </c>
      <c r="P263" s="13">
        <f>MIN(H263:M263)</f>
        <v/>
      </c>
      <c r="Q263" s="13">
        <f>MAX(H263:M263)</f>
        <v/>
      </c>
      <c r="R263" s="27">
        <f>IF(G263,SUMPRODUCT(($G$76:$G$1505)*($N$76:$N$1505&gt;=N263)*($O$76:$O$1505&lt;=O263))=1,FALSE)</f>
        <v/>
      </c>
      <c r="S263" s="16">
        <f>IF(R263,ABS((O263-$AC$76)/MAX(0.0001,$AC$77-$AC$76)-(N263-$AC$78)/MAX(0.0001,$AC$79-$AC$78)),-1)</f>
        <v/>
      </c>
      <c r="T263" s="14">
        <f>IF(G263,O263,NA())</f>
        <v/>
      </c>
      <c r="U263" s="13">
        <f>IF(G263,N263,NA())</f>
        <v/>
      </c>
      <c r="V263" s="14">
        <f>IF(R263,O263,NA())</f>
        <v/>
      </c>
      <c r="W263" s="13">
        <f>IF(R263,N263,NA())</f>
        <v/>
      </c>
      <c r="X263" s="27">
        <f>IF(G263,P263,"")</f>
        <v/>
      </c>
      <c r="Y263" s="27">
        <f>IF(G263,N263,"")</f>
        <v/>
      </c>
      <c r="Z263" s="27">
        <f>IF(R263,O263,"")</f>
        <v/>
      </c>
      <c r="AA263" s="27">
        <f>IF(R263,N263,"")</f>
        <v/>
      </c>
    </row>
    <row r="264">
      <c r="A264" s="31" t="n">
        <v>0</v>
      </c>
      <c r="B264" s="31" t="n">
        <v>0.3</v>
      </c>
      <c r="C264" s="31" t="n">
        <v>0.7</v>
      </c>
      <c r="D264" s="31" t="n">
        <v>0</v>
      </c>
      <c r="E264" s="27" t="inlineStr">
        <is>
          <t>1M 30%/2M 70%</t>
        </is>
      </c>
      <c r="F264" s="27" t="n">
        <v>75</v>
      </c>
      <c r="G264" s="27">
        <f>A264*$B$7&gt;=$B$9</f>
        <v/>
      </c>
      <c r="H264" s="13">
        <f>$B$7*(A264*E$71+B264*F$71+C264*G$71+D264*H$71)+F264/100*$B$7*J$71-$C$71</f>
        <v/>
      </c>
      <c r="I264" s="13">
        <f>$B$7*(A264*L$71+B264*M$71+C264*N$71+D264*O$71)+F264/100*$B$7*Q$71-$C$71</f>
        <v/>
      </c>
      <c r="J264" s="13">
        <f>$B$7*(A264*S$71+B264*T$71+C264*U$71+D264*V$71)+F264/100*$B$7*X$71-$C$71</f>
        <v/>
      </c>
      <c r="K264" s="13">
        <f>$B$7*(A264*Z$71+B264*AA$71+C264*AB$71+D264*AC$71)+F264/100*$B$7*AE$71-$C$71</f>
        <v/>
      </c>
      <c r="L264" s="13">
        <f>$B$7*(A264*AG$71+B264*AH$71+C264*AI$71+D264*AJ$71)+F264/100*$B$7*AL$71-$C$71</f>
        <v/>
      </c>
      <c r="M264" s="13">
        <f>$B$7*(A264*AN$71+B264*AO$71+C264*AP$71+D264*AQ$71)+F264/100*$B$7*AS$71-$C$71</f>
        <v/>
      </c>
      <c r="N264" s="13">
        <f>SUMPRODUCT($H$24:$M$24,H264:M264)</f>
        <v/>
      </c>
      <c r="O264" s="14">
        <f>SQRT(SUMPRODUCT($H$24:$M$24,(H264:M264-N264)^2))</f>
        <v/>
      </c>
      <c r="P264" s="13">
        <f>MIN(H264:M264)</f>
        <v/>
      </c>
      <c r="Q264" s="13">
        <f>MAX(H264:M264)</f>
        <v/>
      </c>
      <c r="R264" s="27">
        <f>IF(G264,SUMPRODUCT(($G$76:$G$1505)*($N$76:$N$1505&gt;=N264)*($O$76:$O$1505&lt;=O264))=1,FALSE)</f>
        <v/>
      </c>
      <c r="S264" s="16">
        <f>IF(R264,ABS((O264-$AC$76)/MAX(0.0001,$AC$77-$AC$76)-(N264-$AC$78)/MAX(0.0001,$AC$79-$AC$78)),-1)</f>
        <v/>
      </c>
      <c r="T264" s="14">
        <f>IF(G264,O264,NA())</f>
        <v/>
      </c>
      <c r="U264" s="13">
        <f>IF(G264,N264,NA())</f>
        <v/>
      </c>
      <c r="V264" s="14">
        <f>IF(R264,O264,NA())</f>
        <v/>
      </c>
      <c r="W264" s="13">
        <f>IF(R264,N264,NA())</f>
        <v/>
      </c>
      <c r="X264" s="27">
        <f>IF(G264,P264,"")</f>
        <v/>
      </c>
      <c r="Y264" s="27">
        <f>IF(G264,N264,"")</f>
        <v/>
      </c>
      <c r="Z264" s="27">
        <f>IF(R264,O264,"")</f>
        <v/>
      </c>
      <c r="AA264" s="27">
        <f>IF(R264,N264,"")</f>
        <v/>
      </c>
    </row>
    <row r="265">
      <c r="A265" s="31" t="n">
        <v>0</v>
      </c>
      <c r="B265" s="31" t="n">
        <v>0.3</v>
      </c>
      <c r="C265" s="31" t="n">
        <v>0.7</v>
      </c>
      <c r="D265" s="31" t="n">
        <v>0</v>
      </c>
      <c r="E265" s="27" t="inlineStr">
        <is>
          <t>1M 30%/2M 70%</t>
        </is>
      </c>
      <c r="F265" s="27" t="n">
        <v>100</v>
      </c>
      <c r="G265" s="27">
        <f>A265*$B$7&gt;=$B$9</f>
        <v/>
      </c>
      <c r="H265" s="13">
        <f>$B$7*(A265*E$71+B265*F$71+C265*G$71+D265*H$71)+F265/100*$B$7*J$71-$C$71</f>
        <v/>
      </c>
      <c r="I265" s="13">
        <f>$B$7*(A265*L$71+B265*M$71+C265*N$71+D265*O$71)+F265/100*$B$7*Q$71-$C$71</f>
        <v/>
      </c>
      <c r="J265" s="13">
        <f>$B$7*(A265*S$71+B265*T$71+C265*U$71+D265*V$71)+F265/100*$B$7*X$71-$C$71</f>
        <v/>
      </c>
      <c r="K265" s="13">
        <f>$B$7*(A265*Z$71+B265*AA$71+C265*AB$71+D265*AC$71)+F265/100*$B$7*AE$71-$C$71</f>
        <v/>
      </c>
      <c r="L265" s="13">
        <f>$B$7*(A265*AG$71+B265*AH$71+C265*AI$71+D265*AJ$71)+F265/100*$B$7*AL$71-$C$71</f>
        <v/>
      </c>
      <c r="M265" s="13">
        <f>$B$7*(A265*AN$71+B265*AO$71+C265*AP$71+D265*AQ$71)+F265/100*$B$7*AS$71-$C$71</f>
        <v/>
      </c>
      <c r="N265" s="13">
        <f>SUMPRODUCT($H$24:$M$24,H265:M265)</f>
        <v/>
      </c>
      <c r="O265" s="14">
        <f>SQRT(SUMPRODUCT($H$24:$M$24,(H265:M265-N265)^2))</f>
        <v/>
      </c>
      <c r="P265" s="13">
        <f>MIN(H265:M265)</f>
        <v/>
      </c>
      <c r="Q265" s="13">
        <f>MAX(H265:M265)</f>
        <v/>
      </c>
      <c r="R265" s="27">
        <f>IF(G265,SUMPRODUCT(($G$76:$G$1505)*($N$76:$N$1505&gt;=N265)*($O$76:$O$1505&lt;=O265))=1,FALSE)</f>
        <v/>
      </c>
      <c r="S265" s="16">
        <f>IF(R265,ABS((O265-$AC$76)/MAX(0.0001,$AC$77-$AC$76)-(N265-$AC$78)/MAX(0.0001,$AC$79-$AC$78)),-1)</f>
        <v/>
      </c>
      <c r="T265" s="14">
        <f>IF(G265,O265,NA())</f>
        <v/>
      </c>
      <c r="U265" s="13">
        <f>IF(G265,N265,NA())</f>
        <v/>
      </c>
      <c r="V265" s="14">
        <f>IF(R265,O265,NA())</f>
        <v/>
      </c>
      <c r="W265" s="13">
        <f>IF(R265,N265,NA())</f>
        <v/>
      </c>
      <c r="X265" s="27">
        <f>IF(G265,P265,"")</f>
        <v/>
      </c>
      <c r="Y265" s="27">
        <f>IF(G265,N265,"")</f>
        <v/>
      </c>
      <c r="Z265" s="27">
        <f>IF(R265,O265,"")</f>
        <v/>
      </c>
      <c r="AA265" s="27">
        <f>IF(R265,N265,"")</f>
        <v/>
      </c>
    </row>
    <row r="266">
      <c r="A266" s="31" t="n">
        <v>0</v>
      </c>
      <c r="B266" s="31" t="n">
        <v>0.4</v>
      </c>
      <c r="C266" s="31" t="n">
        <v>0</v>
      </c>
      <c r="D266" s="31" t="n">
        <v>0.6</v>
      </c>
      <c r="E266" s="27" t="inlineStr">
        <is>
          <t>1M 40%/3M 60%</t>
        </is>
      </c>
      <c r="F266" s="27" t="n">
        <v>0</v>
      </c>
      <c r="G266" s="27">
        <f>A266*$B$7&gt;=$B$9</f>
        <v/>
      </c>
      <c r="H266" s="13">
        <f>$B$7*(A266*E$71+B266*F$71+C266*G$71+D266*H$71)+F266/100*$B$7*J$71-$C$71</f>
        <v/>
      </c>
      <c r="I266" s="13">
        <f>$B$7*(A266*L$71+B266*M$71+C266*N$71+D266*O$71)+F266/100*$B$7*Q$71-$C$71</f>
        <v/>
      </c>
      <c r="J266" s="13">
        <f>$B$7*(A266*S$71+B266*T$71+C266*U$71+D266*V$71)+F266/100*$B$7*X$71-$C$71</f>
        <v/>
      </c>
      <c r="K266" s="13">
        <f>$B$7*(A266*Z$71+B266*AA$71+C266*AB$71+D266*AC$71)+F266/100*$B$7*AE$71-$C$71</f>
        <v/>
      </c>
      <c r="L266" s="13">
        <f>$B$7*(A266*AG$71+B266*AH$71+C266*AI$71+D266*AJ$71)+F266/100*$B$7*AL$71-$C$71</f>
        <v/>
      </c>
      <c r="M266" s="13">
        <f>$B$7*(A266*AN$71+B266*AO$71+C266*AP$71+D266*AQ$71)+F266/100*$B$7*AS$71-$C$71</f>
        <v/>
      </c>
      <c r="N266" s="13">
        <f>SUMPRODUCT($H$24:$M$24,H266:M266)</f>
        <v/>
      </c>
      <c r="O266" s="14">
        <f>SQRT(SUMPRODUCT($H$24:$M$24,(H266:M266-N266)^2))</f>
        <v/>
      </c>
      <c r="P266" s="13">
        <f>MIN(H266:M266)</f>
        <v/>
      </c>
      <c r="Q266" s="13">
        <f>MAX(H266:M266)</f>
        <v/>
      </c>
      <c r="R266" s="27">
        <f>IF(G266,SUMPRODUCT(($G$76:$G$1505)*($N$76:$N$1505&gt;=N266)*($O$76:$O$1505&lt;=O266))=1,FALSE)</f>
        <v/>
      </c>
      <c r="S266" s="16">
        <f>IF(R266,ABS((O266-$AC$76)/MAX(0.0001,$AC$77-$AC$76)-(N266-$AC$78)/MAX(0.0001,$AC$79-$AC$78)),-1)</f>
        <v/>
      </c>
      <c r="T266" s="14">
        <f>IF(G266,O266,NA())</f>
        <v/>
      </c>
      <c r="U266" s="13">
        <f>IF(G266,N266,NA())</f>
        <v/>
      </c>
      <c r="V266" s="14">
        <f>IF(R266,O266,NA())</f>
        <v/>
      </c>
      <c r="W266" s="13">
        <f>IF(R266,N266,NA())</f>
        <v/>
      </c>
      <c r="X266" s="27">
        <f>IF(G266,P266,"")</f>
        <v/>
      </c>
      <c r="Y266" s="27">
        <f>IF(G266,N266,"")</f>
        <v/>
      </c>
      <c r="Z266" s="27">
        <f>IF(R266,O266,"")</f>
        <v/>
      </c>
      <c r="AA266" s="27">
        <f>IF(R266,N266,"")</f>
        <v/>
      </c>
    </row>
    <row r="267">
      <c r="A267" s="31" t="n">
        <v>0</v>
      </c>
      <c r="B267" s="31" t="n">
        <v>0.4</v>
      </c>
      <c r="C267" s="31" t="n">
        <v>0</v>
      </c>
      <c r="D267" s="31" t="n">
        <v>0.6</v>
      </c>
      <c r="E267" s="27" t="inlineStr">
        <is>
          <t>1M 40%/3M 60%</t>
        </is>
      </c>
      <c r="F267" s="27" t="n">
        <v>25</v>
      </c>
      <c r="G267" s="27">
        <f>A267*$B$7&gt;=$B$9</f>
        <v/>
      </c>
      <c r="H267" s="13">
        <f>$B$7*(A267*E$71+B267*F$71+C267*G$71+D267*H$71)+F267/100*$B$7*J$71-$C$71</f>
        <v/>
      </c>
      <c r="I267" s="13">
        <f>$B$7*(A267*L$71+B267*M$71+C267*N$71+D267*O$71)+F267/100*$B$7*Q$71-$C$71</f>
        <v/>
      </c>
      <c r="J267" s="13">
        <f>$B$7*(A267*S$71+B267*T$71+C267*U$71+D267*V$71)+F267/100*$B$7*X$71-$C$71</f>
        <v/>
      </c>
      <c r="K267" s="13">
        <f>$B$7*(A267*Z$71+B267*AA$71+C267*AB$71+D267*AC$71)+F267/100*$B$7*AE$71-$C$71</f>
        <v/>
      </c>
      <c r="L267" s="13">
        <f>$B$7*(A267*AG$71+B267*AH$71+C267*AI$71+D267*AJ$71)+F267/100*$B$7*AL$71-$C$71</f>
        <v/>
      </c>
      <c r="M267" s="13">
        <f>$B$7*(A267*AN$71+B267*AO$71+C267*AP$71+D267*AQ$71)+F267/100*$B$7*AS$71-$C$71</f>
        <v/>
      </c>
      <c r="N267" s="13">
        <f>SUMPRODUCT($H$24:$M$24,H267:M267)</f>
        <v/>
      </c>
      <c r="O267" s="14">
        <f>SQRT(SUMPRODUCT($H$24:$M$24,(H267:M267-N267)^2))</f>
        <v/>
      </c>
      <c r="P267" s="13">
        <f>MIN(H267:M267)</f>
        <v/>
      </c>
      <c r="Q267" s="13">
        <f>MAX(H267:M267)</f>
        <v/>
      </c>
      <c r="R267" s="27">
        <f>IF(G267,SUMPRODUCT(($G$76:$G$1505)*($N$76:$N$1505&gt;=N267)*($O$76:$O$1505&lt;=O267))=1,FALSE)</f>
        <v/>
      </c>
      <c r="S267" s="16">
        <f>IF(R267,ABS((O267-$AC$76)/MAX(0.0001,$AC$77-$AC$76)-(N267-$AC$78)/MAX(0.0001,$AC$79-$AC$78)),-1)</f>
        <v/>
      </c>
      <c r="T267" s="14">
        <f>IF(G267,O267,NA())</f>
        <v/>
      </c>
      <c r="U267" s="13">
        <f>IF(G267,N267,NA())</f>
        <v/>
      </c>
      <c r="V267" s="14">
        <f>IF(R267,O267,NA())</f>
        <v/>
      </c>
      <c r="W267" s="13">
        <f>IF(R267,N267,NA())</f>
        <v/>
      </c>
      <c r="X267" s="27">
        <f>IF(G267,P267,"")</f>
        <v/>
      </c>
      <c r="Y267" s="27">
        <f>IF(G267,N267,"")</f>
        <v/>
      </c>
      <c r="Z267" s="27">
        <f>IF(R267,O267,"")</f>
        <v/>
      </c>
      <c r="AA267" s="27">
        <f>IF(R267,N267,"")</f>
        <v/>
      </c>
    </row>
    <row r="268">
      <c r="A268" s="31" t="n">
        <v>0</v>
      </c>
      <c r="B268" s="31" t="n">
        <v>0.4</v>
      </c>
      <c r="C268" s="31" t="n">
        <v>0</v>
      </c>
      <c r="D268" s="31" t="n">
        <v>0.6</v>
      </c>
      <c r="E268" s="27" t="inlineStr">
        <is>
          <t>1M 40%/3M 60%</t>
        </is>
      </c>
      <c r="F268" s="27" t="n">
        <v>50</v>
      </c>
      <c r="G268" s="27">
        <f>A268*$B$7&gt;=$B$9</f>
        <v/>
      </c>
      <c r="H268" s="13">
        <f>$B$7*(A268*E$71+B268*F$71+C268*G$71+D268*H$71)+F268/100*$B$7*J$71-$C$71</f>
        <v/>
      </c>
      <c r="I268" s="13">
        <f>$B$7*(A268*L$71+B268*M$71+C268*N$71+D268*O$71)+F268/100*$B$7*Q$71-$C$71</f>
        <v/>
      </c>
      <c r="J268" s="13">
        <f>$B$7*(A268*S$71+B268*T$71+C268*U$71+D268*V$71)+F268/100*$B$7*X$71-$C$71</f>
        <v/>
      </c>
      <c r="K268" s="13">
        <f>$B$7*(A268*Z$71+B268*AA$71+C268*AB$71+D268*AC$71)+F268/100*$B$7*AE$71-$C$71</f>
        <v/>
      </c>
      <c r="L268" s="13">
        <f>$B$7*(A268*AG$71+B268*AH$71+C268*AI$71+D268*AJ$71)+F268/100*$B$7*AL$71-$C$71</f>
        <v/>
      </c>
      <c r="M268" s="13">
        <f>$B$7*(A268*AN$71+B268*AO$71+C268*AP$71+D268*AQ$71)+F268/100*$B$7*AS$71-$C$71</f>
        <v/>
      </c>
      <c r="N268" s="13">
        <f>SUMPRODUCT($H$24:$M$24,H268:M268)</f>
        <v/>
      </c>
      <c r="O268" s="14">
        <f>SQRT(SUMPRODUCT($H$24:$M$24,(H268:M268-N268)^2))</f>
        <v/>
      </c>
      <c r="P268" s="13">
        <f>MIN(H268:M268)</f>
        <v/>
      </c>
      <c r="Q268" s="13">
        <f>MAX(H268:M268)</f>
        <v/>
      </c>
      <c r="R268" s="27">
        <f>IF(G268,SUMPRODUCT(($G$76:$G$1505)*($N$76:$N$1505&gt;=N268)*($O$76:$O$1505&lt;=O268))=1,FALSE)</f>
        <v/>
      </c>
      <c r="S268" s="16">
        <f>IF(R268,ABS((O268-$AC$76)/MAX(0.0001,$AC$77-$AC$76)-(N268-$AC$78)/MAX(0.0001,$AC$79-$AC$78)),-1)</f>
        <v/>
      </c>
      <c r="T268" s="14">
        <f>IF(G268,O268,NA())</f>
        <v/>
      </c>
      <c r="U268" s="13">
        <f>IF(G268,N268,NA())</f>
        <v/>
      </c>
      <c r="V268" s="14">
        <f>IF(R268,O268,NA())</f>
        <v/>
      </c>
      <c r="W268" s="13">
        <f>IF(R268,N268,NA())</f>
        <v/>
      </c>
      <c r="X268" s="27">
        <f>IF(G268,P268,"")</f>
        <v/>
      </c>
      <c r="Y268" s="27">
        <f>IF(G268,N268,"")</f>
        <v/>
      </c>
      <c r="Z268" s="27">
        <f>IF(R268,O268,"")</f>
        <v/>
      </c>
      <c r="AA268" s="27">
        <f>IF(R268,N268,"")</f>
        <v/>
      </c>
    </row>
    <row r="269">
      <c r="A269" s="31" t="n">
        <v>0</v>
      </c>
      <c r="B269" s="31" t="n">
        <v>0.4</v>
      </c>
      <c r="C269" s="31" t="n">
        <v>0</v>
      </c>
      <c r="D269" s="31" t="n">
        <v>0.6</v>
      </c>
      <c r="E269" s="27" t="inlineStr">
        <is>
          <t>1M 40%/3M 60%</t>
        </is>
      </c>
      <c r="F269" s="27" t="n">
        <v>75</v>
      </c>
      <c r="G269" s="27">
        <f>A269*$B$7&gt;=$B$9</f>
        <v/>
      </c>
      <c r="H269" s="13">
        <f>$B$7*(A269*E$71+B269*F$71+C269*G$71+D269*H$71)+F269/100*$B$7*J$71-$C$71</f>
        <v/>
      </c>
      <c r="I269" s="13">
        <f>$B$7*(A269*L$71+B269*M$71+C269*N$71+D269*O$71)+F269/100*$B$7*Q$71-$C$71</f>
        <v/>
      </c>
      <c r="J269" s="13">
        <f>$B$7*(A269*S$71+B269*T$71+C269*U$71+D269*V$71)+F269/100*$B$7*X$71-$C$71</f>
        <v/>
      </c>
      <c r="K269" s="13">
        <f>$B$7*(A269*Z$71+B269*AA$71+C269*AB$71+D269*AC$71)+F269/100*$B$7*AE$71-$C$71</f>
        <v/>
      </c>
      <c r="L269" s="13">
        <f>$B$7*(A269*AG$71+B269*AH$71+C269*AI$71+D269*AJ$71)+F269/100*$B$7*AL$71-$C$71</f>
        <v/>
      </c>
      <c r="M269" s="13">
        <f>$B$7*(A269*AN$71+B269*AO$71+C269*AP$71+D269*AQ$71)+F269/100*$B$7*AS$71-$C$71</f>
        <v/>
      </c>
      <c r="N269" s="13">
        <f>SUMPRODUCT($H$24:$M$24,H269:M269)</f>
        <v/>
      </c>
      <c r="O269" s="14">
        <f>SQRT(SUMPRODUCT($H$24:$M$24,(H269:M269-N269)^2))</f>
        <v/>
      </c>
      <c r="P269" s="13">
        <f>MIN(H269:M269)</f>
        <v/>
      </c>
      <c r="Q269" s="13">
        <f>MAX(H269:M269)</f>
        <v/>
      </c>
      <c r="R269" s="27">
        <f>IF(G269,SUMPRODUCT(($G$76:$G$1505)*($N$76:$N$1505&gt;=N269)*($O$76:$O$1505&lt;=O269))=1,FALSE)</f>
        <v/>
      </c>
      <c r="S269" s="16">
        <f>IF(R269,ABS((O269-$AC$76)/MAX(0.0001,$AC$77-$AC$76)-(N269-$AC$78)/MAX(0.0001,$AC$79-$AC$78)),-1)</f>
        <v/>
      </c>
      <c r="T269" s="14">
        <f>IF(G269,O269,NA())</f>
        <v/>
      </c>
      <c r="U269" s="13">
        <f>IF(G269,N269,NA())</f>
        <v/>
      </c>
      <c r="V269" s="14">
        <f>IF(R269,O269,NA())</f>
        <v/>
      </c>
      <c r="W269" s="13">
        <f>IF(R269,N269,NA())</f>
        <v/>
      </c>
      <c r="X269" s="27">
        <f>IF(G269,P269,"")</f>
        <v/>
      </c>
      <c r="Y269" s="27">
        <f>IF(G269,N269,"")</f>
        <v/>
      </c>
      <c r="Z269" s="27">
        <f>IF(R269,O269,"")</f>
        <v/>
      </c>
      <c r="AA269" s="27">
        <f>IF(R269,N269,"")</f>
        <v/>
      </c>
    </row>
    <row r="270">
      <c r="A270" s="31" t="n">
        <v>0</v>
      </c>
      <c r="B270" s="31" t="n">
        <v>0.4</v>
      </c>
      <c r="C270" s="31" t="n">
        <v>0</v>
      </c>
      <c r="D270" s="31" t="n">
        <v>0.6</v>
      </c>
      <c r="E270" s="27" t="inlineStr">
        <is>
          <t>1M 40%/3M 60%</t>
        </is>
      </c>
      <c r="F270" s="27" t="n">
        <v>100</v>
      </c>
      <c r="G270" s="27">
        <f>A270*$B$7&gt;=$B$9</f>
        <v/>
      </c>
      <c r="H270" s="13">
        <f>$B$7*(A270*E$71+B270*F$71+C270*G$71+D270*H$71)+F270/100*$B$7*J$71-$C$71</f>
        <v/>
      </c>
      <c r="I270" s="13">
        <f>$B$7*(A270*L$71+B270*M$71+C270*N$71+D270*O$71)+F270/100*$B$7*Q$71-$C$71</f>
        <v/>
      </c>
      <c r="J270" s="13">
        <f>$B$7*(A270*S$71+B270*T$71+C270*U$71+D270*V$71)+F270/100*$B$7*X$71-$C$71</f>
        <v/>
      </c>
      <c r="K270" s="13">
        <f>$B$7*(A270*Z$71+B270*AA$71+C270*AB$71+D270*AC$71)+F270/100*$B$7*AE$71-$C$71</f>
        <v/>
      </c>
      <c r="L270" s="13">
        <f>$B$7*(A270*AG$71+B270*AH$71+C270*AI$71+D270*AJ$71)+F270/100*$B$7*AL$71-$C$71</f>
        <v/>
      </c>
      <c r="M270" s="13">
        <f>$B$7*(A270*AN$71+B270*AO$71+C270*AP$71+D270*AQ$71)+F270/100*$B$7*AS$71-$C$71</f>
        <v/>
      </c>
      <c r="N270" s="13">
        <f>SUMPRODUCT($H$24:$M$24,H270:M270)</f>
        <v/>
      </c>
      <c r="O270" s="14">
        <f>SQRT(SUMPRODUCT($H$24:$M$24,(H270:M270-N270)^2))</f>
        <v/>
      </c>
      <c r="P270" s="13">
        <f>MIN(H270:M270)</f>
        <v/>
      </c>
      <c r="Q270" s="13">
        <f>MAX(H270:M270)</f>
        <v/>
      </c>
      <c r="R270" s="27">
        <f>IF(G270,SUMPRODUCT(($G$76:$G$1505)*($N$76:$N$1505&gt;=N270)*($O$76:$O$1505&lt;=O270))=1,FALSE)</f>
        <v/>
      </c>
      <c r="S270" s="16">
        <f>IF(R270,ABS((O270-$AC$76)/MAX(0.0001,$AC$77-$AC$76)-(N270-$AC$78)/MAX(0.0001,$AC$79-$AC$78)),-1)</f>
        <v/>
      </c>
      <c r="T270" s="14">
        <f>IF(G270,O270,NA())</f>
        <v/>
      </c>
      <c r="U270" s="13">
        <f>IF(G270,N270,NA())</f>
        <v/>
      </c>
      <c r="V270" s="14">
        <f>IF(R270,O270,NA())</f>
        <v/>
      </c>
      <c r="W270" s="13">
        <f>IF(R270,N270,NA())</f>
        <v/>
      </c>
      <c r="X270" s="27">
        <f>IF(G270,P270,"")</f>
        <v/>
      </c>
      <c r="Y270" s="27">
        <f>IF(G270,N270,"")</f>
        <v/>
      </c>
      <c r="Z270" s="27">
        <f>IF(R270,O270,"")</f>
        <v/>
      </c>
      <c r="AA270" s="27">
        <f>IF(R270,N270,"")</f>
        <v/>
      </c>
    </row>
    <row r="271">
      <c r="A271" s="31" t="n">
        <v>0</v>
      </c>
      <c r="B271" s="31" t="n">
        <v>0.4</v>
      </c>
      <c r="C271" s="31" t="n">
        <v>0.1</v>
      </c>
      <c r="D271" s="31" t="n">
        <v>0.5</v>
      </c>
      <c r="E271" s="27" t="inlineStr">
        <is>
          <t>1M 40%/2M 10%/3M 50%</t>
        </is>
      </c>
      <c r="F271" s="27" t="n">
        <v>0</v>
      </c>
      <c r="G271" s="27">
        <f>A271*$B$7&gt;=$B$9</f>
        <v/>
      </c>
      <c r="H271" s="13">
        <f>$B$7*(A271*E$71+B271*F$71+C271*G$71+D271*H$71)+F271/100*$B$7*J$71-$C$71</f>
        <v/>
      </c>
      <c r="I271" s="13">
        <f>$B$7*(A271*L$71+B271*M$71+C271*N$71+D271*O$71)+F271/100*$B$7*Q$71-$C$71</f>
        <v/>
      </c>
      <c r="J271" s="13">
        <f>$B$7*(A271*S$71+B271*T$71+C271*U$71+D271*V$71)+F271/100*$B$7*X$71-$C$71</f>
        <v/>
      </c>
      <c r="K271" s="13">
        <f>$B$7*(A271*Z$71+B271*AA$71+C271*AB$71+D271*AC$71)+F271/100*$B$7*AE$71-$C$71</f>
        <v/>
      </c>
      <c r="L271" s="13">
        <f>$B$7*(A271*AG$71+B271*AH$71+C271*AI$71+D271*AJ$71)+F271/100*$B$7*AL$71-$C$71</f>
        <v/>
      </c>
      <c r="M271" s="13">
        <f>$B$7*(A271*AN$71+B271*AO$71+C271*AP$71+D271*AQ$71)+F271/100*$B$7*AS$71-$C$71</f>
        <v/>
      </c>
      <c r="N271" s="13">
        <f>SUMPRODUCT($H$24:$M$24,H271:M271)</f>
        <v/>
      </c>
      <c r="O271" s="14">
        <f>SQRT(SUMPRODUCT($H$24:$M$24,(H271:M271-N271)^2))</f>
        <v/>
      </c>
      <c r="P271" s="13">
        <f>MIN(H271:M271)</f>
        <v/>
      </c>
      <c r="Q271" s="13">
        <f>MAX(H271:M271)</f>
        <v/>
      </c>
      <c r="R271" s="27">
        <f>IF(G271,SUMPRODUCT(($G$76:$G$1505)*($N$76:$N$1505&gt;=N271)*($O$76:$O$1505&lt;=O271))=1,FALSE)</f>
        <v/>
      </c>
      <c r="S271" s="16">
        <f>IF(R271,ABS((O271-$AC$76)/MAX(0.0001,$AC$77-$AC$76)-(N271-$AC$78)/MAX(0.0001,$AC$79-$AC$78)),-1)</f>
        <v/>
      </c>
      <c r="T271" s="14">
        <f>IF(G271,O271,NA())</f>
        <v/>
      </c>
      <c r="U271" s="13">
        <f>IF(G271,N271,NA())</f>
        <v/>
      </c>
      <c r="V271" s="14">
        <f>IF(R271,O271,NA())</f>
        <v/>
      </c>
      <c r="W271" s="13">
        <f>IF(R271,N271,NA())</f>
        <v/>
      </c>
      <c r="X271" s="27">
        <f>IF(G271,P271,"")</f>
        <v/>
      </c>
      <c r="Y271" s="27">
        <f>IF(G271,N271,"")</f>
        <v/>
      </c>
      <c r="Z271" s="27">
        <f>IF(R271,O271,"")</f>
        <v/>
      </c>
      <c r="AA271" s="27">
        <f>IF(R271,N271,"")</f>
        <v/>
      </c>
    </row>
    <row r="272">
      <c r="A272" s="31" t="n">
        <v>0</v>
      </c>
      <c r="B272" s="31" t="n">
        <v>0.4</v>
      </c>
      <c r="C272" s="31" t="n">
        <v>0.1</v>
      </c>
      <c r="D272" s="31" t="n">
        <v>0.5</v>
      </c>
      <c r="E272" s="27" t="inlineStr">
        <is>
          <t>1M 40%/2M 10%/3M 50%</t>
        </is>
      </c>
      <c r="F272" s="27" t="n">
        <v>25</v>
      </c>
      <c r="G272" s="27">
        <f>A272*$B$7&gt;=$B$9</f>
        <v/>
      </c>
      <c r="H272" s="13">
        <f>$B$7*(A272*E$71+B272*F$71+C272*G$71+D272*H$71)+F272/100*$B$7*J$71-$C$71</f>
        <v/>
      </c>
      <c r="I272" s="13">
        <f>$B$7*(A272*L$71+B272*M$71+C272*N$71+D272*O$71)+F272/100*$B$7*Q$71-$C$71</f>
        <v/>
      </c>
      <c r="J272" s="13">
        <f>$B$7*(A272*S$71+B272*T$71+C272*U$71+D272*V$71)+F272/100*$B$7*X$71-$C$71</f>
        <v/>
      </c>
      <c r="K272" s="13">
        <f>$B$7*(A272*Z$71+B272*AA$71+C272*AB$71+D272*AC$71)+F272/100*$B$7*AE$71-$C$71</f>
        <v/>
      </c>
      <c r="L272" s="13">
        <f>$B$7*(A272*AG$71+B272*AH$71+C272*AI$71+D272*AJ$71)+F272/100*$B$7*AL$71-$C$71</f>
        <v/>
      </c>
      <c r="M272" s="13">
        <f>$B$7*(A272*AN$71+B272*AO$71+C272*AP$71+D272*AQ$71)+F272/100*$B$7*AS$71-$C$71</f>
        <v/>
      </c>
      <c r="N272" s="13">
        <f>SUMPRODUCT($H$24:$M$24,H272:M272)</f>
        <v/>
      </c>
      <c r="O272" s="14">
        <f>SQRT(SUMPRODUCT($H$24:$M$24,(H272:M272-N272)^2))</f>
        <v/>
      </c>
      <c r="P272" s="13">
        <f>MIN(H272:M272)</f>
        <v/>
      </c>
      <c r="Q272" s="13">
        <f>MAX(H272:M272)</f>
        <v/>
      </c>
      <c r="R272" s="27">
        <f>IF(G272,SUMPRODUCT(($G$76:$G$1505)*($N$76:$N$1505&gt;=N272)*($O$76:$O$1505&lt;=O272))=1,FALSE)</f>
        <v/>
      </c>
      <c r="S272" s="16">
        <f>IF(R272,ABS((O272-$AC$76)/MAX(0.0001,$AC$77-$AC$76)-(N272-$AC$78)/MAX(0.0001,$AC$79-$AC$78)),-1)</f>
        <v/>
      </c>
      <c r="T272" s="14">
        <f>IF(G272,O272,NA())</f>
        <v/>
      </c>
      <c r="U272" s="13">
        <f>IF(G272,N272,NA())</f>
        <v/>
      </c>
      <c r="V272" s="14">
        <f>IF(R272,O272,NA())</f>
        <v/>
      </c>
      <c r="W272" s="13">
        <f>IF(R272,N272,NA())</f>
        <v/>
      </c>
      <c r="X272" s="27">
        <f>IF(G272,P272,"")</f>
        <v/>
      </c>
      <c r="Y272" s="27">
        <f>IF(G272,N272,"")</f>
        <v/>
      </c>
      <c r="Z272" s="27">
        <f>IF(R272,O272,"")</f>
        <v/>
      </c>
      <c r="AA272" s="27">
        <f>IF(R272,N272,"")</f>
        <v/>
      </c>
    </row>
    <row r="273">
      <c r="A273" s="31" t="n">
        <v>0</v>
      </c>
      <c r="B273" s="31" t="n">
        <v>0.4</v>
      </c>
      <c r="C273" s="31" t="n">
        <v>0.1</v>
      </c>
      <c r="D273" s="31" t="n">
        <v>0.5</v>
      </c>
      <c r="E273" s="27" t="inlineStr">
        <is>
          <t>1M 40%/2M 10%/3M 50%</t>
        </is>
      </c>
      <c r="F273" s="27" t="n">
        <v>50</v>
      </c>
      <c r="G273" s="27">
        <f>A273*$B$7&gt;=$B$9</f>
        <v/>
      </c>
      <c r="H273" s="13">
        <f>$B$7*(A273*E$71+B273*F$71+C273*G$71+D273*H$71)+F273/100*$B$7*J$71-$C$71</f>
        <v/>
      </c>
      <c r="I273" s="13">
        <f>$B$7*(A273*L$71+B273*M$71+C273*N$71+D273*O$71)+F273/100*$B$7*Q$71-$C$71</f>
        <v/>
      </c>
      <c r="J273" s="13">
        <f>$B$7*(A273*S$71+B273*T$71+C273*U$71+D273*V$71)+F273/100*$B$7*X$71-$C$71</f>
        <v/>
      </c>
      <c r="K273" s="13">
        <f>$B$7*(A273*Z$71+B273*AA$71+C273*AB$71+D273*AC$71)+F273/100*$B$7*AE$71-$C$71</f>
        <v/>
      </c>
      <c r="L273" s="13">
        <f>$B$7*(A273*AG$71+B273*AH$71+C273*AI$71+D273*AJ$71)+F273/100*$B$7*AL$71-$C$71</f>
        <v/>
      </c>
      <c r="M273" s="13">
        <f>$B$7*(A273*AN$71+B273*AO$71+C273*AP$71+D273*AQ$71)+F273/100*$B$7*AS$71-$C$71</f>
        <v/>
      </c>
      <c r="N273" s="13">
        <f>SUMPRODUCT($H$24:$M$24,H273:M273)</f>
        <v/>
      </c>
      <c r="O273" s="14">
        <f>SQRT(SUMPRODUCT($H$24:$M$24,(H273:M273-N273)^2))</f>
        <v/>
      </c>
      <c r="P273" s="13">
        <f>MIN(H273:M273)</f>
        <v/>
      </c>
      <c r="Q273" s="13">
        <f>MAX(H273:M273)</f>
        <v/>
      </c>
      <c r="R273" s="27">
        <f>IF(G273,SUMPRODUCT(($G$76:$G$1505)*($N$76:$N$1505&gt;=N273)*($O$76:$O$1505&lt;=O273))=1,FALSE)</f>
        <v/>
      </c>
      <c r="S273" s="16">
        <f>IF(R273,ABS((O273-$AC$76)/MAX(0.0001,$AC$77-$AC$76)-(N273-$AC$78)/MAX(0.0001,$AC$79-$AC$78)),-1)</f>
        <v/>
      </c>
      <c r="T273" s="14">
        <f>IF(G273,O273,NA())</f>
        <v/>
      </c>
      <c r="U273" s="13">
        <f>IF(G273,N273,NA())</f>
        <v/>
      </c>
      <c r="V273" s="14">
        <f>IF(R273,O273,NA())</f>
        <v/>
      </c>
      <c r="W273" s="13">
        <f>IF(R273,N273,NA())</f>
        <v/>
      </c>
      <c r="X273" s="27">
        <f>IF(G273,P273,"")</f>
        <v/>
      </c>
      <c r="Y273" s="27">
        <f>IF(G273,N273,"")</f>
        <v/>
      </c>
      <c r="Z273" s="27">
        <f>IF(R273,O273,"")</f>
        <v/>
      </c>
      <c r="AA273" s="27">
        <f>IF(R273,N273,"")</f>
        <v/>
      </c>
    </row>
    <row r="274">
      <c r="A274" s="31" t="n">
        <v>0</v>
      </c>
      <c r="B274" s="31" t="n">
        <v>0.4</v>
      </c>
      <c r="C274" s="31" t="n">
        <v>0.1</v>
      </c>
      <c r="D274" s="31" t="n">
        <v>0.5</v>
      </c>
      <c r="E274" s="27" t="inlineStr">
        <is>
          <t>1M 40%/2M 10%/3M 50%</t>
        </is>
      </c>
      <c r="F274" s="27" t="n">
        <v>75</v>
      </c>
      <c r="G274" s="27">
        <f>A274*$B$7&gt;=$B$9</f>
        <v/>
      </c>
      <c r="H274" s="13">
        <f>$B$7*(A274*E$71+B274*F$71+C274*G$71+D274*H$71)+F274/100*$B$7*J$71-$C$71</f>
        <v/>
      </c>
      <c r="I274" s="13">
        <f>$B$7*(A274*L$71+B274*M$71+C274*N$71+D274*O$71)+F274/100*$B$7*Q$71-$C$71</f>
        <v/>
      </c>
      <c r="J274" s="13">
        <f>$B$7*(A274*S$71+B274*T$71+C274*U$71+D274*V$71)+F274/100*$B$7*X$71-$C$71</f>
        <v/>
      </c>
      <c r="K274" s="13">
        <f>$B$7*(A274*Z$71+B274*AA$71+C274*AB$71+D274*AC$71)+F274/100*$B$7*AE$71-$C$71</f>
        <v/>
      </c>
      <c r="L274" s="13">
        <f>$B$7*(A274*AG$71+B274*AH$71+C274*AI$71+D274*AJ$71)+F274/100*$B$7*AL$71-$C$71</f>
        <v/>
      </c>
      <c r="M274" s="13">
        <f>$B$7*(A274*AN$71+B274*AO$71+C274*AP$71+D274*AQ$71)+F274/100*$B$7*AS$71-$C$71</f>
        <v/>
      </c>
      <c r="N274" s="13">
        <f>SUMPRODUCT($H$24:$M$24,H274:M274)</f>
        <v/>
      </c>
      <c r="O274" s="14">
        <f>SQRT(SUMPRODUCT($H$24:$M$24,(H274:M274-N274)^2))</f>
        <v/>
      </c>
      <c r="P274" s="13">
        <f>MIN(H274:M274)</f>
        <v/>
      </c>
      <c r="Q274" s="13">
        <f>MAX(H274:M274)</f>
        <v/>
      </c>
      <c r="R274" s="27">
        <f>IF(G274,SUMPRODUCT(($G$76:$G$1505)*($N$76:$N$1505&gt;=N274)*($O$76:$O$1505&lt;=O274))=1,FALSE)</f>
        <v/>
      </c>
      <c r="S274" s="16">
        <f>IF(R274,ABS((O274-$AC$76)/MAX(0.0001,$AC$77-$AC$76)-(N274-$AC$78)/MAX(0.0001,$AC$79-$AC$78)),-1)</f>
        <v/>
      </c>
      <c r="T274" s="14">
        <f>IF(G274,O274,NA())</f>
        <v/>
      </c>
      <c r="U274" s="13">
        <f>IF(G274,N274,NA())</f>
        <v/>
      </c>
      <c r="V274" s="14">
        <f>IF(R274,O274,NA())</f>
        <v/>
      </c>
      <c r="W274" s="13">
        <f>IF(R274,N274,NA())</f>
        <v/>
      </c>
      <c r="X274" s="27">
        <f>IF(G274,P274,"")</f>
        <v/>
      </c>
      <c r="Y274" s="27">
        <f>IF(G274,N274,"")</f>
        <v/>
      </c>
      <c r="Z274" s="27">
        <f>IF(R274,O274,"")</f>
        <v/>
      </c>
      <c r="AA274" s="27">
        <f>IF(R274,N274,"")</f>
        <v/>
      </c>
    </row>
    <row r="275">
      <c r="A275" s="31" t="n">
        <v>0</v>
      </c>
      <c r="B275" s="31" t="n">
        <v>0.4</v>
      </c>
      <c r="C275" s="31" t="n">
        <v>0.1</v>
      </c>
      <c r="D275" s="31" t="n">
        <v>0.5</v>
      </c>
      <c r="E275" s="27" t="inlineStr">
        <is>
          <t>1M 40%/2M 10%/3M 50%</t>
        </is>
      </c>
      <c r="F275" s="27" t="n">
        <v>100</v>
      </c>
      <c r="G275" s="27">
        <f>A275*$B$7&gt;=$B$9</f>
        <v/>
      </c>
      <c r="H275" s="13">
        <f>$B$7*(A275*E$71+B275*F$71+C275*G$71+D275*H$71)+F275/100*$B$7*J$71-$C$71</f>
        <v/>
      </c>
      <c r="I275" s="13">
        <f>$B$7*(A275*L$71+B275*M$71+C275*N$71+D275*O$71)+F275/100*$B$7*Q$71-$C$71</f>
        <v/>
      </c>
      <c r="J275" s="13">
        <f>$B$7*(A275*S$71+B275*T$71+C275*U$71+D275*V$71)+F275/100*$B$7*X$71-$C$71</f>
        <v/>
      </c>
      <c r="K275" s="13">
        <f>$B$7*(A275*Z$71+B275*AA$71+C275*AB$71+D275*AC$71)+F275/100*$B$7*AE$71-$C$71</f>
        <v/>
      </c>
      <c r="L275" s="13">
        <f>$B$7*(A275*AG$71+B275*AH$71+C275*AI$71+D275*AJ$71)+F275/100*$B$7*AL$71-$C$71</f>
        <v/>
      </c>
      <c r="M275" s="13">
        <f>$B$7*(A275*AN$71+B275*AO$71+C275*AP$71+D275*AQ$71)+F275/100*$B$7*AS$71-$C$71</f>
        <v/>
      </c>
      <c r="N275" s="13">
        <f>SUMPRODUCT($H$24:$M$24,H275:M275)</f>
        <v/>
      </c>
      <c r="O275" s="14">
        <f>SQRT(SUMPRODUCT($H$24:$M$24,(H275:M275-N275)^2))</f>
        <v/>
      </c>
      <c r="P275" s="13">
        <f>MIN(H275:M275)</f>
        <v/>
      </c>
      <c r="Q275" s="13">
        <f>MAX(H275:M275)</f>
        <v/>
      </c>
      <c r="R275" s="27">
        <f>IF(G275,SUMPRODUCT(($G$76:$G$1505)*($N$76:$N$1505&gt;=N275)*($O$76:$O$1505&lt;=O275))=1,FALSE)</f>
        <v/>
      </c>
      <c r="S275" s="16">
        <f>IF(R275,ABS((O275-$AC$76)/MAX(0.0001,$AC$77-$AC$76)-(N275-$AC$78)/MAX(0.0001,$AC$79-$AC$78)),-1)</f>
        <v/>
      </c>
      <c r="T275" s="14">
        <f>IF(G275,O275,NA())</f>
        <v/>
      </c>
      <c r="U275" s="13">
        <f>IF(G275,N275,NA())</f>
        <v/>
      </c>
      <c r="V275" s="14">
        <f>IF(R275,O275,NA())</f>
        <v/>
      </c>
      <c r="W275" s="13">
        <f>IF(R275,N275,NA())</f>
        <v/>
      </c>
      <c r="X275" s="27">
        <f>IF(G275,P275,"")</f>
        <v/>
      </c>
      <c r="Y275" s="27">
        <f>IF(G275,N275,"")</f>
        <v/>
      </c>
      <c r="Z275" s="27">
        <f>IF(R275,O275,"")</f>
        <v/>
      </c>
      <c r="AA275" s="27">
        <f>IF(R275,N275,"")</f>
        <v/>
      </c>
    </row>
    <row r="276">
      <c r="A276" s="31" t="n">
        <v>0</v>
      </c>
      <c r="B276" s="31" t="n">
        <v>0.4</v>
      </c>
      <c r="C276" s="31" t="n">
        <v>0.2</v>
      </c>
      <c r="D276" s="31" t="n">
        <v>0.4</v>
      </c>
      <c r="E276" s="27" t="inlineStr">
        <is>
          <t>1M 40%/2M 20%/3M 40%</t>
        </is>
      </c>
      <c r="F276" s="27" t="n">
        <v>0</v>
      </c>
      <c r="G276" s="27">
        <f>A276*$B$7&gt;=$B$9</f>
        <v/>
      </c>
      <c r="H276" s="13">
        <f>$B$7*(A276*E$71+B276*F$71+C276*G$71+D276*H$71)+F276/100*$B$7*J$71-$C$71</f>
        <v/>
      </c>
      <c r="I276" s="13">
        <f>$B$7*(A276*L$71+B276*M$71+C276*N$71+D276*O$71)+F276/100*$B$7*Q$71-$C$71</f>
        <v/>
      </c>
      <c r="J276" s="13">
        <f>$B$7*(A276*S$71+B276*T$71+C276*U$71+D276*V$71)+F276/100*$B$7*X$71-$C$71</f>
        <v/>
      </c>
      <c r="K276" s="13">
        <f>$B$7*(A276*Z$71+B276*AA$71+C276*AB$71+D276*AC$71)+F276/100*$B$7*AE$71-$C$71</f>
        <v/>
      </c>
      <c r="L276" s="13">
        <f>$B$7*(A276*AG$71+B276*AH$71+C276*AI$71+D276*AJ$71)+F276/100*$B$7*AL$71-$C$71</f>
        <v/>
      </c>
      <c r="M276" s="13">
        <f>$B$7*(A276*AN$71+B276*AO$71+C276*AP$71+D276*AQ$71)+F276/100*$B$7*AS$71-$C$71</f>
        <v/>
      </c>
      <c r="N276" s="13">
        <f>SUMPRODUCT($H$24:$M$24,H276:M276)</f>
        <v/>
      </c>
      <c r="O276" s="14">
        <f>SQRT(SUMPRODUCT($H$24:$M$24,(H276:M276-N276)^2))</f>
        <v/>
      </c>
      <c r="P276" s="13">
        <f>MIN(H276:M276)</f>
        <v/>
      </c>
      <c r="Q276" s="13">
        <f>MAX(H276:M276)</f>
        <v/>
      </c>
      <c r="R276" s="27">
        <f>IF(G276,SUMPRODUCT(($G$76:$G$1505)*($N$76:$N$1505&gt;=N276)*($O$76:$O$1505&lt;=O276))=1,FALSE)</f>
        <v/>
      </c>
      <c r="S276" s="16">
        <f>IF(R276,ABS((O276-$AC$76)/MAX(0.0001,$AC$77-$AC$76)-(N276-$AC$78)/MAX(0.0001,$AC$79-$AC$78)),-1)</f>
        <v/>
      </c>
      <c r="T276" s="14">
        <f>IF(G276,O276,NA())</f>
        <v/>
      </c>
      <c r="U276" s="13">
        <f>IF(G276,N276,NA())</f>
        <v/>
      </c>
      <c r="V276" s="14">
        <f>IF(R276,O276,NA())</f>
        <v/>
      </c>
      <c r="W276" s="13">
        <f>IF(R276,N276,NA())</f>
        <v/>
      </c>
      <c r="X276" s="27">
        <f>IF(G276,P276,"")</f>
        <v/>
      </c>
      <c r="Y276" s="27">
        <f>IF(G276,N276,"")</f>
        <v/>
      </c>
      <c r="Z276" s="27">
        <f>IF(R276,O276,"")</f>
        <v/>
      </c>
      <c r="AA276" s="27">
        <f>IF(R276,N276,"")</f>
        <v/>
      </c>
    </row>
    <row r="277">
      <c r="A277" s="31" t="n">
        <v>0</v>
      </c>
      <c r="B277" s="31" t="n">
        <v>0.4</v>
      </c>
      <c r="C277" s="31" t="n">
        <v>0.2</v>
      </c>
      <c r="D277" s="31" t="n">
        <v>0.4</v>
      </c>
      <c r="E277" s="27" t="inlineStr">
        <is>
          <t>1M 40%/2M 20%/3M 40%</t>
        </is>
      </c>
      <c r="F277" s="27" t="n">
        <v>25</v>
      </c>
      <c r="G277" s="27">
        <f>A277*$B$7&gt;=$B$9</f>
        <v/>
      </c>
      <c r="H277" s="13">
        <f>$B$7*(A277*E$71+B277*F$71+C277*G$71+D277*H$71)+F277/100*$B$7*J$71-$C$71</f>
        <v/>
      </c>
      <c r="I277" s="13">
        <f>$B$7*(A277*L$71+B277*M$71+C277*N$71+D277*O$71)+F277/100*$B$7*Q$71-$C$71</f>
        <v/>
      </c>
      <c r="J277" s="13">
        <f>$B$7*(A277*S$71+B277*T$71+C277*U$71+D277*V$71)+F277/100*$B$7*X$71-$C$71</f>
        <v/>
      </c>
      <c r="K277" s="13">
        <f>$B$7*(A277*Z$71+B277*AA$71+C277*AB$71+D277*AC$71)+F277/100*$B$7*AE$71-$C$71</f>
        <v/>
      </c>
      <c r="L277" s="13">
        <f>$B$7*(A277*AG$71+B277*AH$71+C277*AI$71+D277*AJ$71)+F277/100*$B$7*AL$71-$C$71</f>
        <v/>
      </c>
      <c r="M277" s="13">
        <f>$B$7*(A277*AN$71+B277*AO$71+C277*AP$71+D277*AQ$71)+F277/100*$B$7*AS$71-$C$71</f>
        <v/>
      </c>
      <c r="N277" s="13">
        <f>SUMPRODUCT($H$24:$M$24,H277:M277)</f>
        <v/>
      </c>
      <c r="O277" s="14">
        <f>SQRT(SUMPRODUCT($H$24:$M$24,(H277:M277-N277)^2))</f>
        <v/>
      </c>
      <c r="P277" s="13">
        <f>MIN(H277:M277)</f>
        <v/>
      </c>
      <c r="Q277" s="13">
        <f>MAX(H277:M277)</f>
        <v/>
      </c>
      <c r="R277" s="27">
        <f>IF(G277,SUMPRODUCT(($G$76:$G$1505)*($N$76:$N$1505&gt;=N277)*($O$76:$O$1505&lt;=O277))=1,FALSE)</f>
        <v/>
      </c>
      <c r="S277" s="16">
        <f>IF(R277,ABS((O277-$AC$76)/MAX(0.0001,$AC$77-$AC$76)-(N277-$AC$78)/MAX(0.0001,$AC$79-$AC$78)),-1)</f>
        <v/>
      </c>
      <c r="T277" s="14">
        <f>IF(G277,O277,NA())</f>
        <v/>
      </c>
      <c r="U277" s="13">
        <f>IF(G277,N277,NA())</f>
        <v/>
      </c>
      <c r="V277" s="14">
        <f>IF(R277,O277,NA())</f>
        <v/>
      </c>
      <c r="W277" s="13">
        <f>IF(R277,N277,NA())</f>
        <v/>
      </c>
      <c r="X277" s="27">
        <f>IF(G277,P277,"")</f>
        <v/>
      </c>
      <c r="Y277" s="27">
        <f>IF(G277,N277,"")</f>
        <v/>
      </c>
      <c r="Z277" s="27">
        <f>IF(R277,O277,"")</f>
        <v/>
      </c>
      <c r="AA277" s="27">
        <f>IF(R277,N277,"")</f>
        <v/>
      </c>
    </row>
    <row r="278">
      <c r="A278" s="31" t="n">
        <v>0</v>
      </c>
      <c r="B278" s="31" t="n">
        <v>0.4</v>
      </c>
      <c r="C278" s="31" t="n">
        <v>0.2</v>
      </c>
      <c r="D278" s="31" t="n">
        <v>0.4</v>
      </c>
      <c r="E278" s="27" t="inlineStr">
        <is>
          <t>1M 40%/2M 20%/3M 40%</t>
        </is>
      </c>
      <c r="F278" s="27" t="n">
        <v>50</v>
      </c>
      <c r="G278" s="27">
        <f>A278*$B$7&gt;=$B$9</f>
        <v/>
      </c>
      <c r="H278" s="13">
        <f>$B$7*(A278*E$71+B278*F$71+C278*G$71+D278*H$71)+F278/100*$B$7*J$71-$C$71</f>
        <v/>
      </c>
      <c r="I278" s="13">
        <f>$B$7*(A278*L$71+B278*M$71+C278*N$71+D278*O$71)+F278/100*$B$7*Q$71-$C$71</f>
        <v/>
      </c>
      <c r="J278" s="13">
        <f>$B$7*(A278*S$71+B278*T$71+C278*U$71+D278*V$71)+F278/100*$B$7*X$71-$C$71</f>
        <v/>
      </c>
      <c r="K278" s="13">
        <f>$B$7*(A278*Z$71+B278*AA$71+C278*AB$71+D278*AC$71)+F278/100*$B$7*AE$71-$C$71</f>
        <v/>
      </c>
      <c r="L278" s="13">
        <f>$B$7*(A278*AG$71+B278*AH$71+C278*AI$71+D278*AJ$71)+F278/100*$B$7*AL$71-$C$71</f>
        <v/>
      </c>
      <c r="M278" s="13">
        <f>$B$7*(A278*AN$71+B278*AO$71+C278*AP$71+D278*AQ$71)+F278/100*$B$7*AS$71-$C$71</f>
        <v/>
      </c>
      <c r="N278" s="13">
        <f>SUMPRODUCT($H$24:$M$24,H278:M278)</f>
        <v/>
      </c>
      <c r="O278" s="14">
        <f>SQRT(SUMPRODUCT($H$24:$M$24,(H278:M278-N278)^2))</f>
        <v/>
      </c>
      <c r="P278" s="13">
        <f>MIN(H278:M278)</f>
        <v/>
      </c>
      <c r="Q278" s="13">
        <f>MAX(H278:M278)</f>
        <v/>
      </c>
      <c r="R278" s="27">
        <f>IF(G278,SUMPRODUCT(($G$76:$G$1505)*($N$76:$N$1505&gt;=N278)*($O$76:$O$1505&lt;=O278))=1,FALSE)</f>
        <v/>
      </c>
      <c r="S278" s="16">
        <f>IF(R278,ABS((O278-$AC$76)/MAX(0.0001,$AC$77-$AC$76)-(N278-$AC$78)/MAX(0.0001,$AC$79-$AC$78)),-1)</f>
        <v/>
      </c>
      <c r="T278" s="14">
        <f>IF(G278,O278,NA())</f>
        <v/>
      </c>
      <c r="U278" s="13">
        <f>IF(G278,N278,NA())</f>
        <v/>
      </c>
      <c r="V278" s="14">
        <f>IF(R278,O278,NA())</f>
        <v/>
      </c>
      <c r="W278" s="13">
        <f>IF(R278,N278,NA())</f>
        <v/>
      </c>
      <c r="X278" s="27">
        <f>IF(G278,P278,"")</f>
        <v/>
      </c>
      <c r="Y278" s="27">
        <f>IF(G278,N278,"")</f>
        <v/>
      </c>
      <c r="Z278" s="27">
        <f>IF(R278,O278,"")</f>
        <v/>
      </c>
      <c r="AA278" s="27">
        <f>IF(R278,N278,"")</f>
        <v/>
      </c>
    </row>
    <row r="279">
      <c r="A279" s="31" t="n">
        <v>0</v>
      </c>
      <c r="B279" s="31" t="n">
        <v>0.4</v>
      </c>
      <c r="C279" s="31" t="n">
        <v>0.2</v>
      </c>
      <c r="D279" s="31" t="n">
        <v>0.4</v>
      </c>
      <c r="E279" s="27" t="inlineStr">
        <is>
          <t>1M 40%/2M 20%/3M 40%</t>
        </is>
      </c>
      <c r="F279" s="27" t="n">
        <v>75</v>
      </c>
      <c r="G279" s="27">
        <f>A279*$B$7&gt;=$B$9</f>
        <v/>
      </c>
      <c r="H279" s="13">
        <f>$B$7*(A279*E$71+B279*F$71+C279*G$71+D279*H$71)+F279/100*$B$7*J$71-$C$71</f>
        <v/>
      </c>
      <c r="I279" s="13">
        <f>$B$7*(A279*L$71+B279*M$71+C279*N$71+D279*O$71)+F279/100*$B$7*Q$71-$C$71</f>
        <v/>
      </c>
      <c r="J279" s="13">
        <f>$B$7*(A279*S$71+B279*T$71+C279*U$71+D279*V$71)+F279/100*$B$7*X$71-$C$71</f>
        <v/>
      </c>
      <c r="K279" s="13">
        <f>$B$7*(A279*Z$71+B279*AA$71+C279*AB$71+D279*AC$71)+F279/100*$B$7*AE$71-$C$71</f>
        <v/>
      </c>
      <c r="L279" s="13">
        <f>$B$7*(A279*AG$71+B279*AH$71+C279*AI$71+D279*AJ$71)+F279/100*$B$7*AL$71-$C$71</f>
        <v/>
      </c>
      <c r="M279" s="13">
        <f>$B$7*(A279*AN$71+B279*AO$71+C279*AP$71+D279*AQ$71)+F279/100*$B$7*AS$71-$C$71</f>
        <v/>
      </c>
      <c r="N279" s="13">
        <f>SUMPRODUCT($H$24:$M$24,H279:M279)</f>
        <v/>
      </c>
      <c r="O279" s="14">
        <f>SQRT(SUMPRODUCT($H$24:$M$24,(H279:M279-N279)^2))</f>
        <v/>
      </c>
      <c r="P279" s="13">
        <f>MIN(H279:M279)</f>
        <v/>
      </c>
      <c r="Q279" s="13">
        <f>MAX(H279:M279)</f>
        <v/>
      </c>
      <c r="R279" s="27">
        <f>IF(G279,SUMPRODUCT(($G$76:$G$1505)*($N$76:$N$1505&gt;=N279)*($O$76:$O$1505&lt;=O279))=1,FALSE)</f>
        <v/>
      </c>
      <c r="S279" s="16">
        <f>IF(R279,ABS((O279-$AC$76)/MAX(0.0001,$AC$77-$AC$76)-(N279-$AC$78)/MAX(0.0001,$AC$79-$AC$78)),-1)</f>
        <v/>
      </c>
      <c r="T279" s="14">
        <f>IF(G279,O279,NA())</f>
        <v/>
      </c>
      <c r="U279" s="13">
        <f>IF(G279,N279,NA())</f>
        <v/>
      </c>
      <c r="V279" s="14">
        <f>IF(R279,O279,NA())</f>
        <v/>
      </c>
      <c r="W279" s="13">
        <f>IF(R279,N279,NA())</f>
        <v/>
      </c>
      <c r="X279" s="27">
        <f>IF(G279,P279,"")</f>
        <v/>
      </c>
      <c r="Y279" s="27">
        <f>IF(G279,N279,"")</f>
        <v/>
      </c>
      <c r="Z279" s="27">
        <f>IF(R279,O279,"")</f>
        <v/>
      </c>
      <c r="AA279" s="27">
        <f>IF(R279,N279,"")</f>
        <v/>
      </c>
    </row>
    <row r="280">
      <c r="A280" s="31" t="n">
        <v>0</v>
      </c>
      <c r="B280" s="31" t="n">
        <v>0.4</v>
      </c>
      <c r="C280" s="31" t="n">
        <v>0.2</v>
      </c>
      <c r="D280" s="31" t="n">
        <v>0.4</v>
      </c>
      <c r="E280" s="27" t="inlineStr">
        <is>
          <t>1M 40%/2M 20%/3M 40%</t>
        </is>
      </c>
      <c r="F280" s="27" t="n">
        <v>100</v>
      </c>
      <c r="G280" s="27">
        <f>A280*$B$7&gt;=$B$9</f>
        <v/>
      </c>
      <c r="H280" s="13">
        <f>$B$7*(A280*E$71+B280*F$71+C280*G$71+D280*H$71)+F280/100*$B$7*J$71-$C$71</f>
        <v/>
      </c>
      <c r="I280" s="13">
        <f>$B$7*(A280*L$71+B280*M$71+C280*N$71+D280*O$71)+F280/100*$B$7*Q$71-$C$71</f>
        <v/>
      </c>
      <c r="J280" s="13">
        <f>$B$7*(A280*S$71+B280*T$71+C280*U$71+D280*V$71)+F280/100*$B$7*X$71-$C$71</f>
        <v/>
      </c>
      <c r="K280" s="13">
        <f>$B$7*(A280*Z$71+B280*AA$71+C280*AB$71+D280*AC$71)+F280/100*$B$7*AE$71-$C$71</f>
        <v/>
      </c>
      <c r="L280" s="13">
        <f>$B$7*(A280*AG$71+B280*AH$71+C280*AI$71+D280*AJ$71)+F280/100*$B$7*AL$71-$C$71</f>
        <v/>
      </c>
      <c r="M280" s="13">
        <f>$B$7*(A280*AN$71+B280*AO$71+C280*AP$71+D280*AQ$71)+F280/100*$B$7*AS$71-$C$71</f>
        <v/>
      </c>
      <c r="N280" s="13">
        <f>SUMPRODUCT($H$24:$M$24,H280:M280)</f>
        <v/>
      </c>
      <c r="O280" s="14">
        <f>SQRT(SUMPRODUCT($H$24:$M$24,(H280:M280-N280)^2))</f>
        <v/>
      </c>
      <c r="P280" s="13">
        <f>MIN(H280:M280)</f>
        <v/>
      </c>
      <c r="Q280" s="13">
        <f>MAX(H280:M280)</f>
        <v/>
      </c>
      <c r="R280" s="27">
        <f>IF(G280,SUMPRODUCT(($G$76:$G$1505)*($N$76:$N$1505&gt;=N280)*($O$76:$O$1505&lt;=O280))=1,FALSE)</f>
        <v/>
      </c>
      <c r="S280" s="16">
        <f>IF(R280,ABS((O280-$AC$76)/MAX(0.0001,$AC$77-$AC$76)-(N280-$AC$78)/MAX(0.0001,$AC$79-$AC$78)),-1)</f>
        <v/>
      </c>
      <c r="T280" s="14">
        <f>IF(G280,O280,NA())</f>
        <v/>
      </c>
      <c r="U280" s="13">
        <f>IF(G280,N280,NA())</f>
        <v/>
      </c>
      <c r="V280" s="14">
        <f>IF(R280,O280,NA())</f>
        <v/>
      </c>
      <c r="W280" s="13">
        <f>IF(R280,N280,NA())</f>
        <v/>
      </c>
      <c r="X280" s="27">
        <f>IF(G280,P280,"")</f>
        <v/>
      </c>
      <c r="Y280" s="27">
        <f>IF(G280,N280,"")</f>
        <v/>
      </c>
      <c r="Z280" s="27">
        <f>IF(R280,O280,"")</f>
        <v/>
      </c>
      <c r="AA280" s="27">
        <f>IF(R280,N280,"")</f>
        <v/>
      </c>
    </row>
    <row r="281">
      <c r="A281" s="31" t="n">
        <v>0</v>
      </c>
      <c r="B281" s="31" t="n">
        <v>0.4</v>
      </c>
      <c r="C281" s="31" t="n">
        <v>0.3</v>
      </c>
      <c r="D281" s="31" t="n">
        <v>0.3</v>
      </c>
      <c r="E281" s="27" t="inlineStr">
        <is>
          <t>1M 40%/2M 30%/3M 30%</t>
        </is>
      </c>
      <c r="F281" s="27" t="n">
        <v>0</v>
      </c>
      <c r="G281" s="27">
        <f>A281*$B$7&gt;=$B$9</f>
        <v/>
      </c>
      <c r="H281" s="13">
        <f>$B$7*(A281*E$71+B281*F$71+C281*G$71+D281*H$71)+F281/100*$B$7*J$71-$C$71</f>
        <v/>
      </c>
      <c r="I281" s="13">
        <f>$B$7*(A281*L$71+B281*M$71+C281*N$71+D281*O$71)+F281/100*$B$7*Q$71-$C$71</f>
        <v/>
      </c>
      <c r="J281" s="13">
        <f>$B$7*(A281*S$71+B281*T$71+C281*U$71+D281*V$71)+F281/100*$B$7*X$71-$C$71</f>
        <v/>
      </c>
      <c r="K281" s="13">
        <f>$B$7*(A281*Z$71+B281*AA$71+C281*AB$71+D281*AC$71)+F281/100*$B$7*AE$71-$C$71</f>
        <v/>
      </c>
      <c r="L281" s="13">
        <f>$B$7*(A281*AG$71+B281*AH$71+C281*AI$71+D281*AJ$71)+F281/100*$B$7*AL$71-$C$71</f>
        <v/>
      </c>
      <c r="M281" s="13">
        <f>$B$7*(A281*AN$71+B281*AO$71+C281*AP$71+D281*AQ$71)+F281/100*$B$7*AS$71-$C$71</f>
        <v/>
      </c>
      <c r="N281" s="13">
        <f>SUMPRODUCT($H$24:$M$24,H281:M281)</f>
        <v/>
      </c>
      <c r="O281" s="14">
        <f>SQRT(SUMPRODUCT($H$24:$M$24,(H281:M281-N281)^2))</f>
        <v/>
      </c>
      <c r="P281" s="13">
        <f>MIN(H281:M281)</f>
        <v/>
      </c>
      <c r="Q281" s="13">
        <f>MAX(H281:M281)</f>
        <v/>
      </c>
      <c r="R281" s="27">
        <f>IF(G281,SUMPRODUCT(($G$76:$G$1505)*($N$76:$N$1505&gt;=N281)*($O$76:$O$1505&lt;=O281))=1,FALSE)</f>
        <v/>
      </c>
      <c r="S281" s="16">
        <f>IF(R281,ABS((O281-$AC$76)/MAX(0.0001,$AC$77-$AC$76)-(N281-$AC$78)/MAX(0.0001,$AC$79-$AC$78)),-1)</f>
        <v/>
      </c>
      <c r="T281" s="14">
        <f>IF(G281,O281,NA())</f>
        <v/>
      </c>
      <c r="U281" s="13">
        <f>IF(G281,N281,NA())</f>
        <v/>
      </c>
      <c r="V281" s="14">
        <f>IF(R281,O281,NA())</f>
        <v/>
      </c>
      <c r="W281" s="13">
        <f>IF(R281,N281,NA())</f>
        <v/>
      </c>
      <c r="X281" s="27">
        <f>IF(G281,P281,"")</f>
        <v/>
      </c>
      <c r="Y281" s="27">
        <f>IF(G281,N281,"")</f>
        <v/>
      </c>
      <c r="Z281" s="27">
        <f>IF(R281,O281,"")</f>
        <v/>
      </c>
      <c r="AA281" s="27">
        <f>IF(R281,N281,"")</f>
        <v/>
      </c>
    </row>
    <row r="282">
      <c r="A282" s="31" t="n">
        <v>0</v>
      </c>
      <c r="B282" s="31" t="n">
        <v>0.4</v>
      </c>
      <c r="C282" s="31" t="n">
        <v>0.3</v>
      </c>
      <c r="D282" s="31" t="n">
        <v>0.3</v>
      </c>
      <c r="E282" s="27" t="inlineStr">
        <is>
          <t>1M 40%/2M 30%/3M 30%</t>
        </is>
      </c>
      <c r="F282" s="27" t="n">
        <v>25</v>
      </c>
      <c r="G282" s="27">
        <f>A282*$B$7&gt;=$B$9</f>
        <v/>
      </c>
      <c r="H282" s="13">
        <f>$B$7*(A282*E$71+B282*F$71+C282*G$71+D282*H$71)+F282/100*$B$7*J$71-$C$71</f>
        <v/>
      </c>
      <c r="I282" s="13">
        <f>$B$7*(A282*L$71+B282*M$71+C282*N$71+D282*O$71)+F282/100*$B$7*Q$71-$C$71</f>
        <v/>
      </c>
      <c r="J282" s="13">
        <f>$B$7*(A282*S$71+B282*T$71+C282*U$71+D282*V$71)+F282/100*$B$7*X$71-$C$71</f>
        <v/>
      </c>
      <c r="K282" s="13">
        <f>$B$7*(A282*Z$71+B282*AA$71+C282*AB$71+D282*AC$71)+F282/100*$B$7*AE$71-$C$71</f>
        <v/>
      </c>
      <c r="L282" s="13">
        <f>$B$7*(A282*AG$71+B282*AH$71+C282*AI$71+D282*AJ$71)+F282/100*$B$7*AL$71-$C$71</f>
        <v/>
      </c>
      <c r="M282" s="13">
        <f>$B$7*(A282*AN$71+B282*AO$71+C282*AP$71+D282*AQ$71)+F282/100*$B$7*AS$71-$C$71</f>
        <v/>
      </c>
      <c r="N282" s="13">
        <f>SUMPRODUCT($H$24:$M$24,H282:M282)</f>
        <v/>
      </c>
      <c r="O282" s="14">
        <f>SQRT(SUMPRODUCT($H$24:$M$24,(H282:M282-N282)^2))</f>
        <v/>
      </c>
      <c r="P282" s="13">
        <f>MIN(H282:M282)</f>
        <v/>
      </c>
      <c r="Q282" s="13">
        <f>MAX(H282:M282)</f>
        <v/>
      </c>
      <c r="R282" s="27">
        <f>IF(G282,SUMPRODUCT(($G$76:$G$1505)*($N$76:$N$1505&gt;=N282)*($O$76:$O$1505&lt;=O282))=1,FALSE)</f>
        <v/>
      </c>
      <c r="S282" s="16">
        <f>IF(R282,ABS((O282-$AC$76)/MAX(0.0001,$AC$77-$AC$76)-(N282-$AC$78)/MAX(0.0001,$AC$79-$AC$78)),-1)</f>
        <v/>
      </c>
      <c r="T282" s="14">
        <f>IF(G282,O282,NA())</f>
        <v/>
      </c>
      <c r="U282" s="13">
        <f>IF(G282,N282,NA())</f>
        <v/>
      </c>
      <c r="V282" s="14">
        <f>IF(R282,O282,NA())</f>
        <v/>
      </c>
      <c r="W282" s="13">
        <f>IF(R282,N282,NA())</f>
        <v/>
      </c>
      <c r="X282" s="27">
        <f>IF(G282,P282,"")</f>
        <v/>
      </c>
      <c r="Y282" s="27">
        <f>IF(G282,N282,"")</f>
        <v/>
      </c>
      <c r="Z282" s="27">
        <f>IF(R282,O282,"")</f>
        <v/>
      </c>
      <c r="AA282" s="27">
        <f>IF(R282,N282,"")</f>
        <v/>
      </c>
    </row>
    <row r="283">
      <c r="A283" s="31" t="n">
        <v>0</v>
      </c>
      <c r="B283" s="31" t="n">
        <v>0.4</v>
      </c>
      <c r="C283" s="31" t="n">
        <v>0.3</v>
      </c>
      <c r="D283" s="31" t="n">
        <v>0.3</v>
      </c>
      <c r="E283" s="27" t="inlineStr">
        <is>
          <t>1M 40%/2M 30%/3M 30%</t>
        </is>
      </c>
      <c r="F283" s="27" t="n">
        <v>50</v>
      </c>
      <c r="G283" s="27">
        <f>A283*$B$7&gt;=$B$9</f>
        <v/>
      </c>
      <c r="H283" s="13">
        <f>$B$7*(A283*E$71+B283*F$71+C283*G$71+D283*H$71)+F283/100*$B$7*J$71-$C$71</f>
        <v/>
      </c>
      <c r="I283" s="13">
        <f>$B$7*(A283*L$71+B283*M$71+C283*N$71+D283*O$71)+F283/100*$B$7*Q$71-$C$71</f>
        <v/>
      </c>
      <c r="J283" s="13">
        <f>$B$7*(A283*S$71+B283*T$71+C283*U$71+D283*V$71)+F283/100*$B$7*X$71-$C$71</f>
        <v/>
      </c>
      <c r="K283" s="13">
        <f>$B$7*(A283*Z$71+B283*AA$71+C283*AB$71+D283*AC$71)+F283/100*$B$7*AE$71-$C$71</f>
        <v/>
      </c>
      <c r="L283" s="13">
        <f>$B$7*(A283*AG$71+B283*AH$71+C283*AI$71+D283*AJ$71)+F283/100*$B$7*AL$71-$C$71</f>
        <v/>
      </c>
      <c r="M283" s="13">
        <f>$B$7*(A283*AN$71+B283*AO$71+C283*AP$71+D283*AQ$71)+F283/100*$B$7*AS$71-$C$71</f>
        <v/>
      </c>
      <c r="N283" s="13">
        <f>SUMPRODUCT($H$24:$M$24,H283:M283)</f>
        <v/>
      </c>
      <c r="O283" s="14">
        <f>SQRT(SUMPRODUCT($H$24:$M$24,(H283:M283-N283)^2))</f>
        <v/>
      </c>
      <c r="P283" s="13">
        <f>MIN(H283:M283)</f>
        <v/>
      </c>
      <c r="Q283" s="13">
        <f>MAX(H283:M283)</f>
        <v/>
      </c>
      <c r="R283" s="27">
        <f>IF(G283,SUMPRODUCT(($G$76:$G$1505)*($N$76:$N$1505&gt;=N283)*($O$76:$O$1505&lt;=O283))=1,FALSE)</f>
        <v/>
      </c>
      <c r="S283" s="16">
        <f>IF(R283,ABS((O283-$AC$76)/MAX(0.0001,$AC$77-$AC$76)-(N283-$AC$78)/MAX(0.0001,$AC$79-$AC$78)),-1)</f>
        <v/>
      </c>
      <c r="T283" s="14">
        <f>IF(G283,O283,NA())</f>
        <v/>
      </c>
      <c r="U283" s="13">
        <f>IF(G283,N283,NA())</f>
        <v/>
      </c>
      <c r="V283" s="14">
        <f>IF(R283,O283,NA())</f>
        <v/>
      </c>
      <c r="W283" s="13">
        <f>IF(R283,N283,NA())</f>
        <v/>
      </c>
      <c r="X283" s="27">
        <f>IF(G283,P283,"")</f>
        <v/>
      </c>
      <c r="Y283" s="27">
        <f>IF(G283,N283,"")</f>
        <v/>
      </c>
      <c r="Z283" s="27">
        <f>IF(R283,O283,"")</f>
        <v/>
      </c>
      <c r="AA283" s="27">
        <f>IF(R283,N283,"")</f>
        <v/>
      </c>
    </row>
    <row r="284">
      <c r="A284" s="31" t="n">
        <v>0</v>
      </c>
      <c r="B284" s="31" t="n">
        <v>0.4</v>
      </c>
      <c r="C284" s="31" t="n">
        <v>0.3</v>
      </c>
      <c r="D284" s="31" t="n">
        <v>0.3</v>
      </c>
      <c r="E284" s="27" t="inlineStr">
        <is>
          <t>1M 40%/2M 30%/3M 30%</t>
        </is>
      </c>
      <c r="F284" s="27" t="n">
        <v>75</v>
      </c>
      <c r="G284" s="27">
        <f>A284*$B$7&gt;=$B$9</f>
        <v/>
      </c>
      <c r="H284" s="13">
        <f>$B$7*(A284*E$71+B284*F$71+C284*G$71+D284*H$71)+F284/100*$B$7*J$71-$C$71</f>
        <v/>
      </c>
      <c r="I284" s="13">
        <f>$B$7*(A284*L$71+B284*M$71+C284*N$71+D284*O$71)+F284/100*$B$7*Q$71-$C$71</f>
        <v/>
      </c>
      <c r="J284" s="13">
        <f>$B$7*(A284*S$71+B284*T$71+C284*U$71+D284*V$71)+F284/100*$B$7*X$71-$C$71</f>
        <v/>
      </c>
      <c r="K284" s="13">
        <f>$B$7*(A284*Z$71+B284*AA$71+C284*AB$71+D284*AC$71)+F284/100*$B$7*AE$71-$C$71</f>
        <v/>
      </c>
      <c r="L284" s="13">
        <f>$B$7*(A284*AG$71+B284*AH$71+C284*AI$71+D284*AJ$71)+F284/100*$B$7*AL$71-$C$71</f>
        <v/>
      </c>
      <c r="M284" s="13">
        <f>$B$7*(A284*AN$71+B284*AO$71+C284*AP$71+D284*AQ$71)+F284/100*$B$7*AS$71-$C$71</f>
        <v/>
      </c>
      <c r="N284" s="13">
        <f>SUMPRODUCT($H$24:$M$24,H284:M284)</f>
        <v/>
      </c>
      <c r="O284" s="14">
        <f>SQRT(SUMPRODUCT($H$24:$M$24,(H284:M284-N284)^2))</f>
        <v/>
      </c>
      <c r="P284" s="13">
        <f>MIN(H284:M284)</f>
        <v/>
      </c>
      <c r="Q284" s="13">
        <f>MAX(H284:M284)</f>
        <v/>
      </c>
      <c r="R284" s="27">
        <f>IF(G284,SUMPRODUCT(($G$76:$G$1505)*($N$76:$N$1505&gt;=N284)*($O$76:$O$1505&lt;=O284))=1,FALSE)</f>
        <v/>
      </c>
      <c r="S284" s="16">
        <f>IF(R284,ABS((O284-$AC$76)/MAX(0.0001,$AC$77-$AC$76)-(N284-$AC$78)/MAX(0.0001,$AC$79-$AC$78)),-1)</f>
        <v/>
      </c>
      <c r="T284" s="14">
        <f>IF(G284,O284,NA())</f>
        <v/>
      </c>
      <c r="U284" s="13">
        <f>IF(G284,N284,NA())</f>
        <v/>
      </c>
      <c r="V284" s="14">
        <f>IF(R284,O284,NA())</f>
        <v/>
      </c>
      <c r="W284" s="13">
        <f>IF(R284,N284,NA())</f>
        <v/>
      </c>
      <c r="X284" s="27">
        <f>IF(G284,P284,"")</f>
        <v/>
      </c>
      <c r="Y284" s="27">
        <f>IF(G284,N284,"")</f>
        <v/>
      </c>
      <c r="Z284" s="27">
        <f>IF(R284,O284,"")</f>
        <v/>
      </c>
      <c r="AA284" s="27">
        <f>IF(R284,N284,"")</f>
        <v/>
      </c>
    </row>
    <row r="285">
      <c r="A285" s="31" t="n">
        <v>0</v>
      </c>
      <c r="B285" s="31" t="n">
        <v>0.4</v>
      </c>
      <c r="C285" s="31" t="n">
        <v>0.3</v>
      </c>
      <c r="D285" s="31" t="n">
        <v>0.3</v>
      </c>
      <c r="E285" s="27" t="inlineStr">
        <is>
          <t>1M 40%/2M 30%/3M 30%</t>
        </is>
      </c>
      <c r="F285" s="27" t="n">
        <v>100</v>
      </c>
      <c r="G285" s="27">
        <f>A285*$B$7&gt;=$B$9</f>
        <v/>
      </c>
      <c r="H285" s="13">
        <f>$B$7*(A285*E$71+B285*F$71+C285*G$71+D285*H$71)+F285/100*$B$7*J$71-$C$71</f>
        <v/>
      </c>
      <c r="I285" s="13">
        <f>$B$7*(A285*L$71+B285*M$71+C285*N$71+D285*O$71)+F285/100*$B$7*Q$71-$C$71</f>
        <v/>
      </c>
      <c r="J285" s="13">
        <f>$B$7*(A285*S$71+B285*T$71+C285*U$71+D285*V$71)+F285/100*$B$7*X$71-$C$71</f>
        <v/>
      </c>
      <c r="K285" s="13">
        <f>$B$7*(A285*Z$71+B285*AA$71+C285*AB$71+D285*AC$71)+F285/100*$B$7*AE$71-$C$71</f>
        <v/>
      </c>
      <c r="L285" s="13">
        <f>$B$7*(A285*AG$71+B285*AH$71+C285*AI$71+D285*AJ$71)+F285/100*$B$7*AL$71-$C$71</f>
        <v/>
      </c>
      <c r="M285" s="13">
        <f>$B$7*(A285*AN$71+B285*AO$71+C285*AP$71+D285*AQ$71)+F285/100*$B$7*AS$71-$C$71</f>
        <v/>
      </c>
      <c r="N285" s="13">
        <f>SUMPRODUCT($H$24:$M$24,H285:M285)</f>
        <v/>
      </c>
      <c r="O285" s="14">
        <f>SQRT(SUMPRODUCT($H$24:$M$24,(H285:M285-N285)^2))</f>
        <v/>
      </c>
      <c r="P285" s="13">
        <f>MIN(H285:M285)</f>
        <v/>
      </c>
      <c r="Q285" s="13">
        <f>MAX(H285:M285)</f>
        <v/>
      </c>
      <c r="R285" s="27">
        <f>IF(G285,SUMPRODUCT(($G$76:$G$1505)*($N$76:$N$1505&gt;=N285)*($O$76:$O$1505&lt;=O285))=1,FALSE)</f>
        <v/>
      </c>
      <c r="S285" s="16">
        <f>IF(R285,ABS((O285-$AC$76)/MAX(0.0001,$AC$77-$AC$76)-(N285-$AC$78)/MAX(0.0001,$AC$79-$AC$78)),-1)</f>
        <v/>
      </c>
      <c r="T285" s="14">
        <f>IF(G285,O285,NA())</f>
        <v/>
      </c>
      <c r="U285" s="13">
        <f>IF(G285,N285,NA())</f>
        <v/>
      </c>
      <c r="V285" s="14">
        <f>IF(R285,O285,NA())</f>
        <v/>
      </c>
      <c r="W285" s="13">
        <f>IF(R285,N285,NA())</f>
        <v/>
      </c>
      <c r="X285" s="27">
        <f>IF(G285,P285,"")</f>
        <v/>
      </c>
      <c r="Y285" s="27">
        <f>IF(G285,N285,"")</f>
        <v/>
      </c>
      <c r="Z285" s="27">
        <f>IF(R285,O285,"")</f>
        <v/>
      </c>
      <c r="AA285" s="27">
        <f>IF(R285,N285,"")</f>
        <v/>
      </c>
    </row>
    <row r="286">
      <c r="A286" s="31" t="n">
        <v>0</v>
      </c>
      <c r="B286" s="31" t="n">
        <v>0.4</v>
      </c>
      <c r="C286" s="31" t="n">
        <v>0.4</v>
      </c>
      <c r="D286" s="31" t="n">
        <v>0.2</v>
      </c>
      <c r="E286" s="27" t="inlineStr">
        <is>
          <t>1M 40%/2M 40%/3M 20%</t>
        </is>
      </c>
      <c r="F286" s="27" t="n">
        <v>0</v>
      </c>
      <c r="G286" s="27">
        <f>A286*$B$7&gt;=$B$9</f>
        <v/>
      </c>
      <c r="H286" s="13">
        <f>$B$7*(A286*E$71+B286*F$71+C286*G$71+D286*H$71)+F286/100*$B$7*J$71-$C$71</f>
        <v/>
      </c>
      <c r="I286" s="13">
        <f>$B$7*(A286*L$71+B286*M$71+C286*N$71+D286*O$71)+F286/100*$B$7*Q$71-$C$71</f>
        <v/>
      </c>
      <c r="J286" s="13">
        <f>$B$7*(A286*S$71+B286*T$71+C286*U$71+D286*V$71)+F286/100*$B$7*X$71-$C$71</f>
        <v/>
      </c>
      <c r="K286" s="13">
        <f>$B$7*(A286*Z$71+B286*AA$71+C286*AB$71+D286*AC$71)+F286/100*$B$7*AE$71-$C$71</f>
        <v/>
      </c>
      <c r="L286" s="13">
        <f>$B$7*(A286*AG$71+B286*AH$71+C286*AI$71+D286*AJ$71)+F286/100*$B$7*AL$71-$C$71</f>
        <v/>
      </c>
      <c r="M286" s="13">
        <f>$B$7*(A286*AN$71+B286*AO$71+C286*AP$71+D286*AQ$71)+F286/100*$B$7*AS$71-$C$71</f>
        <v/>
      </c>
      <c r="N286" s="13">
        <f>SUMPRODUCT($H$24:$M$24,H286:M286)</f>
        <v/>
      </c>
      <c r="O286" s="14">
        <f>SQRT(SUMPRODUCT($H$24:$M$24,(H286:M286-N286)^2))</f>
        <v/>
      </c>
      <c r="P286" s="13">
        <f>MIN(H286:M286)</f>
        <v/>
      </c>
      <c r="Q286" s="13">
        <f>MAX(H286:M286)</f>
        <v/>
      </c>
      <c r="R286" s="27">
        <f>IF(G286,SUMPRODUCT(($G$76:$G$1505)*($N$76:$N$1505&gt;=N286)*($O$76:$O$1505&lt;=O286))=1,FALSE)</f>
        <v/>
      </c>
      <c r="S286" s="16">
        <f>IF(R286,ABS((O286-$AC$76)/MAX(0.0001,$AC$77-$AC$76)-(N286-$AC$78)/MAX(0.0001,$AC$79-$AC$78)),-1)</f>
        <v/>
      </c>
      <c r="T286" s="14">
        <f>IF(G286,O286,NA())</f>
        <v/>
      </c>
      <c r="U286" s="13">
        <f>IF(G286,N286,NA())</f>
        <v/>
      </c>
      <c r="V286" s="14">
        <f>IF(R286,O286,NA())</f>
        <v/>
      </c>
      <c r="W286" s="13">
        <f>IF(R286,N286,NA())</f>
        <v/>
      </c>
      <c r="X286" s="27">
        <f>IF(G286,P286,"")</f>
        <v/>
      </c>
      <c r="Y286" s="27">
        <f>IF(G286,N286,"")</f>
        <v/>
      </c>
      <c r="Z286" s="27">
        <f>IF(R286,O286,"")</f>
        <v/>
      </c>
      <c r="AA286" s="27">
        <f>IF(R286,N286,"")</f>
        <v/>
      </c>
    </row>
    <row r="287">
      <c r="A287" s="31" t="n">
        <v>0</v>
      </c>
      <c r="B287" s="31" t="n">
        <v>0.4</v>
      </c>
      <c r="C287" s="31" t="n">
        <v>0.4</v>
      </c>
      <c r="D287" s="31" t="n">
        <v>0.2</v>
      </c>
      <c r="E287" s="27" t="inlineStr">
        <is>
          <t>1M 40%/2M 40%/3M 20%</t>
        </is>
      </c>
      <c r="F287" s="27" t="n">
        <v>25</v>
      </c>
      <c r="G287" s="27">
        <f>A287*$B$7&gt;=$B$9</f>
        <v/>
      </c>
      <c r="H287" s="13">
        <f>$B$7*(A287*E$71+B287*F$71+C287*G$71+D287*H$71)+F287/100*$B$7*J$71-$C$71</f>
        <v/>
      </c>
      <c r="I287" s="13">
        <f>$B$7*(A287*L$71+B287*M$71+C287*N$71+D287*O$71)+F287/100*$B$7*Q$71-$C$71</f>
        <v/>
      </c>
      <c r="J287" s="13">
        <f>$B$7*(A287*S$71+B287*T$71+C287*U$71+D287*V$71)+F287/100*$B$7*X$71-$C$71</f>
        <v/>
      </c>
      <c r="K287" s="13">
        <f>$B$7*(A287*Z$71+B287*AA$71+C287*AB$71+D287*AC$71)+F287/100*$B$7*AE$71-$C$71</f>
        <v/>
      </c>
      <c r="L287" s="13">
        <f>$B$7*(A287*AG$71+B287*AH$71+C287*AI$71+D287*AJ$71)+F287/100*$B$7*AL$71-$C$71</f>
        <v/>
      </c>
      <c r="M287" s="13">
        <f>$B$7*(A287*AN$71+B287*AO$71+C287*AP$71+D287*AQ$71)+F287/100*$B$7*AS$71-$C$71</f>
        <v/>
      </c>
      <c r="N287" s="13">
        <f>SUMPRODUCT($H$24:$M$24,H287:M287)</f>
        <v/>
      </c>
      <c r="O287" s="14">
        <f>SQRT(SUMPRODUCT($H$24:$M$24,(H287:M287-N287)^2))</f>
        <v/>
      </c>
      <c r="P287" s="13">
        <f>MIN(H287:M287)</f>
        <v/>
      </c>
      <c r="Q287" s="13">
        <f>MAX(H287:M287)</f>
        <v/>
      </c>
      <c r="R287" s="27">
        <f>IF(G287,SUMPRODUCT(($G$76:$G$1505)*($N$76:$N$1505&gt;=N287)*($O$76:$O$1505&lt;=O287))=1,FALSE)</f>
        <v/>
      </c>
      <c r="S287" s="16">
        <f>IF(R287,ABS((O287-$AC$76)/MAX(0.0001,$AC$77-$AC$76)-(N287-$AC$78)/MAX(0.0001,$AC$79-$AC$78)),-1)</f>
        <v/>
      </c>
      <c r="T287" s="14">
        <f>IF(G287,O287,NA())</f>
        <v/>
      </c>
      <c r="U287" s="13">
        <f>IF(G287,N287,NA())</f>
        <v/>
      </c>
      <c r="V287" s="14">
        <f>IF(R287,O287,NA())</f>
        <v/>
      </c>
      <c r="W287" s="13">
        <f>IF(R287,N287,NA())</f>
        <v/>
      </c>
      <c r="X287" s="27">
        <f>IF(G287,P287,"")</f>
        <v/>
      </c>
      <c r="Y287" s="27">
        <f>IF(G287,N287,"")</f>
        <v/>
      </c>
      <c r="Z287" s="27">
        <f>IF(R287,O287,"")</f>
        <v/>
      </c>
      <c r="AA287" s="27">
        <f>IF(R287,N287,"")</f>
        <v/>
      </c>
    </row>
    <row r="288">
      <c r="A288" s="31" t="n">
        <v>0</v>
      </c>
      <c r="B288" s="31" t="n">
        <v>0.4</v>
      </c>
      <c r="C288" s="31" t="n">
        <v>0.4</v>
      </c>
      <c r="D288" s="31" t="n">
        <v>0.2</v>
      </c>
      <c r="E288" s="27" t="inlineStr">
        <is>
          <t>1M 40%/2M 40%/3M 20%</t>
        </is>
      </c>
      <c r="F288" s="27" t="n">
        <v>50</v>
      </c>
      <c r="G288" s="27">
        <f>A288*$B$7&gt;=$B$9</f>
        <v/>
      </c>
      <c r="H288" s="13">
        <f>$B$7*(A288*E$71+B288*F$71+C288*G$71+D288*H$71)+F288/100*$B$7*J$71-$C$71</f>
        <v/>
      </c>
      <c r="I288" s="13">
        <f>$B$7*(A288*L$71+B288*M$71+C288*N$71+D288*O$71)+F288/100*$B$7*Q$71-$C$71</f>
        <v/>
      </c>
      <c r="J288" s="13">
        <f>$B$7*(A288*S$71+B288*T$71+C288*U$71+D288*V$71)+F288/100*$B$7*X$71-$C$71</f>
        <v/>
      </c>
      <c r="K288" s="13">
        <f>$B$7*(A288*Z$71+B288*AA$71+C288*AB$71+D288*AC$71)+F288/100*$B$7*AE$71-$C$71</f>
        <v/>
      </c>
      <c r="L288" s="13">
        <f>$B$7*(A288*AG$71+B288*AH$71+C288*AI$71+D288*AJ$71)+F288/100*$B$7*AL$71-$C$71</f>
        <v/>
      </c>
      <c r="M288" s="13">
        <f>$B$7*(A288*AN$71+B288*AO$71+C288*AP$71+D288*AQ$71)+F288/100*$B$7*AS$71-$C$71</f>
        <v/>
      </c>
      <c r="N288" s="13">
        <f>SUMPRODUCT($H$24:$M$24,H288:M288)</f>
        <v/>
      </c>
      <c r="O288" s="14">
        <f>SQRT(SUMPRODUCT($H$24:$M$24,(H288:M288-N288)^2))</f>
        <v/>
      </c>
      <c r="P288" s="13">
        <f>MIN(H288:M288)</f>
        <v/>
      </c>
      <c r="Q288" s="13">
        <f>MAX(H288:M288)</f>
        <v/>
      </c>
      <c r="R288" s="27">
        <f>IF(G288,SUMPRODUCT(($G$76:$G$1505)*($N$76:$N$1505&gt;=N288)*($O$76:$O$1505&lt;=O288))=1,FALSE)</f>
        <v/>
      </c>
      <c r="S288" s="16">
        <f>IF(R288,ABS((O288-$AC$76)/MAX(0.0001,$AC$77-$AC$76)-(N288-$AC$78)/MAX(0.0001,$AC$79-$AC$78)),-1)</f>
        <v/>
      </c>
      <c r="T288" s="14">
        <f>IF(G288,O288,NA())</f>
        <v/>
      </c>
      <c r="U288" s="13">
        <f>IF(G288,N288,NA())</f>
        <v/>
      </c>
      <c r="V288" s="14">
        <f>IF(R288,O288,NA())</f>
        <v/>
      </c>
      <c r="W288" s="13">
        <f>IF(R288,N288,NA())</f>
        <v/>
      </c>
      <c r="X288" s="27">
        <f>IF(G288,P288,"")</f>
        <v/>
      </c>
      <c r="Y288" s="27">
        <f>IF(G288,N288,"")</f>
        <v/>
      </c>
      <c r="Z288" s="27">
        <f>IF(R288,O288,"")</f>
        <v/>
      </c>
      <c r="AA288" s="27">
        <f>IF(R288,N288,"")</f>
        <v/>
      </c>
    </row>
    <row r="289">
      <c r="A289" s="31" t="n">
        <v>0</v>
      </c>
      <c r="B289" s="31" t="n">
        <v>0.4</v>
      </c>
      <c r="C289" s="31" t="n">
        <v>0.4</v>
      </c>
      <c r="D289" s="31" t="n">
        <v>0.2</v>
      </c>
      <c r="E289" s="27" t="inlineStr">
        <is>
          <t>1M 40%/2M 40%/3M 20%</t>
        </is>
      </c>
      <c r="F289" s="27" t="n">
        <v>75</v>
      </c>
      <c r="G289" s="27">
        <f>A289*$B$7&gt;=$B$9</f>
        <v/>
      </c>
      <c r="H289" s="13">
        <f>$B$7*(A289*E$71+B289*F$71+C289*G$71+D289*H$71)+F289/100*$B$7*J$71-$C$71</f>
        <v/>
      </c>
      <c r="I289" s="13">
        <f>$B$7*(A289*L$71+B289*M$71+C289*N$71+D289*O$71)+F289/100*$B$7*Q$71-$C$71</f>
        <v/>
      </c>
      <c r="J289" s="13">
        <f>$B$7*(A289*S$71+B289*T$71+C289*U$71+D289*V$71)+F289/100*$B$7*X$71-$C$71</f>
        <v/>
      </c>
      <c r="K289" s="13">
        <f>$B$7*(A289*Z$71+B289*AA$71+C289*AB$71+D289*AC$71)+F289/100*$B$7*AE$71-$C$71</f>
        <v/>
      </c>
      <c r="L289" s="13">
        <f>$B$7*(A289*AG$71+B289*AH$71+C289*AI$71+D289*AJ$71)+F289/100*$B$7*AL$71-$C$71</f>
        <v/>
      </c>
      <c r="M289" s="13">
        <f>$B$7*(A289*AN$71+B289*AO$71+C289*AP$71+D289*AQ$71)+F289/100*$B$7*AS$71-$C$71</f>
        <v/>
      </c>
      <c r="N289" s="13">
        <f>SUMPRODUCT($H$24:$M$24,H289:M289)</f>
        <v/>
      </c>
      <c r="O289" s="14">
        <f>SQRT(SUMPRODUCT($H$24:$M$24,(H289:M289-N289)^2))</f>
        <v/>
      </c>
      <c r="P289" s="13">
        <f>MIN(H289:M289)</f>
        <v/>
      </c>
      <c r="Q289" s="13">
        <f>MAX(H289:M289)</f>
        <v/>
      </c>
      <c r="R289" s="27">
        <f>IF(G289,SUMPRODUCT(($G$76:$G$1505)*($N$76:$N$1505&gt;=N289)*($O$76:$O$1505&lt;=O289))=1,FALSE)</f>
        <v/>
      </c>
      <c r="S289" s="16">
        <f>IF(R289,ABS((O289-$AC$76)/MAX(0.0001,$AC$77-$AC$76)-(N289-$AC$78)/MAX(0.0001,$AC$79-$AC$78)),-1)</f>
        <v/>
      </c>
      <c r="T289" s="14">
        <f>IF(G289,O289,NA())</f>
        <v/>
      </c>
      <c r="U289" s="13">
        <f>IF(G289,N289,NA())</f>
        <v/>
      </c>
      <c r="V289" s="14">
        <f>IF(R289,O289,NA())</f>
        <v/>
      </c>
      <c r="W289" s="13">
        <f>IF(R289,N289,NA())</f>
        <v/>
      </c>
      <c r="X289" s="27">
        <f>IF(G289,P289,"")</f>
        <v/>
      </c>
      <c r="Y289" s="27">
        <f>IF(G289,N289,"")</f>
        <v/>
      </c>
      <c r="Z289" s="27">
        <f>IF(R289,O289,"")</f>
        <v/>
      </c>
      <c r="AA289" s="27">
        <f>IF(R289,N289,"")</f>
        <v/>
      </c>
    </row>
    <row r="290">
      <c r="A290" s="31" t="n">
        <v>0</v>
      </c>
      <c r="B290" s="31" t="n">
        <v>0.4</v>
      </c>
      <c r="C290" s="31" t="n">
        <v>0.4</v>
      </c>
      <c r="D290" s="31" t="n">
        <v>0.2</v>
      </c>
      <c r="E290" s="27" t="inlineStr">
        <is>
          <t>1M 40%/2M 40%/3M 20%</t>
        </is>
      </c>
      <c r="F290" s="27" t="n">
        <v>100</v>
      </c>
      <c r="G290" s="27">
        <f>A290*$B$7&gt;=$B$9</f>
        <v/>
      </c>
      <c r="H290" s="13">
        <f>$B$7*(A290*E$71+B290*F$71+C290*G$71+D290*H$71)+F290/100*$B$7*J$71-$C$71</f>
        <v/>
      </c>
      <c r="I290" s="13">
        <f>$B$7*(A290*L$71+B290*M$71+C290*N$71+D290*O$71)+F290/100*$B$7*Q$71-$C$71</f>
        <v/>
      </c>
      <c r="J290" s="13">
        <f>$B$7*(A290*S$71+B290*T$71+C290*U$71+D290*V$71)+F290/100*$B$7*X$71-$C$71</f>
        <v/>
      </c>
      <c r="K290" s="13">
        <f>$B$7*(A290*Z$71+B290*AA$71+C290*AB$71+D290*AC$71)+F290/100*$B$7*AE$71-$C$71</f>
        <v/>
      </c>
      <c r="L290" s="13">
        <f>$B$7*(A290*AG$71+B290*AH$71+C290*AI$71+D290*AJ$71)+F290/100*$B$7*AL$71-$C$71</f>
        <v/>
      </c>
      <c r="M290" s="13">
        <f>$B$7*(A290*AN$71+B290*AO$71+C290*AP$71+D290*AQ$71)+F290/100*$B$7*AS$71-$C$71</f>
        <v/>
      </c>
      <c r="N290" s="13">
        <f>SUMPRODUCT($H$24:$M$24,H290:M290)</f>
        <v/>
      </c>
      <c r="O290" s="14">
        <f>SQRT(SUMPRODUCT($H$24:$M$24,(H290:M290-N290)^2))</f>
        <v/>
      </c>
      <c r="P290" s="13">
        <f>MIN(H290:M290)</f>
        <v/>
      </c>
      <c r="Q290" s="13">
        <f>MAX(H290:M290)</f>
        <v/>
      </c>
      <c r="R290" s="27">
        <f>IF(G290,SUMPRODUCT(($G$76:$G$1505)*($N$76:$N$1505&gt;=N290)*($O$76:$O$1505&lt;=O290))=1,FALSE)</f>
        <v/>
      </c>
      <c r="S290" s="16">
        <f>IF(R290,ABS((O290-$AC$76)/MAX(0.0001,$AC$77-$AC$76)-(N290-$AC$78)/MAX(0.0001,$AC$79-$AC$78)),-1)</f>
        <v/>
      </c>
      <c r="T290" s="14">
        <f>IF(G290,O290,NA())</f>
        <v/>
      </c>
      <c r="U290" s="13">
        <f>IF(G290,N290,NA())</f>
        <v/>
      </c>
      <c r="V290" s="14">
        <f>IF(R290,O290,NA())</f>
        <v/>
      </c>
      <c r="W290" s="13">
        <f>IF(R290,N290,NA())</f>
        <v/>
      </c>
      <c r="X290" s="27">
        <f>IF(G290,P290,"")</f>
        <v/>
      </c>
      <c r="Y290" s="27">
        <f>IF(G290,N290,"")</f>
        <v/>
      </c>
      <c r="Z290" s="27">
        <f>IF(R290,O290,"")</f>
        <v/>
      </c>
      <c r="AA290" s="27">
        <f>IF(R290,N290,"")</f>
        <v/>
      </c>
    </row>
    <row r="291">
      <c r="A291" s="31" t="n">
        <v>0</v>
      </c>
      <c r="B291" s="31" t="n">
        <v>0.4</v>
      </c>
      <c r="C291" s="31" t="n">
        <v>0.5</v>
      </c>
      <c r="D291" s="31" t="n">
        <v>0.1</v>
      </c>
      <c r="E291" s="27" t="inlineStr">
        <is>
          <t>1M 40%/2M 50%/3M 10%</t>
        </is>
      </c>
      <c r="F291" s="27" t="n">
        <v>0</v>
      </c>
      <c r="G291" s="27">
        <f>A291*$B$7&gt;=$B$9</f>
        <v/>
      </c>
      <c r="H291" s="13">
        <f>$B$7*(A291*E$71+B291*F$71+C291*G$71+D291*H$71)+F291/100*$B$7*J$71-$C$71</f>
        <v/>
      </c>
      <c r="I291" s="13">
        <f>$B$7*(A291*L$71+B291*M$71+C291*N$71+D291*O$71)+F291/100*$B$7*Q$71-$C$71</f>
        <v/>
      </c>
      <c r="J291" s="13">
        <f>$B$7*(A291*S$71+B291*T$71+C291*U$71+D291*V$71)+F291/100*$B$7*X$71-$C$71</f>
        <v/>
      </c>
      <c r="K291" s="13">
        <f>$B$7*(A291*Z$71+B291*AA$71+C291*AB$71+D291*AC$71)+F291/100*$B$7*AE$71-$C$71</f>
        <v/>
      </c>
      <c r="L291" s="13">
        <f>$B$7*(A291*AG$71+B291*AH$71+C291*AI$71+D291*AJ$71)+F291/100*$B$7*AL$71-$C$71</f>
        <v/>
      </c>
      <c r="M291" s="13">
        <f>$B$7*(A291*AN$71+B291*AO$71+C291*AP$71+D291*AQ$71)+F291/100*$B$7*AS$71-$C$71</f>
        <v/>
      </c>
      <c r="N291" s="13">
        <f>SUMPRODUCT($H$24:$M$24,H291:M291)</f>
        <v/>
      </c>
      <c r="O291" s="14">
        <f>SQRT(SUMPRODUCT($H$24:$M$24,(H291:M291-N291)^2))</f>
        <v/>
      </c>
      <c r="P291" s="13">
        <f>MIN(H291:M291)</f>
        <v/>
      </c>
      <c r="Q291" s="13">
        <f>MAX(H291:M291)</f>
        <v/>
      </c>
      <c r="R291" s="27">
        <f>IF(G291,SUMPRODUCT(($G$76:$G$1505)*($N$76:$N$1505&gt;=N291)*($O$76:$O$1505&lt;=O291))=1,FALSE)</f>
        <v/>
      </c>
      <c r="S291" s="16">
        <f>IF(R291,ABS((O291-$AC$76)/MAX(0.0001,$AC$77-$AC$76)-(N291-$AC$78)/MAX(0.0001,$AC$79-$AC$78)),-1)</f>
        <v/>
      </c>
      <c r="T291" s="14">
        <f>IF(G291,O291,NA())</f>
        <v/>
      </c>
      <c r="U291" s="13">
        <f>IF(G291,N291,NA())</f>
        <v/>
      </c>
      <c r="V291" s="14">
        <f>IF(R291,O291,NA())</f>
        <v/>
      </c>
      <c r="W291" s="13">
        <f>IF(R291,N291,NA())</f>
        <v/>
      </c>
      <c r="X291" s="27">
        <f>IF(G291,P291,"")</f>
        <v/>
      </c>
      <c r="Y291" s="27">
        <f>IF(G291,N291,"")</f>
        <v/>
      </c>
      <c r="Z291" s="27">
        <f>IF(R291,O291,"")</f>
        <v/>
      </c>
      <c r="AA291" s="27">
        <f>IF(R291,N291,"")</f>
        <v/>
      </c>
    </row>
    <row r="292">
      <c r="A292" s="31" t="n">
        <v>0</v>
      </c>
      <c r="B292" s="31" t="n">
        <v>0.4</v>
      </c>
      <c r="C292" s="31" t="n">
        <v>0.5</v>
      </c>
      <c r="D292" s="31" t="n">
        <v>0.1</v>
      </c>
      <c r="E292" s="27" t="inlineStr">
        <is>
          <t>1M 40%/2M 50%/3M 10%</t>
        </is>
      </c>
      <c r="F292" s="27" t="n">
        <v>25</v>
      </c>
      <c r="G292" s="27">
        <f>A292*$B$7&gt;=$B$9</f>
        <v/>
      </c>
      <c r="H292" s="13">
        <f>$B$7*(A292*E$71+B292*F$71+C292*G$71+D292*H$71)+F292/100*$B$7*J$71-$C$71</f>
        <v/>
      </c>
      <c r="I292" s="13">
        <f>$B$7*(A292*L$71+B292*M$71+C292*N$71+D292*O$71)+F292/100*$B$7*Q$71-$C$71</f>
        <v/>
      </c>
      <c r="J292" s="13">
        <f>$B$7*(A292*S$71+B292*T$71+C292*U$71+D292*V$71)+F292/100*$B$7*X$71-$C$71</f>
        <v/>
      </c>
      <c r="K292" s="13">
        <f>$B$7*(A292*Z$71+B292*AA$71+C292*AB$71+D292*AC$71)+F292/100*$B$7*AE$71-$C$71</f>
        <v/>
      </c>
      <c r="L292" s="13">
        <f>$B$7*(A292*AG$71+B292*AH$71+C292*AI$71+D292*AJ$71)+F292/100*$B$7*AL$71-$C$71</f>
        <v/>
      </c>
      <c r="M292" s="13">
        <f>$B$7*(A292*AN$71+B292*AO$71+C292*AP$71+D292*AQ$71)+F292/100*$B$7*AS$71-$C$71</f>
        <v/>
      </c>
      <c r="N292" s="13">
        <f>SUMPRODUCT($H$24:$M$24,H292:M292)</f>
        <v/>
      </c>
      <c r="O292" s="14">
        <f>SQRT(SUMPRODUCT($H$24:$M$24,(H292:M292-N292)^2))</f>
        <v/>
      </c>
      <c r="P292" s="13">
        <f>MIN(H292:M292)</f>
        <v/>
      </c>
      <c r="Q292" s="13">
        <f>MAX(H292:M292)</f>
        <v/>
      </c>
      <c r="R292" s="27">
        <f>IF(G292,SUMPRODUCT(($G$76:$G$1505)*($N$76:$N$1505&gt;=N292)*($O$76:$O$1505&lt;=O292))=1,FALSE)</f>
        <v/>
      </c>
      <c r="S292" s="16">
        <f>IF(R292,ABS((O292-$AC$76)/MAX(0.0001,$AC$77-$AC$76)-(N292-$AC$78)/MAX(0.0001,$AC$79-$AC$78)),-1)</f>
        <v/>
      </c>
      <c r="T292" s="14">
        <f>IF(G292,O292,NA())</f>
        <v/>
      </c>
      <c r="U292" s="13">
        <f>IF(G292,N292,NA())</f>
        <v/>
      </c>
      <c r="V292" s="14">
        <f>IF(R292,O292,NA())</f>
        <v/>
      </c>
      <c r="W292" s="13">
        <f>IF(R292,N292,NA())</f>
        <v/>
      </c>
      <c r="X292" s="27">
        <f>IF(G292,P292,"")</f>
        <v/>
      </c>
      <c r="Y292" s="27">
        <f>IF(G292,N292,"")</f>
        <v/>
      </c>
      <c r="Z292" s="27">
        <f>IF(R292,O292,"")</f>
        <v/>
      </c>
      <c r="AA292" s="27">
        <f>IF(R292,N292,"")</f>
        <v/>
      </c>
    </row>
    <row r="293">
      <c r="A293" s="31" t="n">
        <v>0</v>
      </c>
      <c r="B293" s="31" t="n">
        <v>0.4</v>
      </c>
      <c r="C293" s="31" t="n">
        <v>0.5</v>
      </c>
      <c r="D293" s="31" t="n">
        <v>0.1</v>
      </c>
      <c r="E293" s="27" t="inlineStr">
        <is>
          <t>1M 40%/2M 50%/3M 10%</t>
        </is>
      </c>
      <c r="F293" s="27" t="n">
        <v>50</v>
      </c>
      <c r="G293" s="27">
        <f>A293*$B$7&gt;=$B$9</f>
        <v/>
      </c>
      <c r="H293" s="13">
        <f>$B$7*(A293*E$71+B293*F$71+C293*G$71+D293*H$71)+F293/100*$B$7*J$71-$C$71</f>
        <v/>
      </c>
      <c r="I293" s="13">
        <f>$B$7*(A293*L$71+B293*M$71+C293*N$71+D293*O$71)+F293/100*$B$7*Q$71-$C$71</f>
        <v/>
      </c>
      <c r="J293" s="13">
        <f>$B$7*(A293*S$71+B293*T$71+C293*U$71+D293*V$71)+F293/100*$B$7*X$71-$C$71</f>
        <v/>
      </c>
      <c r="K293" s="13">
        <f>$B$7*(A293*Z$71+B293*AA$71+C293*AB$71+D293*AC$71)+F293/100*$B$7*AE$71-$C$71</f>
        <v/>
      </c>
      <c r="L293" s="13">
        <f>$B$7*(A293*AG$71+B293*AH$71+C293*AI$71+D293*AJ$71)+F293/100*$B$7*AL$71-$C$71</f>
        <v/>
      </c>
      <c r="M293" s="13">
        <f>$B$7*(A293*AN$71+B293*AO$71+C293*AP$71+D293*AQ$71)+F293/100*$B$7*AS$71-$C$71</f>
        <v/>
      </c>
      <c r="N293" s="13">
        <f>SUMPRODUCT($H$24:$M$24,H293:M293)</f>
        <v/>
      </c>
      <c r="O293" s="14">
        <f>SQRT(SUMPRODUCT($H$24:$M$24,(H293:M293-N293)^2))</f>
        <v/>
      </c>
      <c r="P293" s="13">
        <f>MIN(H293:M293)</f>
        <v/>
      </c>
      <c r="Q293" s="13">
        <f>MAX(H293:M293)</f>
        <v/>
      </c>
      <c r="R293" s="27">
        <f>IF(G293,SUMPRODUCT(($G$76:$G$1505)*($N$76:$N$1505&gt;=N293)*($O$76:$O$1505&lt;=O293))=1,FALSE)</f>
        <v/>
      </c>
      <c r="S293" s="16">
        <f>IF(R293,ABS((O293-$AC$76)/MAX(0.0001,$AC$77-$AC$76)-(N293-$AC$78)/MAX(0.0001,$AC$79-$AC$78)),-1)</f>
        <v/>
      </c>
      <c r="T293" s="14">
        <f>IF(G293,O293,NA())</f>
        <v/>
      </c>
      <c r="U293" s="13">
        <f>IF(G293,N293,NA())</f>
        <v/>
      </c>
      <c r="V293" s="14">
        <f>IF(R293,O293,NA())</f>
        <v/>
      </c>
      <c r="W293" s="13">
        <f>IF(R293,N293,NA())</f>
        <v/>
      </c>
      <c r="X293" s="27">
        <f>IF(G293,P293,"")</f>
        <v/>
      </c>
      <c r="Y293" s="27">
        <f>IF(G293,N293,"")</f>
        <v/>
      </c>
      <c r="Z293" s="27">
        <f>IF(R293,O293,"")</f>
        <v/>
      </c>
      <c r="AA293" s="27">
        <f>IF(R293,N293,"")</f>
        <v/>
      </c>
    </row>
    <row r="294">
      <c r="A294" s="31" t="n">
        <v>0</v>
      </c>
      <c r="B294" s="31" t="n">
        <v>0.4</v>
      </c>
      <c r="C294" s="31" t="n">
        <v>0.5</v>
      </c>
      <c r="D294" s="31" t="n">
        <v>0.1</v>
      </c>
      <c r="E294" s="27" t="inlineStr">
        <is>
          <t>1M 40%/2M 50%/3M 10%</t>
        </is>
      </c>
      <c r="F294" s="27" t="n">
        <v>75</v>
      </c>
      <c r="G294" s="27">
        <f>A294*$B$7&gt;=$B$9</f>
        <v/>
      </c>
      <c r="H294" s="13">
        <f>$B$7*(A294*E$71+B294*F$71+C294*G$71+D294*H$71)+F294/100*$B$7*J$71-$C$71</f>
        <v/>
      </c>
      <c r="I294" s="13">
        <f>$B$7*(A294*L$71+B294*M$71+C294*N$71+D294*O$71)+F294/100*$B$7*Q$71-$C$71</f>
        <v/>
      </c>
      <c r="J294" s="13">
        <f>$B$7*(A294*S$71+B294*T$71+C294*U$71+D294*V$71)+F294/100*$B$7*X$71-$C$71</f>
        <v/>
      </c>
      <c r="K294" s="13">
        <f>$B$7*(A294*Z$71+B294*AA$71+C294*AB$71+D294*AC$71)+F294/100*$B$7*AE$71-$C$71</f>
        <v/>
      </c>
      <c r="L294" s="13">
        <f>$B$7*(A294*AG$71+B294*AH$71+C294*AI$71+D294*AJ$71)+F294/100*$B$7*AL$71-$C$71</f>
        <v/>
      </c>
      <c r="M294" s="13">
        <f>$B$7*(A294*AN$71+B294*AO$71+C294*AP$71+D294*AQ$71)+F294/100*$B$7*AS$71-$C$71</f>
        <v/>
      </c>
      <c r="N294" s="13">
        <f>SUMPRODUCT($H$24:$M$24,H294:M294)</f>
        <v/>
      </c>
      <c r="O294" s="14">
        <f>SQRT(SUMPRODUCT($H$24:$M$24,(H294:M294-N294)^2))</f>
        <v/>
      </c>
      <c r="P294" s="13">
        <f>MIN(H294:M294)</f>
        <v/>
      </c>
      <c r="Q294" s="13">
        <f>MAX(H294:M294)</f>
        <v/>
      </c>
      <c r="R294" s="27">
        <f>IF(G294,SUMPRODUCT(($G$76:$G$1505)*($N$76:$N$1505&gt;=N294)*($O$76:$O$1505&lt;=O294))=1,FALSE)</f>
        <v/>
      </c>
      <c r="S294" s="16">
        <f>IF(R294,ABS((O294-$AC$76)/MAX(0.0001,$AC$77-$AC$76)-(N294-$AC$78)/MAX(0.0001,$AC$79-$AC$78)),-1)</f>
        <v/>
      </c>
      <c r="T294" s="14">
        <f>IF(G294,O294,NA())</f>
        <v/>
      </c>
      <c r="U294" s="13">
        <f>IF(G294,N294,NA())</f>
        <v/>
      </c>
      <c r="V294" s="14">
        <f>IF(R294,O294,NA())</f>
        <v/>
      </c>
      <c r="W294" s="13">
        <f>IF(R294,N294,NA())</f>
        <v/>
      </c>
      <c r="X294" s="27">
        <f>IF(G294,P294,"")</f>
        <v/>
      </c>
      <c r="Y294" s="27">
        <f>IF(G294,N294,"")</f>
        <v/>
      </c>
      <c r="Z294" s="27">
        <f>IF(R294,O294,"")</f>
        <v/>
      </c>
      <c r="AA294" s="27">
        <f>IF(R294,N294,"")</f>
        <v/>
      </c>
    </row>
    <row r="295">
      <c r="A295" s="31" t="n">
        <v>0</v>
      </c>
      <c r="B295" s="31" t="n">
        <v>0.4</v>
      </c>
      <c r="C295" s="31" t="n">
        <v>0.5</v>
      </c>
      <c r="D295" s="31" t="n">
        <v>0.1</v>
      </c>
      <c r="E295" s="27" t="inlineStr">
        <is>
          <t>1M 40%/2M 50%/3M 10%</t>
        </is>
      </c>
      <c r="F295" s="27" t="n">
        <v>100</v>
      </c>
      <c r="G295" s="27">
        <f>A295*$B$7&gt;=$B$9</f>
        <v/>
      </c>
      <c r="H295" s="13">
        <f>$B$7*(A295*E$71+B295*F$71+C295*G$71+D295*H$71)+F295/100*$B$7*J$71-$C$71</f>
        <v/>
      </c>
      <c r="I295" s="13">
        <f>$B$7*(A295*L$71+B295*M$71+C295*N$71+D295*O$71)+F295/100*$B$7*Q$71-$C$71</f>
        <v/>
      </c>
      <c r="J295" s="13">
        <f>$B$7*(A295*S$71+B295*T$71+C295*U$71+D295*V$71)+F295/100*$B$7*X$71-$C$71</f>
        <v/>
      </c>
      <c r="K295" s="13">
        <f>$B$7*(A295*Z$71+B295*AA$71+C295*AB$71+D295*AC$71)+F295/100*$B$7*AE$71-$C$71</f>
        <v/>
      </c>
      <c r="L295" s="13">
        <f>$B$7*(A295*AG$71+B295*AH$71+C295*AI$71+D295*AJ$71)+F295/100*$B$7*AL$71-$C$71</f>
        <v/>
      </c>
      <c r="M295" s="13">
        <f>$B$7*(A295*AN$71+B295*AO$71+C295*AP$71+D295*AQ$71)+F295/100*$B$7*AS$71-$C$71</f>
        <v/>
      </c>
      <c r="N295" s="13">
        <f>SUMPRODUCT($H$24:$M$24,H295:M295)</f>
        <v/>
      </c>
      <c r="O295" s="14">
        <f>SQRT(SUMPRODUCT($H$24:$M$24,(H295:M295-N295)^2))</f>
        <v/>
      </c>
      <c r="P295" s="13">
        <f>MIN(H295:M295)</f>
        <v/>
      </c>
      <c r="Q295" s="13">
        <f>MAX(H295:M295)</f>
        <v/>
      </c>
      <c r="R295" s="27">
        <f>IF(G295,SUMPRODUCT(($G$76:$G$1505)*($N$76:$N$1505&gt;=N295)*($O$76:$O$1505&lt;=O295))=1,FALSE)</f>
        <v/>
      </c>
      <c r="S295" s="16">
        <f>IF(R295,ABS((O295-$AC$76)/MAX(0.0001,$AC$77-$AC$76)-(N295-$AC$78)/MAX(0.0001,$AC$79-$AC$78)),-1)</f>
        <v/>
      </c>
      <c r="T295" s="14">
        <f>IF(G295,O295,NA())</f>
        <v/>
      </c>
      <c r="U295" s="13">
        <f>IF(G295,N295,NA())</f>
        <v/>
      </c>
      <c r="V295" s="14">
        <f>IF(R295,O295,NA())</f>
        <v/>
      </c>
      <c r="W295" s="13">
        <f>IF(R295,N295,NA())</f>
        <v/>
      </c>
      <c r="X295" s="27">
        <f>IF(G295,P295,"")</f>
        <v/>
      </c>
      <c r="Y295" s="27">
        <f>IF(G295,N295,"")</f>
        <v/>
      </c>
      <c r="Z295" s="27">
        <f>IF(R295,O295,"")</f>
        <v/>
      </c>
      <c r="AA295" s="27">
        <f>IF(R295,N295,"")</f>
        <v/>
      </c>
    </row>
    <row r="296">
      <c r="A296" s="31" t="n">
        <v>0</v>
      </c>
      <c r="B296" s="31" t="n">
        <v>0.4</v>
      </c>
      <c r="C296" s="31" t="n">
        <v>0.6</v>
      </c>
      <c r="D296" s="31" t="n">
        <v>0</v>
      </c>
      <c r="E296" s="27" t="inlineStr">
        <is>
          <t>1M 40%/2M 60%</t>
        </is>
      </c>
      <c r="F296" s="27" t="n">
        <v>0</v>
      </c>
      <c r="G296" s="27">
        <f>A296*$B$7&gt;=$B$9</f>
        <v/>
      </c>
      <c r="H296" s="13">
        <f>$B$7*(A296*E$71+B296*F$71+C296*G$71+D296*H$71)+F296/100*$B$7*J$71-$C$71</f>
        <v/>
      </c>
      <c r="I296" s="13">
        <f>$B$7*(A296*L$71+B296*M$71+C296*N$71+D296*O$71)+F296/100*$B$7*Q$71-$C$71</f>
        <v/>
      </c>
      <c r="J296" s="13">
        <f>$B$7*(A296*S$71+B296*T$71+C296*U$71+D296*V$71)+F296/100*$B$7*X$71-$C$71</f>
        <v/>
      </c>
      <c r="K296" s="13">
        <f>$B$7*(A296*Z$71+B296*AA$71+C296*AB$71+D296*AC$71)+F296/100*$B$7*AE$71-$C$71</f>
        <v/>
      </c>
      <c r="L296" s="13">
        <f>$B$7*(A296*AG$71+B296*AH$71+C296*AI$71+D296*AJ$71)+F296/100*$B$7*AL$71-$C$71</f>
        <v/>
      </c>
      <c r="M296" s="13">
        <f>$B$7*(A296*AN$71+B296*AO$71+C296*AP$71+D296*AQ$71)+F296/100*$B$7*AS$71-$C$71</f>
        <v/>
      </c>
      <c r="N296" s="13">
        <f>SUMPRODUCT($H$24:$M$24,H296:M296)</f>
        <v/>
      </c>
      <c r="O296" s="14">
        <f>SQRT(SUMPRODUCT($H$24:$M$24,(H296:M296-N296)^2))</f>
        <v/>
      </c>
      <c r="P296" s="13">
        <f>MIN(H296:M296)</f>
        <v/>
      </c>
      <c r="Q296" s="13">
        <f>MAX(H296:M296)</f>
        <v/>
      </c>
      <c r="R296" s="27">
        <f>IF(G296,SUMPRODUCT(($G$76:$G$1505)*($N$76:$N$1505&gt;=N296)*($O$76:$O$1505&lt;=O296))=1,FALSE)</f>
        <v/>
      </c>
      <c r="S296" s="16">
        <f>IF(R296,ABS((O296-$AC$76)/MAX(0.0001,$AC$77-$AC$76)-(N296-$AC$78)/MAX(0.0001,$AC$79-$AC$78)),-1)</f>
        <v/>
      </c>
      <c r="T296" s="14">
        <f>IF(G296,O296,NA())</f>
        <v/>
      </c>
      <c r="U296" s="13">
        <f>IF(G296,N296,NA())</f>
        <v/>
      </c>
      <c r="V296" s="14">
        <f>IF(R296,O296,NA())</f>
        <v/>
      </c>
      <c r="W296" s="13">
        <f>IF(R296,N296,NA())</f>
        <v/>
      </c>
      <c r="X296" s="27">
        <f>IF(G296,P296,"")</f>
        <v/>
      </c>
      <c r="Y296" s="27">
        <f>IF(G296,N296,"")</f>
        <v/>
      </c>
      <c r="Z296" s="27">
        <f>IF(R296,O296,"")</f>
        <v/>
      </c>
      <c r="AA296" s="27">
        <f>IF(R296,N296,"")</f>
        <v/>
      </c>
    </row>
    <row r="297">
      <c r="A297" s="31" t="n">
        <v>0</v>
      </c>
      <c r="B297" s="31" t="n">
        <v>0.4</v>
      </c>
      <c r="C297" s="31" t="n">
        <v>0.6</v>
      </c>
      <c r="D297" s="31" t="n">
        <v>0</v>
      </c>
      <c r="E297" s="27" t="inlineStr">
        <is>
          <t>1M 40%/2M 60%</t>
        </is>
      </c>
      <c r="F297" s="27" t="n">
        <v>25</v>
      </c>
      <c r="G297" s="27">
        <f>A297*$B$7&gt;=$B$9</f>
        <v/>
      </c>
      <c r="H297" s="13">
        <f>$B$7*(A297*E$71+B297*F$71+C297*G$71+D297*H$71)+F297/100*$B$7*J$71-$C$71</f>
        <v/>
      </c>
      <c r="I297" s="13">
        <f>$B$7*(A297*L$71+B297*M$71+C297*N$71+D297*O$71)+F297/100*$B$7*Q$71-$C$71</f>
        <v/>
      </c>
      <c r="J297" s="13">
        <f>$B$7*(A297*S$71+B297*T$71+C297*U$71+D297*V$71)+F297/100*$B$7*X$71-$C$71</f>
        <v/>
      </c>
      <c r="K297" s="13">
        <f>$B$7*(A297*Z$71+B297*AA$71+C297*AB$71+D297*AC$71)+F297/100*$B$7*AE$71-$C$71</f>
        <v/>
      </c>
      <c r="L297" s="13">
        <f>$B$7*(A297*AG$71+B297*AH$71+C297*AI$71+D297*AJ$71)+F297/100*$B$7*AL$71-$C$71</f>
        <v/>
      </c>
      <c r="M297" s="13">
        <f>$B$7*(A297*AN$71+B297*AO$71+C297*AP$71+D297*AQ$71)+F297/100*$B$7*AS$71-$C$71</f>
        <v/>
      </c>
      <c r="N297" s="13">
        <f>SUMPRODUCT($H$24:$M$24,H297:M297)</f>
        <v/>
      </c>
      <c r="O297" s="14">
        <f>SQRT(SUMPRODUCT($H$24:$M$24,(H297:M297-N297)^2))</f>
        <v/>
      </c>
      <c r="P297" s="13">
        <f>MIN(H297:M297)</f>
        <v/>
      </c>
      <c r="Q297" s="13">
        <f>MAX(H297:M297)</f>
        <v/>
      </c>
      <c r="R297" s="27">
        <f>IF(G297,SUMPRODUCT(($G$76:$G$1505)*($N$76:$N$1505&gt;=N297)*($O$76:$O$1505&lt;=O297))=1,FALSE)</f>
        <v/>
      </c>
      <c r="S297" s="16">
        <f>IF(R297,ABS((O297-$AC$76)/MAX(0.0001,$AC$77-$AC$76)-(N297-$AC$78)/MAX(0.0001,$AC$79-$AC$78)),-1)</f>
        <v/>
      </c>
      <c r="T297" s="14">
        <f>IF(G297,O297,NA())</f>
        <v/>
      </c>
      <c r="U297" s="13">
        <f>IF(G297,N297,NA())</f>
        <v/>
      </c>
      <c r="V297" s="14">
        <f>IF(R297,O297,NA())</f>
        <v/>
      </c>
      <c r="W297" s="13">
        <f>IF(R297,N297,NA())</f>
        <v/>
      </c>
      <c r="X297" s="27">
        <f>IF(G297,P297,"")</f>
        <v/>
      </c>
      <c r="Y297" s="27">
        <f>IF(G297,N297,"")</f>
        <v/>
      </c>
      <c r="Z297" s="27">
        <f>IF(R297,O297,"")</f>
        <v/>
      </c>
      <c r="AA297" s="27">
        <f>IF(R297,N297,"")</f>
        <v/>
      </c>
    </row>
    <row r="298">
      <c r="A298" s="31" t="n">
        <v>0</v>
      </c>
      <c r="B298" s="31" t="n">
        <v>0.4</v>
      </c>
      <c r="C298" s="31" t="n">
        <v>0.6</v>
      </c>
      <c r="D298" s="31" t="n">
        <v>0</v>
      </c>
      <c r="E298" s="27" t="inlineStr">
        <is>
          <t>1M 40%/2M 60%</t>
        </is>
      </c>
      <c r="F298" s="27" t="n">
        <v>50</v>
      </c>
      <c r="G298" s="27">
        <f>A298*$B$7&gt;=$B$9</f>
        <v/>
      </c>
      <c r="H298" s="13">
        <f>$B$7*(A298*E$71+B298*F$71+C298*G$71+D298*H$71)+F298/100*$B$7*J$71-$C$71</f>
        <v/>
      </c>
      <c r="I298" s="13">
        <f>$B$7*(A298*L$71+B298*M$71+C298*N$71+D298*O$71)+F298/100*$B$7*Q$71-$C$71</f>
        <v/>
      </c>
      <c r="J298" s="13">
        <f>$B$7*(A298*S$71+B298*T$71+C298*U$71+D298*V$71)+F298/100*$B$7*X$71-$C$71</f>
        <v/>
      </c>
      <c r="K298" s="13">
        <f>$B$7*(A298*Z$71+B298*AA$71+C298*AB$71+D298*AC$71)+F298/100*$B$7*AE$71-$C$71</f>
        <v/>
      </c>
      <c r="L298" s="13">
        <f>$B$7*(A298*AG$71+B298*AH$71+C298*AI$71+D298*AJ$71)+F298/100*$B$7*AL$71-$C$71</f>
        <v/>
      </c>
      <c r="M298" s="13">
        <f>$B$7*(A298*AN$71+B298*AO$71+C298*AP$71+D298*AQ$71)+F298/100*$B$7*AS$71-$C$71</f>
        <v/>
      </c>
      <c r="N298" s="13">
        <f>SUMPRODUCT($H$24:$M$24,H298:M298)</f>
        <v/>
      </c>
      <c r="O298" s="14">
        <f>SQRT(SUMPRODUCT($H$24:$M$24,(H298:M298-N298)^2))</f>
        <v/>
      </c>
      <c r="P298" s="13">
        <f>MIN(H298:M298)</f>
        <v/>
      </c>
      <c r="Q298" s="13">
        <f>MAX(H298:M298)</f>
        <v/>
      </c>
      <c r="R298" s="27">
        <f>IF(G298,SUMPRODUCT(($G$76:$G$1505)*($N$76:$N$1505&gt;=N298)*($O$76:$O$1505&lt;=O298))=1,FALSE)</f>
        <v/>
      </c>
      <c r="S298" s="16">
        <f>IF(R298,ABS((O298-$AC$76)/MAX(0.0001,$AC$77-$AC$76)-(N298-$AC$78)/MAX(0.0001,$AC$79-$AC$78)),-1)</f>
        <v/>
      </c>
      <c r="T298" s="14">
        <f>IF(G298,O298,NA())</f>
        <v/>
      </c>
      <c r="U298" s="13">
        <f>IF(G298,N298,NA())</f>
        <v/>
      </c>
      <c r="V298" s="14">
        <f>IF(R298,O298,NA())</f>
        <v/>
      </c>
      <c r="W298" s="13">
        <f>IF(R298,N298,NA())</f>
        <v/>
      </c>
      <c r="X298" s="27">
        <f>IF(G298,P298,"")</f>
        <v/>
      </c>
      <c r="Y298" s="27">
        <f>IF(G298,N298,"")</f>
        <v/>
      </c>
      <c r="Z298" s="27">
        <f>IF(R298,O298,"")</f>
        <v/>
      </c>
      <c r="AA298" s="27">
        <f>IF(R298,N298,"")</f>
        <v/>
      </c>
    </row>
    <row r="299">
      <c r="A299" s="31" t="n">
        <v>0</v>
      </c>
      <c r="B299" s="31" t="n">
        <v>0.4</v>
      </c>
      <c r="C299" s="31" t="n">
        <v>0.6</v>
      </c>
      <c r="D299" s="31" t="n">
        <v>0</v>
      </c>
      <c r="E299" s="27" t="inlineStr">
        <is>
          <t>1M 40%/2M 60%</t>
        </is>
      </c>
      <c r="F299" s="27" t="n">
        <v>75</v>
      </c>
      <c r="G299" s="27">
        <f>A299*$B$7&gt;=$B$9</f>
        <v/>
      </c>
      <c r="H299" s="13">
        <f>$B$7*(A299*E$71+B299*F$71+C299*G$71+D299*H$71)+F299/100*$B$7*J$71-$C$71</f>
        <v/>
      </c>
      <c r="I299" s="13">
        <f>$B$7*(A299*L$71+B299*M$71+C299*N$71+D299*O$71)+F299/100*$B$7*Q$71-$C$71</f>
        <v/>
      </c>
      <c r="J299" s="13">
        <f>$B$7*(A299*S$71+B299*T$71+C299*U$71+D299*V$71)+F299/100*$B$7*X$71-$C$71</f>
        <v/>
      </c>
      <c r="K299" s="13">
        <f>$B$7*(A299*Z$71+B299*AA$71+C299*AB$71+D299*AC$71)+F299/100*$B$7*AE$71-$C$71</f>
        <v/>
      </c>
      <c r="L299" s="13">
        <f>$B$7*(A299*AG$71+B299*AH$71+C299*AI$71+D299*AJ$71)+F299/100*$B$7*AL$71-$C$71</f>
        <v/>
      </c>
      <c r="M299" s="13">
        <f>$B$7*(A299*AN$71+B299*AO$71+C299*AP$71+D299*AQ$71)+F299/100*$B$7*AS$71-$C$71</f>
        <v/>
      </c>
      <c r="N299" s="13">
        <f>SUMPRODUCT($H$24:$M$24,H299:M299)</f>
        <v/>
      </c>
      <c r="O299" s="14">
        <f>SQRT(SUMPRODUCT($H$24:$M$24,(H299:M299-N299)^2))</f>
        <v/>
      </c>
      <c r="P299" s="13">
        <f>MIN(H299:M299)</f>
        <v/>
      </c>
      <c r="Q299" s="13">
        <f>MAX(H299:M299)</f>
        <v/>
      </c>
      <c r="R299" s="27">
        <f>IF(G299,SUMPRODUCT(($G$76:$G$1505)*($N$76:$N$1505&gt;=N299)*($O$76:$O$1505&lt;=O299))=1,FALSE)</f>
        <v/>
      </c>
      <c r="S299" s="16">
        <f>IF(R299,ABS((O299-$AC$76)/MAX(0.0001,$AC$77-$AC$76)-(N299-$AC$78)/MAX(0.0001,$AC$79-$AC$78)),-1)</f>
        <v/>
      </c>
      <c r="T299" s="14">
        <f>IF(G299,O299,NA())</f>
        <v/>
      </c>
      <c r="U299" s="13">
        <f>IF(G299,N299,NA())</f>
        <v/>
      </c>
      <c r="V299" s="14">
        <f>IF(R299,O299,NA())</f>
        <v/>
      </c>
      <c r="W299" s="13">
        <f>IF(R299,N299,NA())</f>
        <v/>
      </c>
      <c r="X299" s="27">
        <f>IF(G299,P299,"")</f>
        <v/>
      </c>
      <c r="Y299" s="27">
        <f>IF(G299,N299,"")</f>
        <v/>
      </c>
      <c r="Z299" s="27">
        <f>IF(R299,O299,"")</f>
        <v/>
      </c>
      <c r="AA299" s="27">
        <f>IF(R299,N299,"")</f>
        <v/>
      </c>
    </row>
    <row r="300">
      <c r="A300" s="31" t="n">
        <v>0</v>
      </c>
      <c r="B300" s="31" t="n">
        <v>0.4</v>
      </c>
      <c r="C300" s="31" t="n">
        <v>0.6</v>
      </c>
      <c r="D300" s="31" t="n">
        <v>0</v>
      </c>
      <c r="E300" s="27" t="inlineStr">
        <is>
          <t>1M 40%/2M 60%</t>
        </is>
      </c>
      <c r="F300" s="27" t="n">
        <v>100</v>
      </c>
      <c r="G300" s="27">
        <f>A300*$B$7&gt;=$B$9</f>
        <v/>
      </c>
      <c r="H300" s="13">
        <f>$B$7*(A300*E$71+B300*F$71+C300*G$71+D300*H$71)+F300/100*$B$7*J$71-$C$71</f>
        <v/>
      </c>
      <c r="I300" s="13">
        <f>$B$7*(A300*L$71+B300*M$71+C300*N$71+D300*O$71)+F300/100*$B$7*Q$71-$C$71</f>
        <v/>
      </c>
      <c r="J300" s="13">
        <f>$B$7*(A300*S$71+B300*T$71+C300*U$71+D300*V$71)+F300/100*$B$7*X$71-$C$71</f>
        <v/>
      </c>
      <c r="K300" s="13">
        <f>$B$7*(A300*Z$71+B300*AA$71+C300*AB$71+D300*AC$71)+F300/100*$B$7*AE$71-$C$71</f>
        <v/>
      </c>
      <c r="L300" s="13">
        <f>$B$7*(A300*AG$71+B300*AH$71+C300*AI$71+D300*AJ$71)+F300/100*$B$7*AL$71-$C$71</f>
        <v/>
      </c>
      <c r="M300" s="13">
        <f>$B$7*(A300*AN$71+B300*AO$71+C300*AP$71+D300*AQ$71)+F300/100*$B$7*AS$71-$C$71</f>
        <v/>
      </c>
      <c r="N300" s="13">
        <f>SUMPRODUCT($H$24:$M$24,H300:M300)</f>
        <v/>
      </c>
      <c r="O300" s="14">
        <f>SQRT(SUMPRODUCT($H$24:$M$24,(H300:M300-N300)^2))</f>
        <v/>
      </c>
      <c r="P300" s="13">
        <f>MIN(H300:M300)</f>
        <v/>
      </c>
      <c r="Q300" s="13">
        <f>MAX(H300:M300)</f>
        <v/>
      </c>
      <c r="R300" s="27">
        <f>IF(G300,SUMPRODUCT(($G$76:$G$1505)*($N$76:$N$1505&gt;=N300)*($O$76:$O$1505&lt;=O300))=1,FALSE)</f>
        <v/>
      </c>
      <c r="S300" s="16">
        <f>IF(R300,ABS((O300-$AC$76)/MAX(0.0001,$AC$77-$AC$76)-(N300-$AC$78)/MAX(0.0001,$AC$79-$AC$78)),-1)</f>
        <v/>
      </c>
      <c r="T300" s="14">
        <f>IF(G300,O300,NA())</f>
        <v/>
      </c>
      <c r="U300" s="13">
        <f>IF(G300,N300,NA())</f>
        <v/>
      </c>
      <c r="V300" s="14">
        <f>IF(R300,O300,NA())</f>
        <v/>
      </c>
      <c r="W300" s="13">
        <f>IF(R300,N300,NA())</f>
        <v/>
      </c>
      <c r="X300" s="27">
        <f>IF(G300,P300,"")</f>
        <v/>
      </c>
      <c r="Y300" s="27">
        <f>IF(G300,N300,"")</f>
        <v/>
      </c>
      <c r="Z300" s="27">
        <f>IF(R300,O300,"")</f>
        <v/>
      </c>
      <c r="AA300" s="27">
        <f>IF(R300,N300,"")</f>
        <v/>
      </c>
    </row>
    <row r="301">
      <c r="A301" s="31" t="n">
        <v>0</v>
      </c>
      <c r="B301" s="31" t="n">
        <v>0.5</v>
      </c>
      <c r="C301" s="31" t="n">
        <v>0</v>
      </c>
      <c r="D301" s="31" t="n">
        <v>0.5</v>
      </c>
      <c r="E301" s="27" t="inlineStr">
        <is>
          <t>1M 50%/3M 50%</t>
        </is>
      </c>
      <c r="F301" s="27" t="n">
        <v>0</v>
      </c>
      <c r="G301" s="27">
        <f>A301*$B$7&gt;=$B$9</f>
        <v/>
      </c>
      <c r="H301" s="13">
        <f>$B$7*(A301*E$71+B301*F$71+C301*G$71+D301*H$71)+F301/100*$B$7*J$71-$C$71</f>
        <v/>
      </c>
      <c r="I301" s="13">
        <f>$B$7*(A301*L$71+B301*M$71+C301*N$71+D301*O$71)+F301/100*$B$7*Q$71-$C$71</f>
        <v/>
      </c>
      <c r="J301" s="13">
        <f>$B$7*(A301*S$71+B301*T$71+C301*U$71+D301*V$71)+F301/100*$B$7*X$71-$C$71</f>
        <v/>
      </c>
      <c r="K301" s="13">
        <f>$B$7*(A301*Z$71+B301*AA$71+C301*AB$71+D301*AC$71)+F301/100*$B$7*AE$71-$C$71</f>
        <v/>
      </c>
      <c r="L301" s="13">
        <f>$B$7*(A301*AG$71+B301*AH$71+C301*AI$71+D301*AJ$71)+F301/100*$B$7*AL$71-$C$71</f>
        <v/>
      </c>
      <c r="M301" s="13">
        <f>$B$7*(A301*AN$71+B301*AO$71+C301*AP$71+D301*AQ$71)+F301/100*$B$7*AS$71-$C$71</f>
        <v/>
      </c>
      <c r="N301" s="13">
        <f>SUMPRODUCT($H$24:$M$24,H301:M301)</f>
        <v/>
      </c>
      <c r="O301" s="14">
        <f>SQRT(SUMPRODUCT($H$24:$M$24,(H301:M301-N301)^2))</f>
        <v/>
      </c>
      <c r="P301" s="13">
        <f>MIN(H301:M301)</f>
        <v/>
      </c>
      <c r="Q301" s="13">
        <f>MAX(H301:M301)</f>
        <v/>
      </c>
      <c r="R301" s="27">
        <f>IF(G301,SUMPRODUCT(($G$76:$G$1505)*($N$76:$N$1505&gt;=N301)*($O$76:$O$1505&lt;=O301))=1,FALSE)</f>
        <v/>
      </c>
      <c r="S301" s="16">
        <f>IF(R301,ABS((O301-$AC$76)/MAX(0.0001,$AC$77-$AC$76)-(N301-$AC$78)/MAX(0.0001,$AC$79-$AC$78)),-1)</f>
        <v/>
      </c>
      <c r="T301" s="14">
        <f>IF(G301,O301,NA())</f>
        <v/>
      </c>
      <c r="U301" s="13">
        <f>IF(G301,N301,NA())</f>
        <v/>
      </c>
      <c r="V301" s="14">
        <f>IF(R301,O301,NA())</f>
        <v/>
      </c>
      <c r="W301" s="13">
        <f>IF(R301,N301,NA())</f>
        <v/>
      </c>
      <c r="X301" s="27">
        <f>IF(G301,P301,"")</f>
        <v/>
      </c>
      <c r="Y301" s="27">
        <f>IF(G301,N301,"")</f>
        <v/>
      </c>
      <c r="Z301" s="27">
        <f>IF(R301,O301,"")</f>
        <v/>
      </c>
      <c r="AA301" s="27">
        <f>IF(R301,N301,"")</f>
        <v/>
      </c>
    </row>
    <row r="302">
      <c r="A302" s="31" t="n">
        <v>0</v>
      </c>
      <c r="B302" s="31" t="n">
        <v>0.5</v>
      </c>
      <c r="C302" s="31" t="n">
        <v>0</v>
      </c>
      <c r="D302" s="31" t="n">
        <v>0.5</v>
      </c>
      <c r="E302" s="27" t="inlineStr">
        <is>
          <t>1M 50%/3M 50%</t>
        </is>
      </c>
      <c r="F302" s="27" t="n">
        <v>25</v>
      </c>
      <c r="G302" s="27">
        <f>A302*$B$7&gt;=$B$9</f>
        <v/>
      </c>
      <c r="H302" s="13">
        <f>$B$7*(A302*E$71+B302*F$71+C302*G$71+D302*H$71)+F302/100*$B$7*J$71-$C$71</f>
        <v/>
      </c>
      <c r="I302" s="13">
        <f>$B$7*(A302*L$71+B302*M$71+C302*N$71+D302*O$71)+F302/100*$B$7*Q$71-$C$71</f>
        <v/>
      </c>
      <c r="J302" s="13">
        <f>$B$7*(A302*S$71+B302*T$71+C302*U$71+D302*V$71)+F302/100*$B$7*X$71-$C$71</f>
        <v/>
      </c>
      <c r="K302" s="13">
        <f>$B$7*(A302*Z$71+B302*AA$71+C302*AB$71+D302*AC$71)+F302/100*$B$7*AE$71-$C$71</f>
        <v/>
      </c>
      <c r="L302" s="13">
        <f>$B$7*(A302*AG$71+B302*AH$71+C302*AI$71+D302*AJ$71)+F302/100*$B$7*AL$71-$C$71</f>
        <v/>
      </c>
      <c r="M302" s="13">
        <f>$B$7*(A302*AN$71+B302*AO$71+C302*AP$71+D302*AQ$71)+F302/100*$B$7*AS$71-$C$71</f>
        <v/>
      </c>
      <c r="N302" s="13">
        <f>SUMPRODUCT($H$24:$M$24,H302:M302)</f>
        <v/>
      </c>
      <c r="O302" s="14">
        <f>SQRT(SUMPRODUCT($H$24:$M$24,(H302:M302-N302)^2))</f>
        <v/>
      </c>
      <c r="P302" s="13">
        <f>MIN(H302:M302)</f>
        <v/>
      </c>
      <c r="Q302" s="13">
        <f>MAX(H302:M302)</f>
        <v/>
      </c>
      <c r="R302" s="27">
        <f>IF(G302,SUMPRODUCT(($G$76:$G$1505)*($N$76:$N$1505&gt;=N302)*($O$76:$O$1505&lt;=O302))=1,FALSE)</f>
        <v/>
      </c>
      <c r="S302" s="16">
        <f>IF(R302,ABS((O302-$AC$76)/MAX(0.0001,$AC$77-$AC$76)-(N302-$AC$78)/MAX(0.0001,$AC$79-$AC$78)),-1)</f>
        <v/>
      </c>
      <c r="T302" s="14">
        <f>IF(G302,O302,NA())</f>
        <v/>
      </c>
      <c r="U302" s="13">
        <f>IF(G302,N302,NA())</f>
        <v/>
      </c>
      <c r="V302" s="14">
        <f>IF(R302,O302,NA())</f>
        <v/>
      </c>
      <c r="W302" s="13">
        <f>IF(R302,N302,NA())</f>
        <v/>
      </c>
      <c r="X302" s="27">
        <f>IF(G302,P302,"")</f>
        <v/>
      </c>
      <c r="Y302" s="27">
        <f>IF(G302,N302,"")</f>
        <v/>
      </c>
      <c r="Z302" s="27">
        <f>IF(R302,O302,"")</f>
        <v/>
      </c>
      <c r="AA302" s="27">
        <f>IF(R302,N302,"")</f>
        <v/>
      </c>
    </row>
    <row r="303">
      <c r="A303" s="31" t="n">
        <v>0</v>
      </c>
      <c r="B303" s="31" t="n">
        <v>0.5</v>
      </c>
      <c r="C303" s="31" t="n">
        <v>0</v>
      </c>
      <c r="D303" s="31" t="n">
        <v>0.5</v>
      </c>
      <c r="E303" s="27" t="inlineStr">
        <is>
          <t>1M 50%/3M 50%</t>
        </is>
      </c>
      <c r="F303" s="27" t="n">
        <v>50</v>
      </c>
      <c r="G303" s="27">
        <f>A303*$B$7&gt;=$B$9</f>
        <v/>
      </c>
      <c r="H303" s="13">
        <f>$B$7*(A303*E$71+B303*F$71+C303*G$71+D303*H$71)+F303/100*$B$7*J$71-$C$71</f>
        <v/>
      </c>
      <c r="I303" s="13">
        <f>$B$7*(A303*L$71+B303*M$71+C303*N$71+D303*O$71)+F303/100*$B$7*Q$71-$C$71</f>
        <v/>
      </c>
      <c r="J303" s="13">
        <f>$B$7*(A303*S$71+B303*T$71+C303*U$71+D303*V$71)+F303/100*$B$7*X$71-$C$71</f>
        <v/>
      </c>
      <c r="K303" s="13">
        <f>$B$7*(A303*Z$71+B303*AA$71+C303*AB$71+D303*AC$71)+F303/100*$B$7*AE$71-$C$71</f>
        <v/>
      </c>
      <c r="L303" s="13">
        <f>$B$7*(A303*AG$71+B303*AH$71+C303*AI$71+D303*AJ$71)+F303/100*$B$7*AL$71-$C$71</f>
        <v/>
      </c>
      <c r="M303" s="13">
        <f>$B$7*(A303*AN$71+B303*AO$71+C303*AP$71+D303*AQ$71)+F303/100*$B$7*AS$71-$C$71</f>
        <v/>
      </c>
      <c r="N303" s="13">
        <f>SUMPRODUCT($H$24:$M$24,H303:M303)</f>
        <v/>
      </c>
      <c r="O303" s="14">
        <f>SQRT(SUMPRODUCT($H$24:$M$24,(H303:M303-N303)^2))</f>
        <v/>
      </c>
      <c r="P303" s="13">
        <f>MIN(H303:M303)</f>
        <v/>
      </c>
      <c r="Q303" s="13">
        <f>MAX(H303:M303)</f>
        <v/>
      </c>
      <c r="R303" s="27">
        <f>IF(G303,SUMPRODUCT(($G$76:$G$1505)*($N$76:$N$1505&gt;=N303)*($O$76:$O$1505&lt;=O303))=1,FALSE)</f>
        <v/>
      </c>
      <c r="S303" s="16">
        <f>IF(R303,ABS((O303-$AC$76)/MAX(0.0001,$AC$77-$AC$76)-(N303-$AC$78)/MAX(0.0001,$AC$79-$AC$78)),-1)</f>
        <v/>
      </c>
      <c r="T303" s="14">
        <f>IF(G303,O303,NA())</f>
        <v/>
      </c>
      <c r="U303" s="13">
        <f>IF(G303,N303,NA())</f>
        <v/>
      </c>
      <c r="V303" s="14">
        <f>IF(R303,O303,NA())</f>
        <v/>
      </c>
      <c r="W303" s="13">
        <f>IF(R303,N303,NA())</f>
        <v/>
      </c>
      <c r="X303" s="27">
        <f>IF(G303,P303,"")</f>
        <v/>
      </c>
      <c r="Y303" s="27">
        <f>IF(G303,N303,"")</f>
        <v/>
      </c>
      <c r="Z303" s="27">
        <f>IF(R303,O303,"")</f>
        <v/>
      </c>
      <c r="AA303" s="27">
        <f>IF(R303,N303,"")</f>
        <v/>
      </c>
    </row>
    <row r="304">
      <c r="A304" s="31" t="n">
        <v>0</v>
      </c>
      <c r="B304" s="31" t="n">
        <v>0.5</v>
      </c>
      <c r="C304" s="31" t="n">
        <v>0</v>
      </c>
      <c r="D304" s="31" t="n">
        <v>0.5</v>
      </c>
      <c r="E304" s="27" t="inlineStr">
        <is>
          <t>1M 50%/3M 50%</t>
        </is>
      </c>
      <c r="F304" s="27" t="n">
        <v>75</v>
      </c>
      <c r="G304" s="27">
        <f>A304*$B$7&gt;=$B$9</f>
        <v/>
      </c>
      <c r="H304" s="13">
        <f>$B$7*(A304*E$71+B304*F$71+C304*G$71+D304*H$71)+F304/100*$B$7*J$71-$C$71</f>
        <v/>
      </c>
      <c r="I304" s="13">
        <f>$B$7*(A304*L$71+B304*M$71+C304*N$71+D304*O$71)+F304/100*$B$7*Q$71-$C$71</f>
        <v/>
      </c>
      <c r="J304" s="13">
        <f>$B$7*(A304*S$71+B304*T$71+C304*U$71+D304*V$71)+F304/100*$B$7*X$71-$C$71</f>
        <v/>
      </c>
      <c r="K304" s="13">
        <f>$B$7*(A304*Z$71+B304*AA$71+C304*AB$71+D304*AC$71)+F304/100*$B$7*AE$71-$C$71</f>
        <v/>
      </c>
      <c r="L304" s="13">
        <f>$B$7*(A304*AG$71+B304*AH$71+C304*AI$71+D304*AJ$71)+F304/100*$B$7*AL$71-$C$71</f>
        <v/>
      </c>
      <c r="M304" s="13">
        <f>$B$7*(A304*AN$71+B304*AO$71+C304*AP$71+D304*AQ$71)+F304/100*$B$7*AS$71-$C$71</f>
        <v/>
      </c>
      <c r="N304" s="13">
        <f>SUMPRODUCT($H$24:$M$24,H304:M304)</f>
        <v/>
      </c>
      <c r="O304" s="14">
        <f>SQRT(SUMPRODUCT($H$24:$M$24,(H304:M304-N304)^2))</f>
        <v/>
      </c>
      <c r="P304" s="13">
        <f>MIN(H304:M304)</f>
        <v/>
      </c>
      <c r="Q304" s="13">
        <f>MAX(H304:M304)</f>
        <v/>
      </c>
      <c r="R304" s="27">
        <f>IF(G304,SUMPRODUCT(($G$76:$G$1505)*($N$76:$N$1505&gt;=N304)*($O$76:$O$1505&lt;=O304))=1,FALSE)</f>
        <v/>
      </c>
      <c r="S304" s="16">
        <f>IF(R304,ABS((O304-$AC$76)/MAX(0.0001,$AC$77-$AC$76)-(N304-$AC$78)/MAX(0.0001,$AC$79-$AC$78)),-1)</f>
        <v/>
      </c>
      <c r="T304" s="14">
        <f>IF(G304,O304,NA())</f>
        <v/>
      </c>
      <c r="U304" s="13">
        <f>IF(G304,N304,NA())</f>
        <v/>
      </c>
      <c r="V304" s="14">
        <f>IF(R304,O304,NA())</f>
        <v/>
      </c>
      <c r="W304" s="13">
        <f>IF(R304,N304,NA())</f>
        <v/>
      </c>
      <c r="X304" s="27">
        <f>IF(G304,P304,"")</f>
        <v/>
      </c>
      <c r="Y304" s="27">
        <f>IF(G304,N304,"")</f>
        <v/>
      </c>
      <c r="Z304" s="27">
        <f>IF(R304,O304,"")</f>
        <v/>
      </c>
      <c r="AA304" s="27">
        <f>IF(R304,N304,"")</f>
        <v/>
      </c>
    </row>
    <row r="305">
      <c r="A305" s="31" t="n">
        <v>0</v>
      </c>
      <c r="B305" s="31" t="n">
        <v>0.5</v>
      </c>
      <c r="C305" s="31" t="n">
        <v>0</v>
      </c>
      <c r="D305" s="31" t="n">
        <v>0.5</v>
      </c>
      <c r="E305" s="27" t="inlineStr">
        <is>
          <t>1M 50%/3M 50%</t>
        </is>
      </c>
      <c r="F305" s="27" t="n">
        <v>100</v>
      </c>
      <c r="G305" s="27">
        <f>A305*$B$7&gt;=$B$9</f>
        <v/>
      </c>
      <c r="H305" s="13">
        <f>$B$7*(A305*E$71+B305*F$71+C305*G$71+D305*H$71)+F305/100*$B$7*J$71-$C$71</f>
        <v/>
      </c>
      <c r="I305" s="13">
        <f>$B$7*(A305*L$71+B305*M$71+C305*N$71+D305*O$71)+F305/100*$B$7*Q$71-$C$71</f>
        <v/>
      </c>
      <c r="J305" s="13">
        <f>$B$7*(A305*S$71+B305*T$71+C305*U$71+D305*V$71)+F305/100*$B$7*X$71-$C$71</f>
        <v/>
      </c>
      <c r="K305" s="13">
        <f>$B$7*(A305*Z$71+B305*AA$71+C305*AB$71+D305*AC$71)+F305/100*$B$7*AE$71-$C$71</f>
        <v/>
      </c>
      <c r="L305" s="13">
        <f>$B$7*(A305*AG$71+B305*AH$71+C305*AI$71+D305*AJ$71)+F305/100*$B$7*AL$71-$C$71</f>
        <v/>
      </c>
      <c r="M305" s="13">
        <f>$B$7*(A305*AN$71+B305*AO$71+C305*AP$71+D305*AQ$71)+F305/100*$B$7*AS$71-$C$71</f>
        <v/>
      </c>
      <c r="N305" s="13">
        <f>SUMPRODUCT($H$24:$M$24,H305:M305)</f>
        <v/>
      </c>
      <c r="O305" s="14">
        <f>SQRT(SUMPRODUCT($H$24:$M$24,(H305:M305-N305)^2))</f>
        <v/>
      </c>
      <c r="P305" s="13">
        <f>MIN(H305:M305)</f>
        <v/>
      </c>
      <c r="Q305" s="13">
        <f>MAX(H305:M305)</f>
        <v/>
      </c>
      <c r="R305" s="27">
        <f>IF(G305,SUMPRODUCT(($G$76:$G$1505)*($N$76:$N$1505&gt;=N305)*($O$76:$O$1505&lt;=O305))=1,FALSE)</f>
        <v/>
      </c>
      <c r="S305" s="16">
        <f>IF(R305,ABS((O305-$AC$76)/MAX(0.0001,$AC$77-$AC$76)-(N305-$AC$78)/MAX(0.0001,$AC$79-$AC$78)),-1)</f>
        <v/>
      </c>
      <c r="T305" s="14">
        <f>IF(G305,O305,NA())</f>
        <v/>
      </c>
      <c r="U305" s="13">
        <f>IF(G305,N305,NA())</f>
        <v/>
      </c>
      <c r="V305" s="14">
        <f>IF(R305,O305,NA())</f>
        <v/>
      </c>
      <c r="W305" s="13">
        <f>IF(R305,N305,NA())</f>
        <v/>
      </c>
      <c r="X305" s="27">
        <f>IF(G305,P305,"")</f>
        <v/>
      </c>
      <c r="Y305" s="27">
        <f>IF(G305,N305,"")</f>
        <v/>
      </c>
      <c r="Z305" s="27">
        <f>IF(R305,O305,"")</f>
        <v/>
      </c>
      <c r="AA305" s="27">
        <f>IF(R305,N305,"")</f>
        <v/>
      </c>
    </row>
    <row r="306">
      <c r="A306" s="31" t="n">
        <v>0</v>
      </c>
      <c r="B306" s="31" t="n">
        <v>0.5</v>
      </c>
      <c r="C306" s="31" t="n">
        <v>0.1</v>
      </c>
      <c r="D306" s="31" t="n">
        <v>0.4</v>
      </c>
      <c r="E306" s="27" t="inlineStr">
        <is>
          <t>1M 50%/2M 10%/3M 40%</t>
        </is>
      </c>
      <c r="F306" s="27" t="n">
        <v>0</v>
      </c>
      <c r="G306" s="27">
        <f>A306*$B$7&gt;=$B$9</f>
        <v/>
      </c>
      <c r="H306" s="13">
        <f>$B$7*(A306*E$71+B306*F$71+C306*G$71+D306*H$71)+F306/100*$B$7*J$71-$C$71</f>
        <v/>
      </c>
      <c r="I306" s="13">
        <f>$B$7*(A306*L$71+B306*M$71+C306*N$71+D306*O$71)+F306/100*$B$7*Q$71-$C$71</f>
        <v/>
      </c>
      <c r="J306" s="13">
        <f>$B$7*(A306*S$71+B306*T$71+C306*U$71+D306*V$71)+F306/100*$B$7*X$71-$C$71</f>
        <v/>
      </c>
      <c r="K306" s="13">
        <f>$B$7*(A306*Z$71+B306*AA$71+C306*AB$71+D306*AC$71)+F306/100*$B$7*AE$71-$C$71</f>
        <v/>
      </c>
      <c r="L306" s="13">
        <f>$B$7*(A306*AG$71+B306*AH$71+C306*AI$71+D306*AJ$71)+F306/100*$B$7*AL$71-$C$71</f>
        <v/>
      </c>
      <c r="M306" s="13">
        <f>$B$7*(A306*AN$71+B306*AO$71+C306*AP$71+D306*AQ$71)+F306/100*$B$7*AS$71-$C$71</f>
        <v/>
      </c>
      <c r="N306" s="13">
        <f>SUMPRODUCT($H$24:$M$24,H306:M306)</f>
        <v/>
      </c>
      <c r="O306" s="14">
        <f>SQRT(SUMPRODUCT($H$24:$M$24,(H306:M306-N306)^2))</f>
        <v/>
      </c>
      <c r="P306" s="13">
        <f>MIN(H306:M306)</f>
        <v/>
      </c>
      <c r="Q306" s="13">
        <f>MAX(H306:M306)</f>
        <v/>
      </c>
      <c r="R306" s="27">
        <f>IF(G306,SUMPRODUCT(($G$76:$G$1505)*($N$76:$N$1505&gt;=N306)*($O$76:$O$1505&lt;=O306))=1,FALSE)</f>
        <v/>
      </c>
      <c r="S306" s="16">
        <f>IF(R306,ABS((O306-$AC$76)/MAX(0.0001,$AC$77-$AC$76)-(N306-$AC$78)/MAX(0.0001,$AC$79-$AC$78)),-1)</f>
        <v/>
      </c>
      <c r="T306" s="14">
        <f>IF(G306,O306,NA())</f>
        <v/>
      </c>
      <c r="U306" s="13">
        <f>IF(G306,N306,NA())</f>
        <v/>
      </c>
      <c r="V306" s="14">
        <f>IF(R306,O306,NA())</f>
        <v/>
      </c>
      <c r="W306" s="13">
        <f>IF(R306,N306,NA())</f>
        <v/>
      </c>
      <c r="X306" s="27">
        <f>IF(G306,P306,"")</f>
        <v/>
      </c>
      <c r="Y306" s="27">
        <f>IF(G306,N306,"")</f>
        <v/>
      </c>
      <c r="Z306" s="27">
        <f>IF(R306,O306,"")</f>
        <v/>
      </c>
      <c r="AA306" s="27">
        <f>IF(R306,N306,"")</f>
        <v/>
      </c>
    </row>
    <row r="307">
      <c r="A307" s="31" t="n">
        <v>0</v>
      </c>
      <c r="B307" s="31" t="n">
        <v>0.5</v>
      </c>
      <c r="C307" s="31" t="n">
        <v>0.1</v>
      </c>
      <c r="D307" s="31" t="n">
        <v>0.4</v>
      </c>
      <c r="E307" s="27" t="inlineStr">
        <is>
          <t>1M 50%/2M 10%/3M 40%</t>
        </is>
      </c>
      <c r="F307" s="27" t="n">
        <v>25</v>
      </c>
      <c r="G307" s="27">
        <f>A307*$B$7&gt;=$B$9</f>
        <v/>
      </c>
      <c r="H307" s="13">
        <f>$B$7*(A307*E$71+B307*F$71+C307*G$71+D307*H$71)+F307/100*$B$7*J$71-$C$71</f>
        <v/>
      </c>
      <c r="I307" s="13">
        <f>$B$7*(A307*L$71+B307*M$71+C307*N$71+D307*O$71)+F307/100*$B$7*Q$71-$C$71</f>
        <v/>
      </c>
      <c r="J307" s="13">
        <f>$B$7*(A307*S$71+B307*T$71+C307*U$71+D307*V$71)+F307/100*$B$7*X$71-$C$71</f>
        <v/>
      </c>
      <c r="K307" s="13">
        <f>$B$7*(A307*Z$71+B307*AA$71+C307*AB$71+D307*AC$71)+F307/100*$B$7*AE$71-$C$71</f>
        <v/>
      </c>
      <c r="L307" s="13">
        <f>$B$7*(A307*AG$71+B307*AH$71+C307*AI$71+D307*AJ$71)+F307/100*$B$7*AL$71-$C$71</f>
        <v/>
      </c>
      <c r="M307" s="13">
        <f>$B$7*(A307*AN$71+B307*AO$71+C307*AP$71+D307*AQ$71)+F307/100*$B$7*AS$71-$C$71</f>
        <v/>
      </c>
      <c r="N307" s="13">
        <f>SUMPRODUCT($H$24:$M$24,H307:M307)</f>
        <v/>
      </c>
      <c r="O307" s="14">
        <f>SQRT(SUMPRODUCT($H$24:$M$24,(H307:M307-N307)^2))</f>
        <v/>
      </c>
      <c r="P307" s="13">
        <f>MIN(H307:M307)</f>
        <v/>
      </c>
      <c r="Q307" s="13">
        <f>MAX(H307:M307)</f>
        <v/>
      </c>
      <c r="R307" s="27">
        <f>IF(G307,SUMPRODUCT(($G$76:$G$1505)*($N$76:$N$1505&gt;=N307)*($O$76:$O$1505&lt;=O307))=1,FALSE)</f>
        <v/>
      </c>
      <c r="S307" s="16">
        <f>IF(R307,ABS((O307-$AC$76)/MAX(0.0001,$AC$77-$AC$76)-(N307-$AC$78)/MAX(0.0001,$AC$79-$AC$78)),-1)</f>
        <v/>
      </c>
      <c r="T307" s="14">
        <f>IF(G307,O307,NA())</f>
        <v/>
      </c>
      <c r="U307" s="13">
        <f>IF(G307,N307,NA())</f>
        <v/>
      </c>
      <c r="V307" s="14">
        <f>IF(R307,O307,NA())</f>
        <v/>
      </c>
      <c r="W307" s="13">
        <f>IF(R307,N307,NA())</f>
        <v/>
      </c>
      <c r="X307" s="27">
        <f>IF(G307,P307,"")</f>
        <v/>
      </c>
      <c r="Y307" s="27">
        <f>IF(G307,N307,"")</f>
        <v/>
      </c>
      <c r="Z307" s="27">
        <f>IF(R307,O307,"")</f>
        <v/>
      </c>
      <c r="AA307" s="27">
        <f>IF(R307,N307,"")</f>
        <v/>
      </c>
    </row>
    <row r="308">
      <c r="A308" s="31" t="n">
        <v>0</v>
      </c>
      <c r="B308" s="31" t="n">
        <v>0.5</v>
      </c>
      <c r="C308" s="31" t="n">
        <v>0.1</v>
      </c>
      <c r="D308" s="31" t="n">
        <v>0.4</v>
      </c>
      <c r="E308" s="27" t="inlineStr">
        <is>
          <t>1M 50%/2M 10%/3M 40%</t>
        </is>
      </c>
      <c r="F308" s="27" t="n">
        <v>50</v>
      </c>
      <c r="G308" s="27">
        <f>A308*$B$7&gt;=$B$9</f>
        <v/>
      </c>
      <c r="H308" s="13">
        <f>$B$7*(A308*E$71+B308*F$71+C308*G$71+D308*H$71)+F308/100*$B$7*J$71-$C$71</f>
        <v/>
      </c>
      <c r="I308" s="13">
        <f>$B$7*(A308*L$71+B308*M$71+C308*N$71+D308*O$71)+F308/100*$B$7*Q$71-$C$71</f>
        <v/>
      </c>
      <c r="J308" s="13">
        <f>$B$7*(A308*S$71+B308*T$71+C308*U$71+D308*V$71)+F308/100*$B$7*X$71-$C$71</f>
        <v/>
      </c>
      <c r="K308" s="13">
        <f>$B$7*(A308*Z$71+B308*AA$71+C308*AB$71+D308*AC$71)+F308/100*$B$7*AE$71-$C$71</f>
        <v/>
      </c>
      <c r="L308" s="13">
        <f>$B$7*(A308*AG$71+B308*AH$71+C308*AI$71+D308*AJ$71)+F308/100*$B$7*AL$71-$C$71</f>
        <v/>
      </c>
      <c r="M308" s="13">
        <f>$B$7*(A308*AN$71+B308*AO$71+C308*AP$71+D308*AQ$71)+F308/100*$B$7*AS$71-$C$71</f>
        <v/>
      </c>
      <c r="N308" s="13">
        <f>SUMPRODUCT($H$24:$M$24,H308:M308)</f>
        <v/>
      </c>
      <c r="O308" s="14">
        <f>SQRT(SUMPRODUCT($H$24:$M$24,(H308:M308-N308)^2))</f>
        <v/>
      </c>
      <c r="P308" s="13">
        <f>MIN(H308:M308)</f>
        <v/>
      </c>
      <c r="Q308" s="13">
        <f>MAX(H308:M308)</f>
        <v/>
      </c>
      <c r="R308" s="27">
        <f>IF(G308,SUMPRODUCT(($G$76:$G$1505)*($N$76:$N$1505&gt;=N308)*($O$76:$O$1505&lt;=O308))=1,FALSE)</f>
        <v/>
      </c>
      <c r="S308" s="16">
        <f>IF(R308,ABS((O308-$AC$76)/MAX(0.0001,$AC$77-$AC$76)-(N308-$AC$78)/MAX(0.0001,$AC$79-$AC$78)),-1)</f>
        <v/>
      </c>
      <c r="T308" s="14">
        <f>IF(G308,O308,NA())</f>
        <v/>
      </c>
      <c r="U308" s="13">
        <f>IF(G308,N308,NA())</f>
        <v/>
      </c>
      <c r="V308" s="14">
        <f>IF(R308,O308,NA())</f>
        <v/>
      </c>
      <c r="W308" s="13">
        <f>IF(R308,N308,NA())</f>
        <v/>
      </c>
      <c r="X308" s="27">
        <f>IF(G308,P308,"")</f>
        <v/>
      </c>
      <c r="Y308" s="27">
        <f>IF(G308,N308,"")</f>
        <v/>
      </c>
      <c r="Z308" s="27">
        <f>IF(R308,O308,"")</f>
        <v/>
      </c>
      <c r="AA308" s="27">
        <f>IF(R308,N308,"")</f>
        <v/>
      </c>
    </row>
    <row r="309">
      <c r="A309" s="31" t="n">
        <v>0</v>
      </c>
      <c r="B309" s="31" t="n">
        <v>0.5</v>
      </c>
      <c r="C309" s="31" t="n">
        <v>0.1</v>
      </c>
      <c r="D309" s="31" t="n">
        <v>0.4</v>
      </c>
      <c r="E309" s="27" t="inlineStr">
        <is>
          <t>1M 50%/2M 10%/3M 40%</t>
        </is>
      </c>
      <c r="F309" s="27" t="n">
        <v>75</v>
      </c>
      <c r="G309" s="27">
        <f>A309*$B$7&gt;=$B$9</f>
        <v/>
      </c>
      <c r="H309" s="13">
        <f>$B$7*(A309*E$71+B309*F$71+C309*G$71+D309*H$71)+F309/100*$B$7*J$71-$C$71</f>
        <v/>
      </c>
      <c r="I309" s="13">
        <f>$B$7*(A309*L$71+B309*M$71+C309*N$71+D309*O$71)+F309/100*$B$7*Q$71-$C$71</f>
        <v/>
      </c>
      <c r="J309" s="13">
        <f>$B$7*(A309*S$71+B309*T$71+C309*U$71+D309*V$71)+F309/100*$B$7*X$71-$C$71</f>
        <v/>
      </c>
      <c r="K309" s="13">
        <f>$B$7*(A309*Z$71+B309*AA$71+C309*AB$71+D309*AC$71)+F309/100*$B$7*AE$71-$C$71</f>
        <v/>
      </c>
      <c r="L309" s="13">
        <f>$B$7*(A309*AG$71+B309*AH$71+C309*AI$71+D309*AJ$71)+F309/100*$B$7*AL$71-$C$71</f>
        <v/>
      </c>
      <c r="M309" s="13">
        <f>$B$7*(A309*AN$71+B309*AO$71+C309*AP$71+D309*AQ$71)+F309/100*$B$7*AS$71-$C$71</f>
        <v/>
      </c>
      <c r="N309" s="13">
        <f>SUMPRODUCT($H$24:$M$24,H309:M309)</f>
        <v/>
      </c>
      <c r="O309" s="14">
        <f>SQRT(SUMPRODUCT($H$24:$M$24,(H309:M309-N309)^2))</f>
        <v/>
      </c>
      <c r="P309" s="13">
        <f>MIN(H309:M309)</f>
        <v/>
      </c>
      <c r="Q309" s="13">
        <f>MAX(H309:M309)</f>
        <v/>
      </c>
      <c r="R309" s="27">
        <f>IF(G309,SUMPRODUCT(($G$76:$G$1505)*($N$76:$N$1505&gt;=N309)*($O$76:$O$1505&lt;=O309))=1,FALSE)</f>
        <v/>
      </c>
      <c r="S309" s="16">
        <f>IF(R309,ABS((O309-$AC$76)/MAX(0.0001,$AC$77-$AC$76)-(N309-$AC$78)/MAX(0.0001,$AC$79-$AC$78)),-1)</f>
        <v/>
      </c>
      <c r="T309" s="14">
        <f>IF(G309,O309,NA())</f>
        <v/>
      </c>
      <c r="U309" s="13">
        <f>IF(G309,N309,NA())</f>
        <v/>
      </c>
      <c r="V309" s="14">
        <f>IF(R309,O309,NA())</f>
        <v/>
      </c>
      <c r="W309" s="13">
        <f>IF(R309,N309,NA())</f>
        <v/>
      </c>
      <c r="X309" s="27">
        <f>IF(G309,P309,"")</f>
        <v/>
      </c>
      <c r="Y309" s="27">
        <f>IF(G309,N309,"")</f>
        <v/>
      </c>
      <c r="Z309" s="27">
        <f>IF(R309,O309,"")</f>
        <v/>
      </c>
      <c r="AA309" s="27">
        <f>IF(R309,N309,"")</f>
        <v/>
      </c>
    </row>
    <row r="310">
      <c r="A310" s="31" t="n">
        <v>0</v>
      </c>
      <c r="B310" s="31" t="n">
        <v>0.5</v>
      </c>
      <c r="C310" s="31" t="n">
        <v>0.1</v>
      </c>
      <c r="D310" s="31" t="n">
        <v>0.4</v>
      </c>
      <c r="E310" s="27" t="inlineStr">
        <is>
          <t>1M 50%/2M 10%/3M 40%</t>
        </is>
      </c>
      <c r="F310" s="27" t="n">
        <v>100</v>
      </c>
      <c r="G310" s="27">
        <f>A310*$B$7&gt;=$B$9</f>
        <v/>
      </c>
      <c r="H310" s="13">
        <f>$B$7*(A310*E$71+B310*F$71+C310*G$71+D310*H$71)+F310/100*$B$7*J$71-$C$71</f>
        <v/>
      </c>
      <c r="I310" s="13">
        <f>$B$7*(A310*L$71+B310*M$71+C310*N$71+D310*O$71)+F310/100*$B$7*Q$71-$C$71</f>
        <v/>
      </c>
      <c r="J310" s="13">
        <f>$B$7*(A310*S$71+B310*T$71+C310*U$71+D310*V$71)+F310/100*$B$7*X$71-$C$71</f>
        <v/>
      </c>
      <c r="K310" s="13">
        <f>$B$7*(A310*Z$71+B310*AA$71+C310*AB$71+D310*AC$71)+F310/100*$B$7*AE$71-$C$71</f>
        <v/>
      </c>
      <c r="L310" s="13">
        <f>$B$7*(A310*AG$71+B310*AH$71+C310*AI$71+D310*AJ$71)+F310/100*$B$7*AL$71-$C$71</f>
        <v/>
      </c>
      <c r="M310" s="13">
        <f>$B$7*(A310*AN$71+B310*AO$71+C310*AP$71+D310*AQ$71)+F310/100*$B$7*AS$71-$C$71</f>
        <v/>
      </c>
      <c r="N310" s="13">
        <f>SUMPRODUCT($H$24:$M$24,H310:M310)</f>
        <v/>
      </c>
      <c r="O310" s="14">
        <f>SQRT(SUMPRODUCT($H$24:$M$24,(H310:M310-N310)^2))</f>
        <v/>
      </c>
      <c r="P310" s="13">
        <f>MIN(H310:M310)</f>
        <v/>
      </c>
      <c r="Q310" s="13">
        <f>MAX(H310:M310)</f>
        <v/>
      </c>
      <c r="R310" s="27">
        <f>IF(G310,SUMPRODUCT(($G$76:$G$1505)*($N$76:$N$1505&gt;=N310)*($O$76:$O$1505&lt;=O310))=1,FALSE)</f>
        <v/>
      </c>
      <c r="S310" s="16">
        <f>IF(R310,ABS((O310-$AC$76)/MAX(0.0001,$AC$77-$AC$76)-(N310-$AC$78)/MAX(0.0001,$AC$79-$AC$78)),-1)</f>
        <v/>
      </c>
      <c r="T310" s="14">
        <f>IF(G310,O310,NA())</f>
        <v/>
      </c>
      <c r="U310" s="13">
        <f>IF(G310,N310,NA())</f>
        <v/>
      </c>
      <c r="V310" s="14">
        <f>IF(R310,O310,NA())</f>
        <v/>
      </c>
      <c r="W310" s="13">
        <f>IF(R310,N310,NA())</f>
        <v/>
      </c>
      <c r="X310" s="27">
        <f>IF(G310,P310,"")</f>
        <v/>
      </c>
      <c r="Y310" s="27">
        <f>IF(G310,N310,"")</f>
        <v/>
      </c>
      <c r="Z310" s="27">
        <f>IF(R310,O310,"")</f>
        <v/>
      </c>
      <c r="AA310" s="27">
        <f>IF(R310,N310,"")</f>
        <v/>
      </c>
    </row>
    <row r="311">
      <c r="A311" s="31" t="n">
        <v>0</v>
      </c>
      <c r="B311" s="31" t="n">
        <v>0.5</v>
      </c>
      <c r="C311" s="31" t="n">
        <v>0.2</v>
      </c>
      <c r="D311" s="31" t="n">
        <v>0.3</v>
      </c>
      <c r="E311" s="27" t="inlineStr">
        <is>
          <t>1M 50%/2M 20%/3M 30%</t>
        </is>
      </c>
      <c r="F311" s="27" t="n">
        <v>0</v>
      </c>
      <c r="G311" s="27">
        <f>A311*$B$7&gt;=$B$9</f>
        <v/>
      </c>
      <c r="H311" s="13">
        <f>$B$7*(A311*E$71+B311*F$71+C311*G$71+D311*H$71)+F311/100*$B$7*J$71-$C$71</f>
        <v/>
      </c>
      <c r="I311" s="13">
        <f>$B$7*(A311*L$71+B311*M$71+C311*N$71+D311*O$71)+F311/100*$B$7*Q$71-$C$71</f>
        <v/>
      </c>
      <c r="J311" s="13">
        <f>$B$7*(A311*S$71+B311*T$71+C311*U$71+D311*V$71)+F311/100*$B$7*X$71-$C$71</f>
        <v/>
      </c>
      <c r="K311" s="13">
        <f>$B$7*(A311*Z$71+B311*AA$71+C311*AB$71+D311*AC$71)+F311/100*$B$7*AE$71-$C$71</f>
        <v/>
      </c>
      <c r="L311" s="13">
        <f>$B$7*(A311*AG$71+B311*AH$71+C311*AI$71+D311*AJ$71)+F311/100*$B$7*AL$71-$C$71</f>
        <v/>
      </c>
      <c r="M311" s="13">
        <f>$B$7*(A311*AN$71+B311*AO$71+C311*AP$71+D311*AQ$71)+F311/100*$B$7*AS$71-$C$71</f>
        <v/>
      </c>
      <c r="N311" s="13">
        <f>SUMPRODUCT($H$24:$M$24,H311:M311)</f>
        <v/>
      </c>
      <c r="O311" s="14">
        <f>SQRT(SUMPRODUCT($H$24:$M$24,(H311:M311-N311)^2))</f>
        <v/>
      </c>
      <c r="P311" s="13">
        <f>MIN(H311:M311)</f>
        <v/>
      </c>
      <c r="Q311" s="13">
        <f>MAX(H311:M311)</f>
        <v/>
      </c>
      <c r="R311" s="27">
        <f>IF(G311,SUMPRODUCT(($G$76:$G$1505)*($N$76:$N$1505&gt;=N311)*($O$76:$O$1505&lt;=O311))=1,FALSE)</f>
        <v/>
      </c>
      <c r="S311" s="16">
        <f>IF(R311,ABS((O311-$AC$76)/MAX(0.0001,$AC$77-$AC$76)-(N311-$AC$78)/MAX(0.0001,$AC$79-$AC$78)),-1)</f>
        <v/>
      </c>
      <c r="T311" s="14">
        <f>IF(G311,O311,NA())</f>
        <v/>
      </c>
      <c r="U311" s="13">
        <f>IF(G311,N311,NA())</f>
        <v/>
      </c>
      <c r="V311" s="14">
        <f>IF(R311,O311,NA())</f>
        <v/>
      </c>
      <c r="W311" s="13">
        <f>IF(R311,N311,NA())</f>
        <v/>
      </c>
      <c r="X311" s="27">
        <f>IF(G311,P311,"")</f>
        <v/>
      </c>
      <c r="Y311" s="27">
        <f>IF(G311,N311,"")</f>
        <v/>
      </c>
      <c r="Z311" s="27">
        <f>IF(R311,O311,"")</f>
        <v/>
      </c>
      <c r="AA311" s="27">
        <f>IF(R311,N311,"")</f>
        <v/>
      </c>
    </row>
    <row r="312">
      <c r="A312" s="31" t="n">
        <v>0</v>
      </c>
      <c r="B312" s="31" t="n">
        <v>0.5</v>
      </c>
      <c r="C312" s="31" t="n">
        <v>0.2</v>
      </c>
      <c r="D312" s="31" t="n">
        <v>0.3</v>
      </c>
      <c r="E312" s="27" t="inlineStr">
        <is>
          <t>1M 50%/2M 20%/3M 30%</t>
        </is>
      </c>
      <c r="F312" s="27" t="n">
        <v>25</v>
      </c>
      <c r="G312" s="27">
        <f>A312*$B$7&gt;=$B$9</f>
        <v/>
      </c>
      <c r="H312" s="13">
        <f>$B$7*(A312*E$71+B312*F$71+C312*G$71+D312*H$71)+F312/100*$B$7*J$71-$C$71</f>
        <v/>
      </c>
      <c r="I312" s="13">
        <f>$B$7*(A312*L$71+B312*M$71+C312*N$71+D312*O$71)+F312/100*$B$7*Q$71-$C$71</f>
        <v/>
      </c>
      <c r="J312" s="13">
        <f>$B$7*(A312*S$71+B312*T$71+C312*U$71+D312*V$71)+F312/100*$B$7*X$71-$C$71</f>
        <v/>
      </c>
      <c r="K312" s="13">
        <f>$B$7*(A312*Z$71+B312*AA$71+C312*AB$71+D312*AC$71)+F312/100*$B$7*AE$71-$C$71</f>
        <v/>
      </c>
      <c r="L312" s="13">
        <f>$B$7*(A312*AG$71+B312*AH$71+C312*AI$71+D312*AJ$71)+F312/100*$B$7*AL$71-$C$71</f>
        <v/>
      </c>
      <c r="M312" s="13">
        <f>$B$7*(A312*AN$71+B312*AO$71+C312*AP$71+D312*AQ$71)+F312/100*$B$7*AS$71-$C$71</f>
        <v/>
      </c>
      <c r="N312" s="13">
        <f>SUMPRODUCT($H$24:$M$24,H312:M312)</f>
        <v/>
      </c>
      <c r="O312" s="14">
        <f>SQRT(SUMPRODUCT($H$24:$M$24,(H312:M312-N312)^2))</f>
        <v/>
      </c>
      <c r="P312" s="13">
        <f>MIN(H312:M312)</f>
        <v/>
      </c>
      <c r="Q312" s="13">
        <f>MAX(H312:M312)</f>
        <v/>
      </c>
      <c r="R312" s="27">
        <f>IF(G312,SUMPRODUCT(($G$76:$G$1505)*($N$76:$N$1505&gt;=N312)*($O$76:$O$1505&lt;=O312))=1,FALSE)</f>
        <v/>
      </c>
      <c r="S312" s="16">
        <f>IF(R312,ABS((O312-$AC$76)/MAX(0.0001,$AC$77-$AC$76)-(N312-$AC$78)/MAX(0.0001,$AC$79-$AC$78)),-1)</f>
        <v/>
      </c>
      <c r="T312" s="14">
        <f>IF(G312,O312,NA())</f>
        <v/>
      </c>
      <c r="U312" s="13">
        <f>IF(G312,N312,NA())</f>
        <v/>
      </c>
      <c r="V312" s="14">
        <f>IF(R312,O312,NA())</f>
        <v/>
      </c>
      <c r="W312" s="13">
        <f>IF(R312,N312,NA())</f>
        <v/>
      </c>
      <c r="X312" s="27">
        <f>IF(G312,P312,"")</f>
        <v/>
      </c>
      <c r="Y312" s="27">
        <f>IF(G312,N312,"")</f>
        <v/>
      </c>
      <c r="Z312" s="27">
        <f>IF(R312,O312,"")</f>
        <v/>
      </c>
      <c r="AA312" s="27">
        <f>IF(R312,N312,"")</f>
        <v/>
      </c>
    </row>
    <row r="313">
      <c r="A313" s="31" t="n">
        <v>0</v>
      </c>
      <c r="B313" s="31" t="n">
        <v>0.5</v>
      </c>
      <c r="C313" s="31" t="n">
        <v>0.2</v>
      </c>
      <c r="D313" s="31" t="n">
        <v>0.3</v>
      </c>
      <c r="E313" s="27" t="inlineStr">
        <is>
          <t>1M 50%/2M 20%/3M 30%</t>
        </is>
      </c>
      <c r="F313" s="27" t="n">
        <v>50</v>
      </c>
      <c r="G313" s="27">
        <f>A313*$B$7&gt;=$B$9</f>
        <v/>
      </c>
      <c r="H313" s="13">
        <f>$B$7*(A313*E$71+B313*F$71+C313*G$71+D313*H$71)+F313/100*$B$7*J$71-$C$71</f>
        <v/>
      </c>
      <c r="I313" s="13">
        <f>$B$7*(A313*L$71+B313*M$71+C313*N$71+D313*O$71)+F313/100*$B$7*Q$71-$C$71</f>
        <v/>
      </c>
      <c r="J313" s="13">
        <f>$B$7*(A313*S$71+B313*T$71+C313*U$71+D313*V$71)+F313/100*$B$7*X$71-$C$71</f>
        <v/>
      </c>
      <c r="K313" s="13">
        <f>$B$7*(A313*Z$71+B313*AA$71+C313*AB$71+D313*AC$71)+F313/100*$B$7*AE$71-$C$71</f>
        <v/>
      </c>
      <c r="L313" s="13">
        <f>$B$7*(A313*AG$71+B313*AH$71+C313*AI$71+D313*AJ$71)+F313/100*$B$7*AL$71-$C$71</f>
        <v/>
      </c>
      <c r="M313" s="13">
        <f>$B$7*(A313*AN$71+B313*AO$71+C313*AP$71+D313*AQ$71)+F313/100*$B$7*AS$71-$C$71</f>
        <v/>
      </c>
      <c r="N313" s="13">
        <f>SUMPRODUCT($H$24:$M$24,H313:M313)</f>
        <v/>
      </c>
      <c r="O313" s="14">
        <f>SQRT(SUMPRODUCT($H$24:$M$24,(H313:M313-N313)^2))</f>
        <v/>
      </c>
      <c r="P313" s="13">
        <f>MIN(H313:M313)</f>
        <v/>
      </c>
      <c r="Q313" s="13">
        <f>MAX(H313:M313)</f>
        <v/>
      </c>
      <c r="R313" s="27">
        <f>IF(G313,SUMPRODUCT(($G$76:$G$1505)*($N$76:$N$1505&gt;=N313)*($O$76:$O$1505&lt;=O313))=1,FALSE)</f>
        <v/>
      </c>
      <c r="S313" s="16">
        <f>IF(R313,ABS((O313-$AC$76)/MAX(0.0001,$AC$77-$AC$76)-(N313-$AC$78)/MAX(0.0001,$AC$79-$AC$78)),-1)</f>
        <v/>
      </c>
      <c r="T313" s="14">
        <f>IF(G313,O313,NA())</f>
        <v/>
      </c>
      <c r="U313" s="13">
        <f>IF(G313,N313,NA())</f>
        <v/>
      </c>
      <c r="V313" s="14">
        <f>IF(R313,O313,NA())</f>
        <v/>
      </c>
      <c r="W313" s="13">
        <f>IF(R313,N313,NA())</f>
        <v/>
      </c>
      <c r="X313" s="27">
        <f>IF(G313,P313,"")</f>
        <v/>
      </c>
      <c r="Y313" s="27">
        <f>IF(G313,N313,"")</f>
        <v/>
      </c>
      <c r="Z313" s="27">
        <f>IF(R313,O313,"")</f>
        <v/>
      </c>
      <c r="AA313" s="27">
        <f>IF(R313,N313,"")</f>
        <v/>
      </c>
    </row>
    <row r="314">
      <c r="A314" s="31" t="n">
        <v>0</v>
      </c>
      <c r="B314" s="31" t="n">
        <v>0.5</v>
      </c>
      <c r="C314" s="31" t="n">
        <v>0.2</v>
      </c>
      <c r="D314" s="31" t="n">
        <v>0.3</v>
      </c>
      <c r="E314" s="27" t="inlineStr">
        <is>
          <t>1M 50%/2M 20%/3M 30%</t>
        </is>
      </c>
      <c r="F314" s="27" t="n">
        <v>75</v>
      </c>
      <c r="G314" s="27">
        <f>A314*$B$7&gt;=$B$9</f>
        <v/>
      </c>
      <c r="H314" s="13">
        <f>$B$7*(A314*E$71+B314*F$71+C314*G$71+D314*H$71)+F314/100*$B$7*J$71-$C$71</f>
        <v/>
      </c>
      <c r="I314" s="13">
        <f>$B$7*(A314*L$71+B314*M$71+C314*N$71+D314*O$71)+F314/100*$B$7*Q$71-$C$71</f>
        <v/>
      </c>
      <c r="J314" s="13">
        <f>$B$7*(A314*S$71+B314*T$71+C314*U$71+D314*V$71)+F314/100*$B$7*X$71-$C$71</f>
        <v/>
      </c>
      <c r="K314" s="13">
        <f>$B$7*(A314*Z$71+B314*AA$71+C314*AB$71+D314*AC$71)+F314/100*$B$7*AE$71-$C$71</f>
        <v/>
      </c>
      <c r="L314" s="13">
        <f>$B$7*(A314*AG$71+B314*AH$71+C314*AI$71+D314*AJ$71)+F314/100*$B$7*AL$71-$C$71</f>
        <v/>
      </c>
      <c r="M314" s="13">
        <f>$B$7*(A314*AN$71+B314*AO$71+C314*AP$71+D314*AQ$71)+F314/100*$B$7*AS$71-$C$71</f>
        <v/>
      </c>
      <c r="N314" s="13">
        <f>SUMPRODUCT($H$24:$M$24,H314:M314)</f>
        <v/>
      </c>
      <c r="O314" s="14">
        <f>SQRT(SUMPRODUCT($H$24:$M$24,(H314:M314-N314)^2))</f>
        <v/>
      </c>
      <c r="P314" s="13">
        <f>MIN(H314:M314)</f>
        <v/>
      </c>
      <c r="Q314" s="13">
        <f>MAX(H314:M314)</f>
        <v/>
      </c>
      <c r="R314" s="27">
        <f>IF(G314,SUMPRODUCT(($G$76:$G$1505)*($N$76:$N$1505&gt;=N314)*($O$76:$O$1505&lt;=O314))=1,FALSE)</f>
        <v/>
      </c>
      <c r="S314" s="16">
        <f>IF(R314,ABS((O314-$AC$76)/MAX(0.0001,$AC$77-$AC$76)-(N314-$AC$78)/MAX(0.0001,$AC$79-$AC$78)),-1)</f>
        <v/>
      </c>
      <c r="T314" s="14">
        <f>IF(G314,O314,NA())</f>
        <v/>
      </c>
      <c r="U314" s="13">
        <f>IF(G314,N314,NA())</f>
        <v/>
      </c>
      <c r="V314" s="14">
        <f>IF(R314,O314,NA())</f>
        <v/>
      </c>
      <c r="W314" s="13">
        <f>IF(R314,N314,NA())</f>
        <v/>
      </c>
      <c r="X314" s="27">
        <f>IF(G314,P314,"")</f>
        <v/>
      </c>
      <c r="Y314" s="27">
        <f>IF(G314,N314,"")</f>
        <v/>
      </c>
      <c r="Z314" s="27">
        <f>IF(R314,O314,"")</f>
        <v/>
      </c>
      <c r="AA314" s="27">
        <f>IF(R314,N314,"")</f>
        <v/>
      </c>
    </row>
    <row r="315">
      <c r="A315" s="31" t="n">
        <v>0</v>
      </c>
      <c r="B315" s="31" t="n">
        <v>0.5</v>
      </c>
      <c r="C315" s="31" t="n">
        <v>0.2</v>
      </c>
      <c r="D315" s="31" t="n">
        <v>0.3</v>
      </c>
      <c r="E315" s="27" t="inlineStr">
        <is>
          <t>1M 50%/2M 20%/3M 30%</t>
        </is>
      </c>
      <c r="F315" s="27" t="n">
        <v>100</v>
      </c>
      <c r="G315" s="27">
        <f>A315*$B$7&gt;=$B$9</f>
        <v/>
      </c>
      <c r="H315" s="13">
        <f>$B$7*(A315*E$71+B315*F$71+C315*G$71+D315*H$71)+F315/100*$B$7*J$71-$C$71</f>
        <v/>
      </c>
      <c r="I315" s="13">
        <f>$B$7*(A315*L$71+B315*M$71+C315*N$71+D315*O$71)+F315/100*$B$7*Q$71-$C$71</f>
        <v/>
      </c>
      <c r="J315" s="13">
        <f>$B$7*(A315*S$71+B315*T$71+C315*U$71+D315*V$71)+F315/100*$B$7*X$71-$C$71</f>
        <v/>
      </c>
      <c r="K315" s="13">
        <f>$B$7*(A315*Z$71+B315*AA$71+C315*AB$71+D315*AC$71)+F315/100*$B$7*AE$71-$C$71</f>
        <v/>
      </c>
      <c r="L315" s="13">
        <f>$B$7*(A315*AG$71+B315*AH$71+C315*AI$71+D315*AJ$71)+F315/100*$B$7*AL$71-$C$71</f>
        <v/>
      </c>
      <c r="M315" s="13">
        <f>$B$7*(A315*AN$71+B315*AO$71+C315*AP$71+D315*AQ$71)+F315/100*$B$7*AS$71-$C$71</f>
        <v/>
      </c>
      <c r="N315" s="13">
        <f>SUMPRODUCT($H$24:$M$24,H315:M315)</f>
        <v/>
      </c>
      <c r="O315" s="14">
        <f>SQRT(SUMPRODUCT($H$24:$M$24,(H315:M315-N315)^2))</f>
        <v/>
      </c>
      <c r="P315" s="13">
        <f>MIN(H315:M315)</f>
        <v/>
      </c>
      <c r="Q315" s="13">
        <f>MAX(H315:M315)</f>
        <v/>
      </c>
      <c r="R315" s="27">
        <f>IF(G315,SUMPRODUCT(($G$76:$G$1505)*($N$76:$N$1505&gt;=N315)*($O$76:$O$1505&lt;=O315))=1,FALSE)</f>
        <v/>
      </c>
      <c r="S315" s="16">
        <f>IF(R315,ABS((O315-$AC$76)/MAX(0.0001,$AC$77-$AC$76)-(N315-$AC$78)/MAX(0.0001,$AC$79-$AC$78)),-1)</f>
        <v/>
      </c>
      <c r="T315" s="14">
        <f>IF(G315,O315,NA())</f>
        <v/>
      </c>
      <c r="U315" s="13">
        <f>IF(G315,N315,NA())</f>
        <v/>
      </c>
      <c r="V315" s="14">
        <f>IF(R315,O315,NA())</f>
        <v/>
      </c>
      <c r="W315" s="13">
        <f>IF(R315,N315,NA())</f>
        <v/>
      </c>
      <c r="X315" s="27">
        <f>IF(G315,P315,"")</f>
        <v/>
      </c>
      <c r="Y315" s="27">
        <f>IF(G315,N315,"")</f>
        <v/>
      </c>
      <c r="Z315" s="27">
        <f>IF(R315,O315,"")</f>
        <v/>
      </c>
      <c r="AA315" s="27">
        <f>IF(R315,N315,"")</f>
        <v/>
      </c>
    </row>
    <row r="316">
      <c r="A316" s="31" t="n">
        <v>0</v>
      </c>
      <c r="B316" s="31" t="n">
        <v>0.5</v>
      </c>
      <c r="C316" s="31" t="n">
        <v>0.3</v>
      </c>
      <c r="D316" s="31" t="n">
        <v>0.2</v>
      </c>
      <c r="E316" s="27" t="inlineStr">
        <is>
          <t>1M 50%/2M 30%/3M 20%</t>
        </is>
      </c>
      <c r="F316" s="27" t="n">
        <v>0</v>
      </c>
      <c r="G316" s="27">
        <f>A316*$B$7&gt;=$B$9</f>
        <v/>
      </c>
      <c r="H316" s="13">
        <f>$B$7*(A316*E$71+B316*F$71+C316*G$71+D316*H$71)+F316/100*$B$7*J$71-$C$71</f>
        <v/>
      </c>
      <c r="I316" s="13">
        <f>$B$7*(A316*L$71+B316*M$71+C316*N$71+D316*O$71)+F316/100*$B$7*Q$71-$C$71</f>
        <v/>
      </c>
      <c r="J316" s="13">
        <f>$B$7*(A316*S$71+B316*T$71+C316*U$71+D316*V$71)+F316/100*$B$7*X$71-$C$71</f>
        <v/>
      </c>
      <c r="K316" s="13">
        <f>$B$7*(A316*Z$71+B316*AA$71+C316*AB$71+D316*AC$71)+F316/100*$B$7*AE$71-$C$71</f>
        <v/>
      </c>
      <c r="L316" s="13">
        <f>$B$7*(A316*AG$71+B316*AH$71+C316*AI$71+D316*AJ$71)+F316/100*$B$7*AL$71-$C$71</f>
        <v/>
      </c>
      <c r="M316" s="13">
        <f>$B$7*(A316*AN$71+B316*AO$71+C316*AP$71+D316*AQ$71)+F316/100*$B$7*AS$71-$C$71</f>
        <v/>
      </c>
      <c r="N316" s="13">
        <f>SUMPRODUCT($H$24:$M$24,H316:M316)</f>
        <v/>
      </c>
      <c r="O316" s="14">
        <f>SQRT(SUMPRODUCT($H$24:$M$24,(H316:M316-N316)^2))</f>
        <v/>
      </c>
      <c r="P316" s="13">
        <f>MIN(H316:M316)</f>
        <v/>
      </c>
      <c r="Q316" s="13">
        <f>MAX(H316:M316)</f>
        <v/>
      </c>
      <c r="R316" s="27">
        <f>IF(G316,SUMPRODUCT(($G$76:$G$1505)*($N$76:$N$1505&gt;=N316)*($O$76:$O$1505&lt;=O316))=1,FALSE)</f>
        <v/>
      </c>
      <c r="S316" s="16">
        <f>IF(R316,ABS((O316-$AC$76)/MAX(0.0001,$AC$77-$AC$76)-(N316-$AC$78)/MAX(0.0001,$AC$79-$AC$78)),-1)</f>
        <v/>
      </c>
      <c r="T316" s="14">
        <f>IF(G316,O316,NA())</f>
        <v/>
      </c>
      <c r="U316" s="13">
        <f>IF(G316,N316,NA())</f>
        <v/>
      </c>
      <c r="V316" s="14">
        <f>IF(R316,O316,NA())</f>
        <v/>
      </c>
      <c r="W316" s="13">
        <f>IF(R316,N316,NA())</f>
        <v/>
      </c>
      <c r="X316" s="27">
        <f>IF(G316,P316,"")</f>
        <v/>
      </c>
      <c r="Y316" s="27">
        <f>IF(G316,N316,"")</f>
        <v/>
      </c>
      <c r="Z316" s="27">
        <f>IF(R316,O316,"")</f>
        <v/>
      </c>
      <c r="AA316" s="27">
        <f>IF(R316,N316,"")</f>
        <v/>
      </c>
    </row>
    <row r="317">
      <c r="A317" s="31" t="n">
        <v>0</v>
      </c>
      <c r="B317" s="31" t="n">
        <v>0.5</v>
      </c>
      <c r="C317" s="31" t="n">
        <v>0.3</v>
      </c>
      <c r="D317" s="31" t="n">
        <v>0.2</v>
      </c>
      <c r="E317" s="27" t="inlineStr">
        <is>
          <t>1M 50%/2M 30%/3M 20%</t>
        </is>
      </c>
      <c r="F317" s="27" t="n">
        <v>25</v>
      </c>
      <c r="G317" s="27">
        <f>A317*$B$7&gt;=$B$9</f>
        <v/>
      </c>
      <c r="H317" s="13">
        <f>$B$7*(A317*E$71+B317*F$71+C317*G$71+D317*H$71)+F317/100*$B$7*J$71-$C$71</f>
        <v/>
      </c>
      <c r="I317" s="13">
        <f>$B$7*(A317*L$71+B317*M$71+C317*N$71+D317*O$71)+F317/100*$B$7*Q$71-$C$71</f>
        <v/>
      </c>
      <c r="J317" s="13">
        <f>$B$7*(A317*S$71+B317*T$71+C317*U$71+D317*V$71)+F317/100*$B$7*X$71-$C$71</f>
        <v/>
      </c>
      <c r="K317" s="13">
        <f>$B$7*(A317*Z$71+B317*AA$71+C317*AB$71+D317*AC$71)+F317/100*$B$7*AE$71-$C$71</f>
        <v/>
      </c>
      <c r="L317" s="13">
        <f>$B$7*(A317*AG$71+B317*AH$71+C317*AI$71+D317*AJ$71)+F317/100*$B$7*AL$71-$C$71</f>
        <v/>
      </c>
      <c r="M317" s="13">
        <f>$B$7*(A317*AN$71+B317*AO$71+C317*AP$71+D317*AQ$71)+F317/100*$B$7*AS$71-$C$71</f>
        <v/>
      </c>
      <c r="N317" s="13">
        <f>SUMPRODUCT($H$24:$M$24,H317:M317)</f>
        <v/>
      </c>
      <c r="O317" s="14">
        <f>SQRT(SUMPRODUCT($H$24:$M$24,(H317:M317-N317)^2))</f>
        <v/>
      </c>
      <c r="P317" s="13">
        <f>MIN(H317:M317)</f>
        <v/>
      </c>
      <c r="Q317" s="13">
        <f>MAX(H317:M317)</f>
        <v/>
      </c>
      <c r="R317" s="27">
        <f>IF(G317,SUMPRODUCT(($G$76:$G$1505)*($N$76:$N$1505&gt;=N317)*($O$76:$O$1505&lt;=O317))=1,FALSE)</f>
        <v/>
      </c>
      <c r="S317" s="16">
        <f>IF(R317,ABS((O317-$AC$76)/MAX(0.0001,$AC$77-$AC$76)-(N317-$AC$78)/MAX(0.0001,$AC$79-$AC$78)),-1)</f>
        <v/>
      </c>
      <c r="T317" s="14">
        <f>IF(G317,O317,NA())</f>
        <v/>
      </c>
      <c r="U317" s="13">
        <f>IF(G317,N317,NA())</f>
        <v/>
      </c>
      <c r="V317" s="14">
        <f>IF(R317,O317,NA())</f>
        <v/>
      </c>
      <c r="W317" s="13">
        <f>IF(R317,N317,NA())</f>
        <v/>
      </c>
      <c r="X317" s="27">
        <f>IF(G317,P317,"")</f>
        <v/>
      </c>
      <c r="Y317" s="27">
        <f>IF(G317,N317,"")</f>
        <v/>
      </c>
      <c r="Z317" s="27">
        <f>IF(R317,O317,"")</f>
        <v/>
      </c>
      <c r="AA317" s="27">
        <f>IF(R317,N317,"")</f>
        <v/>
      </c>
    </row>
    <row r="318">
      <c r="A318" s="31" t="n">
        <v>0</v>
      </c>
      <c r="B318" s="31" t="n">
        <v>0.5</v>
      </c>
      <c r="C318" s="31" t="n">
        <v>0.3</v>
      </c>
      <c r="D318" s="31" t="n">
        <v>0.2</v>
      </c>
      <c r="E318" s="27" t="inlineStr">
        <is>
          <t>1M 50%/2M 30%/3M 20%</t>
        </is>
      </c>
      <c r="F318" s="27" t="n">
        <v>50</v>
      </c>
      <c r="G318" s="27">
        <f>A318*$B$7&gt;=$B$9</f>
        <v/>
      </c>
      <c r="H318" s="13">
        <f>$B$7*(A318*E$71+B318*F$71+C318*G$71+D318*H$71)+F318/100*$B$7*J$71-$C$71</f>
        <v/>
      </c>
      <c r="I318" s="13">
        <f>$B$7*(A318*L$71+B318*M$71+C318*N$71+D318*O$71)+F318/100*$B$7*Q$71-$C$71</f>
        <v/>
      </c>
      <c r="J318" s="13">
        <f>$B$7*(A318*S$71+B318*T$71+C318*U$71+D318*V$71)+F318/100*$B$7*X$71-$C$71</f>
        <v/>
      </c>
      <c r="K318" s="13">
        <f>$B$7*(A318*Z$71+B318*AA$71+C318*AB$71+D318*AC$71)+F318/100*$B$7*AE$71-$C$71</f>
        <v/>
      </c>
      <c r="L318" s="13">
        <f>$B$7*(A318*AG$71+B318*AH$71+C318*AI$71+D318*AJ$71)+F318/100*$B$7*AL$71-$C$71</f>
        <v/>
      </c>
      <c r="M318" s="13">
        <f>$B$7*(A318*AN$71+B318*AO$71+C318*AP$71+D318*AQ$71)+F318/100*$B$7*AS$71-$C$71</f>
        <v/>
      </c>
      <c r="N318" s="13">
        <f>SUMPRODUCT($H$24:$M$24,H318:M318)</f>
        <v/>
      </c>
      <c r="O318" s="14">
        <f>SQRT(SUMPRODUCT($H$24:$M$24,(H318:M318-N318)^2))</f>
        <v/>
      </c>
      <c r="P318" s="13">
        <f>MIN(H318:M318)</f>
        <v/>
      </c>
      <c r="Q318" s="13">
        <f>MAX(H318:M318)</f>
        <v/>
      </c>
      <c r="R318" s="27">
        <f>IF(G318,SUMPRODUCT(($G$76:$G$1505)*($N$76:$N$1505&gt;=N318)*($O$76:$O$1505&lt;=O318))=1,FALSE)</f>
        <v/>
      </c>
      <c r="S318" s="16">
        <f>IF(R318,ABS((O318-$AC$76)/MAX(0.0001,$AC$77-$AC$76)-(N318-$AC$78)/MAX(0.0001,$AC$79-$AC$78)),-1)</f>
        <v/>
      </c>
      <c r="T318" s="14">
        <f>IF(G318,O318,NA())</f>
        <v/>
      </c>
      <c r="U318" s="13">
        <f>IF(G318,N318,NA())</f>
        <v/>
      </c>
      <c r="V318" s="14">
        <f>IF(R318,O318,NA())</f>
        <v/>
      </c>
      <c r="W318" s="13">
        <f>IF(R318,N318,NA())</f>
        <v/>
      </c>
      <c r="X318" s="27">
        <f>IF(G318,P318,"")</f>
        <v/>
      </c>
      <c r="Y318" s="27">
        <f>IF(G318,N318,"")</f>
        <v/>
      </c>
      <c r="Z318" s="27">
        <f>IF(R318,O318,"")</f>
        <v/>
      </c>
      <c r="AA318" s="27">
        <f>IF(R318,N318,"")</f>
        <v/>
      </c>
    </row>
    <row r="319">
      <c r="A319" s="31" t="n">
        <v>0</v>
      </c>
      <c r="B319" s="31" t="n">
        <v>0.5</v>
      </c>
      <c r="C319" s="31" t="n">
        <v>0.3</v>
      </c>
      <c r="D319" s="31" t="n">
        <v>0.2</v>
      </c>
      <c r="E319" s="27" t="inlineStr">
        <is>
          <t>1M 50%/2M 30%/3M 20%</t>
        </is>
      </c>
      <c r="F319" s="27" t="n">
        <v>75</v>
      </c>
      <c r="G319" s="27">
        <f>A319*$B$7&gt;=$B$9</f>
        <v/>
      </c>
      <c r="H319" s="13">
        <f>$B$7*(A319*E$71+B319*F$71+C319*G$71+D319*H$71)+F319/100*$B$7*J$71-$C$71</f>
        <v/>
      </c>
      <c r="I319" s="13">
        <f>$B$7*(A319*L$71+B319*M$71+C319*N$71+D319*O$71)+F319/100*$B$7*Q$71-$C$71</f>
        <v/>
      </c>
      <c r="J319" s="13">
        <f>$B$7*(A319*S$71+B319*T$71+C319*U$71+D319*V$71)+F319/100*$B$7*X$71-$C$71</f>
        <v/>
      </c>
      <c r="K319" s="13">
        <f>$B$7*(A319*Z$71+B319*AA$71+C319*AB$71+D319*AC$71)+F319/100*$B$7*AE$71-$C$71</f>
        <v/>
      </c>
      <c r="L319" s="13">
        <f>$B$7*(A319*AG$71+B319*AH$71+C319*AI$71+D319*AJ$71)+F319/100*$B$7*AL$71-$C$71</f>
        <v/>
      </c>
      <c r="M319" s="13">
        <f>$B$7*(A319*AN$71+B319*AO$71+C319*AP$71+D319*AQ$71)+F319/100*$B$7*AS$71-$C$71</f>
        <v/>
      </c>
      <c r="N319" s="13">
        <f>SUMPRODUCT($H$24:$M$24,H319:M319)</f>
        <v/>
      </c>
      <c r="O319" s="14">
        <f>SQRT(SUMPRODUCT($H$24:$M$24,(H319:M319-N319)^2))</f>
        <v/>
      </c>
      <c r="P319" s="13">
        <f>MIN(H319:M319)</f>
        <v/>
      </c>
      <c r="Q319" s="13">
        <f>MAX(H319:M319)</f>
        <v/>
      </c>
      <c r="R319" s="27">
        <f>IF(G319,SUMPRODUCT(($G$76:$G$1505)*($N$76:$N$1505&gt;=N319)*($O$76:$O$1505&lt;=O319))=1,FALSE)</f>
        <v/>
      </c>
      <c r="S319" s="16">
        <f>IF(R319,ABS((O319-$AC$76)/MAX(0.0001,$AC$77-$AC$76)-(N319-$AC$78)/MAX(0.0001,$AC$79-$AC$78)),-1)</f>
        <v/>
      </c>
      <c r="T319" s="14">
        <f>IF(G319,O319,NA())</f>
        <v/>
      </c>
      <c r="U319" s="13">
        <f>IF(G319,N319,NA())</f>
        <v/>
      </c>
      <c r="V319" s="14">
        <f>IF(R319,O319,NA())</f>
        <v/>
      </c>
      <c r="W319" s="13">
        <f>IF(R319,N319,NA())</f>
        <v/>
      </c>
      <c r="X319" s="27">
        <f>IF(G319,P319,"")</f>
        <v/>
      </c>
      <c r="Y319" s="27">
        <f>IF(G319,N319,"")</f>
        <v/>
      </c>
      <c r="Z319" s="27">
        <f>IF(R319,O319,"")</f>
        <v/>
      </c>
      <c r="AA319" s="27">
        <f>IF(R319,N319,"")</f>
        <v/>
      </c>
    </row>
    <row r="320">
      <c r="A320" s="31" t="n">
        <v>0</v>
      </c>
      <c r="B320" s="31" t="n">
        <v>0.5</v>
      </c>
      <c r="C320" s="31" t="n">
        <v>0.3</v>
      </c>
      <c r="D320" s="31" t="n">
        <v>0.2</v>
      </c>
      <c r="E320" s="27" t="inlineStr">
        <is>
          <t>1M 50%/2M 30%/3M 20%</t>
        </is>
      </c>
      <c r="F320" s="27" t="n">
        <v>100</v>
      </c>
      <c r="G320" s="27">
        <f>A320*$B$7&gt;=$B$9</f>
        <v/>
      </c>
      <c r="H320" s="13">
        <f>$B$7*(A320*E$71+B320*F$71+C320*G$71+D320*H$71)+F320/100*$B$7*J$71-$C$71</f>
        <v/>
      </c>
      <c r="I320" s="13">
        <f>$B$7*(A320*L$71+B320*M$71+C320*N$71+D320*O$71)+F320/100*$B$7*Q$71-$C$71</f>
        <v/>
      </c>
      <c r="J320" s="13">
        <f>$B$7*(A320*S$71+B320*T$71+C320*U$71+D320*V$71)+F320/100*$B$7*X$71-$C$71</f>
        <v/>
      </c>
      <c r="K320" s="13">
        <f>$B$7*(A320*Z$71+B320*AA$71+C320*AB$71+D320*AC$71)+F320/100*$B$7*AE$71-$C$71</f>
        <v/>
      </c>
      <c r="L320" s="13">
        <f>$B$7*(A320*AG$71+B320*AH$71+C320*AI$71+D320*AJ$71)+F320/100*$B$7*AL$71-$C$71</f>
        <v/>
      </c>
      <c r="M320" s="13">
        <f>$B$7*(A320*AN$71+B320*AO$71+C320*AP$71+D320*AQ$71)+F320/100*$B$7*AS$71-$C$71</f>
        <v/>
      </c>
      <c r="N320" s="13">
        <f>SUMPRODUCT($H$24:$M$24,H320:M320)</f>
        <v/>
      </c>
      <c r="O320" s="14">
        <f>SQRT(SUMPRODUCT($H$24:$M$24,(H320:M320-N320)^2))</f>
        <v/>
      </c>
      <c r="P320" s="13">
        <f>MIN(H320:M320)</f>
        <v/>
      </c>
      <c r="Q320" s="13">
        <f>MAX(H320:M320)</f>
        <v/>
      </c>
      <c r="R320" s="27">
        <f>IF(G320,SUMPRODUCT(($G$76:$G$1505)*($N$76:$N$1505&gt;=N320)*($O$76:$O$1505&lt;=O320))=1,FALSE)</f>
        <v/>
      </c>
      <c r="S320" s="16">
        <f>IF(R320,ABS((O320-$AC$76)/MAX(0.0001,$AC$77-$AC$76)-(N320-$AC$78)/MAX(0.0001,$AC$79-$AC$78)),-1)</f>
        <v/>
      </c>
      <c r="T320" s="14">
        <f>IF(G320,O320,NA())</f>
        <v/>
      </c>
      <c r="U320" s="13">
        <f>IF(G320,N320,NA())</f>
        <v/>
      </c>
      <c r="V320" s="14">
        <f>IF(R320,O320,NA())</f>
        <v/>
      </c>
      <c r="W320" s="13">
        <f>IF(R320,N320,NA())</f>
        <v/>
      </c>
      <c r="X320" s="27">
        <f>IF(G320,P320,"")</f>
        <v/>
      </c>
      <c r="Y320" s="27">
        <f>IF(G320,N320,"")</f>
        <v/>
      </c>
      <c r="Z320" s="27">
        <f>IF(R320,O320,"")</f>
        <v/>
      </c>
      <c r="AA320" s="27">
        <f>IF(R320,N320,"")</f>
        <v/>
      </c>
    </row>
    <row r="321">
      <c r="A321" s="31" t="n">
        <v>0</v>
      </c>
      <c r="B321" s="31" t="n">
        <v>0.5</v>
      </c>
      <c r="C321" s="31" t="n">
        <v>0.4</v>
      </c>
      <c r="D321" s="31" t="n">
        <v>0.1</v>
      </c>
      <c r="E321" s="27" t="inlineStr">
        <is>
          <t>1M 50%/2M 40%/3M 10%</t>
        </is>
      </c>
      <c r="F321" s="27" t="n">
        <v>0</v>
      </c>
      <c r="G321" s="27">
        <f>A321*$B$7&gt;=$B$9</f>
        <v/>
      </c>
      <c r="H321" s="13">
        <f>$B$7*(A321*E$71+B321*F$71+C321*G$71+D321*H$71)+F321/100*$B$7*J$71-$C$71</f>
        <v/>
      </c>
      <c r="I321" s="13">
        <f>$B$7*(A321*L$71+B321*M$71+C321*N$71+D321*O$71)+F321/100*$B$7*Q$71-$C$71</f>
        <v/>
      </c>
      <c r="J321" s="13">
        <f>$B$7*(A321*S$71+B321*T$71+C321*U$71+D321*V$71)+F321/100*$B$7*X$71-$C$71</f>
        <v/>
      </c>
      <c r="K321" s="13">
        <f>$B$7*(A321*Z$71+B321*AA$71+C321*AB$71+D321*AC$71)+F321/100*$B$7*AE$71-$C$71</f>
        <v/>
      </c>
      <c r="L321" s="13">
        <f>$B$7*(A321*AG$71+B321*AH$71+C321*AI$71+D321*AJ$71)+F321/100*$B$7*AL$71-$C$71</f>
        <v/>
      </c>
      <c r="M321" s="13">
        <f>$B$7*(A321*AN$71+B321*AO$71+C321*AP$71+D321*AQ$71)+F321/100*$B$7*AS$71-$C$71</f>
        <v/>
      </c>
      <c r="N321" s="13">
        <f>SUMPRODUCT($H$24:$M$24,H321:M321)</f>
        <v/>
      </c>
      <c r="O321" s="14">
        <f>SQRT(SUMPRODUCT($H$24:$M$24,(H321:M321-N321)^2))</f>
        <v/>
      </c>
      <c r="P321" s="13">
        <f>MIN(H321:M321)</f>
        <v/>
      </c>
      <c r="Q321" s="13">
        <f>MAX(H321:M321)</f>
        <v/>
      </c>
      <c r="R321" s="27">
        <f>IF(G321,SUMPRODUCT(($G$76:$G$1505)*($N$76:$N$1505&gt;=N321)*($O$76:$O$1505&lt;=O321))=1,FALSE)</f>
        <v/>
      </c>
      <c r="S321" s="16">
        <f>IF(R321,ABS((O321-$AC$76)/MAX(0.0001,$AC$77-$AC$76)-(N321-$AC$78)/MAX(0.0001,$AC$79-$AC$78)),-1)</f>
        <v/>
      </c>
      <c r="T321" s="14">
        <f>IF(G321,O321,NA())</f>
        <v/>
      </c>
      <c r="U321" s="13">
        <f>IF(G321,N321,NA())</f>
        <v/>
      </c>
      <c r="V321" s="14">
        <f>IF(R321,O321,NA())</f>
        <v/>
      </c>
      <c r="W321" s="13">
        <f>IF(R321,N321,NA())</f>
        <v/>
      </c>
      <c r="X321" s="27">
        <f>IF(G321,P321,"")</f>
        <v/>
      </c>
      <c r="Y321" s="27">
        <f>IF(G321,N321,"")</f>
        <v/>
      </c>
      <c r="Z321" s="27">
        <f>IF(R321,O321,"")</f>
        <v/>
      </c>
      <c r="AA321" s="27">
        <f>IF(R321,N321,"")</f>
        <v/>
      </c>
    </row>
    <row r="322">
      <c r="A322" s="31" t="n">
        <v>0</v>
      </c>
      <c r="B322" s="31" t="n">
        <v>0.5</v>
      </c>
      <c r="C322" s="31" t="n">
        <v>0.4</v>
      </c>
      <c r="D322" s="31" t="n">
        <v>0.1</v>
      </c>
      <c r="E322" s="27" t="inlineStr">
        <is>
          <t>1M 50%/2M 40%/3M 10%</t>
        </is>
      </c>
      <c r="F322" s="27" t="n">
        <v>25</v>
      </c>
      <c r="G322" s="27">
        <f>A322*$B$7&gt;=$B$9</f>
        <v/>
      </c>
      <c r="H322" s="13">
        <f>$B$7*(A322*E$71+B322*F$71+C322*G$71+D322*H$71)+F322/100*$B$7*J$71-$C$71</f>
        <v/>
      </c>
      <c r="I322" s="13">
        <f>$B$7*(A322*L$71+B322*M$71+C322*N$71+D322*O$71)+F322/100*$B$7*Q$71-$C$71</f>
        <v/>
      </c>
      <c r="J322" s="13">
        <f>$B$7*(A322*S$71+B322*T$71+C322*U$71+D322*V$71)+F322/100*$B$7*X$71-$C$71</f>
        <v/>
      </c>
      <c r="K322" s="13">
        <f>$B$7*(A322*Z$71+B322*AA$71+C322*AB$71+D322*AC$71)+F322/100*$B$7*AE$71-$C$71</f>
        <v/>
      </c>
      <c r="L322" s="13">
        <f>$B$7*(A322*AG$71+B322*AH$71+C322*AI$71+D322*AJ$71)+F322/100*$B$7*AL$71-$C$71</f>
        <v/>
      </c>
      <c r="M322" s="13">
        <f>$B$7*(A322*AN$71+B322*AO$71+C322*AP$71+D322*AQ$71)+F322/100*$B$7*AS$71-$C$71</f>
        <v/>
      </c>
      <c r="N322" s="13">
        <f>SUMPRODUCT($H$24:$M$24,H322:M322)</f>
        <v/>
      </c>
      <c r="O322" s="14">
        <f>SQRT(SUMPRODUCT($H$24:$M$24,(H322:M322-N322)^2))</f>
        <v/>
      </c>
      <c r="P322" s="13">
        <f>MIN(H322:M322)</f>
        <v/>
      </c>
      <c r="Q322" s="13">
        <f>MAX(H322:M322)</f>
        <v/>
      </c>
      <c r="R322" s="27">
        <f>IF(G322,SUMPRODUCT(($G$76:$G$1505)*($N$76:$N$1505&gt;=N322)*($O$76:$O$1505&lt;=O322))=1,FALSE)</f>
        <v/>
      </c>
      <c r="S322" s="16">
        <f>IF(R322,ABS((O322-$AC$76)/MAX(0.0001,$AC$77-$AC$76)-(N322-$AC$78)/MAX(0.0001,$AC$79-$AC$78)),-1)</f>
        <v/>
      </c>
      <c r="T322" s="14">
        <f>IF(G322,O322,NA())</f>
        <v/>
      </c>
      <c r="U322" s="13">
        <f>IF(G322,N322,NA())</f>
        <v/>
      </c>
      <c r="V322" s="14">
        <f>IF(R322,O322,NA())</f>
        <v/>
      </c>
      <c r="W322" s="13">
        <f>IF(R322,N322,NA())</f>
        <v/>
      </c>
      <c r="X322" s="27">
        <f>IF(G322,P322,"")</f>
        <v/>
      </c>
      <c r="Y322" s="27">
        <f>IF(G322,N322,"")</f>
        <v/>
      </c>
      <c r="Z322" s="27">
        <f>IF(R322,O322,"")</f>
        <v/>
      </c>
      <c r="AA322" s="27">
        <f>IF(R322,N322,"")</f>
        <v/>
      </c>
    </row>
    <row r="323">
      <c r="A323" s="31" t="n">
        <v>0</v>
      </c>
      <c r="B323" s="31" t="n">
        <v>0.5</v>
      </c>
      <c r="C323" s="31" t="n">
        <v>0.4</v>
      </c>
      <c r="D323" s="31" t="n">
        <v>0.1</v>
      </c>
      <c r="E323" s="27" t="inlineStr">
        <is>
          <t>1M 50%/2M 40%/3M 10%</t>
        </is>
      </c>
      <c r="F323" s="27" t="n">
        <v>50</v>
      </c>
      <c r="G323" s="27">
        <f>A323*$B$7&gt;=$B$9</f>
        <v/>
      </c>
      <c r="H323" s="13">
        <f>$B$7*(A323*E$71+B323*F$71+C323*G$71+D323*H$71)+F323/100*$B$7*J$71-$C$71</f>
        <v/>
      </c>
      <c r="I323" s="13">
        <f>$B$7*(A323*L$71+B323*M$71+C323*N$71+D323*O$71)+F323/100*$B$7*Q$71-$C$71</f>
        <v/>
      </c>
      <c r="J323" s="13">
        <f>$B$7*(A323*S$71+B323*T$71+C323*U$71+D323*V$71)+F323/100*$B$7*X$71-$C$71</f>
        <v/>
      </c>
      <c r="K323" s="13">
        <f>$B$7*(A323*Z$71+B323*AA$71+C323*AB$71+D323*AC$71)+F323/100*$B$7*AE$71-$C$71</f>
        <v/>
      </c>
      <c r="L323" s="13">
        <f>$B$7*(A323*AG$71+B323*AH$71+C323*AI$71+D323*AJ$71)+F323/100*$B$7*AL$71-$C$71</f>
        <v/>
      </c>
      <c r="M323" s="13">
        <f>$B$7*(A323*AN$71+B323*AO$71+C323*AP$71+D323*AQ$71)+F323/100*$B$7*AS$71-$C$71</f>
        <v/>
      </c>
      <c r="N323" s="13">
        <f>SUMPRODUCT($H$24:$M$24,H323:M323)</f>
        <v/>
      </c>
      <c r="O323" s="14">
        <f>SQRT(SUMPRODUCT($H$24:$M$24,(H323:M323-N323)^2))</f>
        <v/>
      </c>
      <c r="P323" s="13">
        <f>MIN(H323:M323)</f>
        <v/>
      </c>
      <c r="Q323" s="13">
        <f>MAX(H323:M323)</f>
        <v/>
      </c>
      <c r="R323" s="27">
        <f>IF(G323,SUMPRODUCT(($G$76:$G$1505)*($N$76:$N$1505&gt;=N323)*($O$76:$O$1505&lt;=O323))=1,FALSE)</f>
        <v/>
      </c>
      <c r="S323" s="16">
        <f>IF(R323,ABS((O323-$AC$76)/MAX(0.0001,$AC$77-$AC$76)-(N323-$AC$78)/MAX(0.0001,$AC$79-$AC$78)),-1)</f>
        <v/>
      </c>
      <c r="T323" s="14">
        <f>IF(G323,O323,NA())</f>
        <v/>
      </c>
      <c r="U323" s="13">
        <f>IF(G323,N323,NA())</f>
        <v/>
      </c>
      <c r="V323" s="14">
        <f>IF(R323,O323,NA())</f>
        <v/>
      </c>
      <c r="W323" s="13">
        <f>IF(R323,N323,NA())</f>
        <v/>
      </c>
      <c r="X323" s="27">
        <f>IF(G323,P323,"")</f>
        <v/>
      </c>
      <c r="Y323" s="27">
        <f>IF(G323,N323,"")</f>
        <v/>
      </c>
      <c r="Z323" s="27">
        <f>IF(R323,O323,"")</f>
        <v/>
      </c>
      <c r="AA323" s="27">
        <f>IF(R323,N323,"")</f>
        <v/>
      </c>
    </row>
    <row r="324">
      <c r="A324" s="31" t="n">
        <v>0</v>
      </c>
      <c r="B324" s="31" t="n">
        <v>0.5</v>
      </c>
      <c r="C324" s="31" t="n">
        <v>0.4</v>
      </c>
      <c r="D324" s="31" t="n">
        <v>0.1</v>
      </c>
      <c r="E324" s="27" t="inlineStr">
        <is>
          <t>1M 50%/2M 40%/3M 10%</t>
        </is>
      </c>
      <c r="F324" s="27" t="n">
        <v>75</v>
      </c>
      <c r="G324" s="27">
        <f>A324*$B$7&gt;=$B$9</f>
        <v/>
      </c>
      <c r="H324" s="13">
        <f>$B$7*(A324*E$71+B324*F$71+C324*G$71+D324*H$71)+F324/100*$B$7*J$71-$C$71</f>
        <v/>
      </c>
      <c r="I324" s="13">
        <f>$B$7*(A324*L$71+B324*M$71+C324*N$71+D324*O$71)+F324/100*$B$7*Q$71-$C$71</f>
        <v/>
      </c>
      <c r="J324" s="13">
        <f>$B$7*(A324*S$71+B324*T$71+C324*U$71+D324*V$71)+F324/100*$B$7*X$71-$C$71</f>
        <v/>
      </c>
      <c r="K324" s="13">
        <f>$B$7*(A324*Z$71+B324*AA$71+C324*AB$71+D324*AC$71)+F324/100*$B$7*AE$71-$C$71</f>
        <v/>
      </c>
      <c r="L324" s="13">
        <f>$B$7*(A324*AG$71+B324*AH$71+C324*AI$71+D324*AJ$71)+F324/100*$B$7*AL$71-$C$71</f>
        <v/>
      </c>
      <c r="M324" s="13">
        <f>$B$7*(A324*AN$71+B324*AO$71+C324*AP$71+D324*AQ$71)+F324/100*$B$7*AS$71-$C$71</f>
        <v/>
      </c>
      <c r="N324" s="13">
        <f>SUMPRODUCT($H$24:$M$24,H324:M324)</f>
        <v/>
      </c>
      <c r="O324" s="14">
        <f>SQRT(SUMPRODUCT($H$24:$M$24,(H324:M324-N324)^2))</f>
        <v/>
      </c>
      <c r="P324" s="13">
        <f>MIN(H324:M324)</f>
        <v/>
      </c>
      <c r="Q324" s="13">
        <f>MAX(H324:M324)</f>
        <v/>
      </c>
      <c r="R324" s="27">
        <f>IF(G324,SUMPRODUCT(($G$76:$G$1505)*($N$76:$N$1505&gt;=N324)*($O$76:$O$1505&lt;=O324))=1,FALSE)</f>
        <v/>
      </c>
      <c r="S324" s="16">
        <f>IF(R324,ABS((O324-$AC$76)/MAX(0.0001,$AC$77-$AC$76)-(N324-$AC$78)/MAX(0.0001,$AC$79-$AC$78)),-1)</f>
        <v/>
      </c>
      <c r="T324" s="14">
        <f>IF(G324,O324,NA())</f>
        <v/>
      </c>
      <c r="U324" s="13">
        <f>IF(G324,N324,NA())</f>
        <v/>
      </c>
      <c r="V324" s="14">
        <f>IF(R324,O324,NA())</f>
        <v/>
      </c>
      <c r="W324" s="13">
        <f>IF(R324,N324,NA())</f>
        <v/>
      </c>
      <c r="X324" s="27">
        <f>IF(G324,P324,"")</f>
        <v/>
      </c>
      <c r="Y324" s="27">
        <f>IF(G324,N324,"")</f>
        <v/>
      </c>
      <c r="Z324" s="27">
        <f>IF(R324,O324,"")</f>
        <v/>
      </c>
      <c r="AA324" s="27">
        <f>IF(R324,N324,"")</f>
        <v/>
      </c>
    </row>
    <row r="325">
      <c r="A325" s="31" t="n">
        <v>0</v>
      </c>
      <c r="B325" s="31" t="n">
        <v>0.5</v>
      </c>
      <c r="C325" s="31" t="n">
        <v>0.4</v>
      </c>
      <c r="D325" s="31" t="n">
        <v>0.1</v>
      </c>
      <c r="E325" s="27" t="inlineStr">
        <is>
          <t>1M 50%/2M 40%/3M 10%</t>
        </is>
      </c>
      <c r="F325" s="27" t="n">
        <v>100</v>
      </c>
      <c r="G325" s="27">
        <f>A325*$B$7&gt;=$B$9</f>
        <v/>
      </c>
      <c r="H325" s="13">
        <f>$B$7*(A325*E$71+B325*F$71+C325*G$71+D325*H$71)+F325/100*$B$7*J$71-$C$71</f>
        <v/>
      </c>
      <c r="I325" s="13">
        <f>$B$7*(A325*L$71+B325*M$71+C325*N$71+D325*O$71)+F325/100*$B$7*Q$71-$C$71</f>
        <v/>
      </c>
      <c r="J325" s="13">
        <f>$B$7*(A325*S$71+B325*T$71+C325*U$71+D325*V$71)+F325/100*$B$7*X$71-$C$71</f>
        <v/>
      </c>
      <c r="K325" s="13">
        <f>$B$7*(A325*Z$71+B325*AA$71+C325*AB$71+D325*AC$71)+F325/100*$B$7*AE$71-$C$71</f>
        <v/>
      </c>
      <c r="L325" s="13">
        <f>$B$7*(A325*AG$71+B325*AH$71+C325*AI$71+D325*AJ$71)+F325/100*$B$7*AL$71-$C$71</f>
        <v/>
      </c>
      <c r="M325" s="13">
        <f>$B$7*(A325*AN$71+B325*AO$71+C325*AP$71+D325*AQ$71)+F325/100*$B$7*AS$71-$C$71</f>
        <v/>
      </c>
      <c r="N325" s="13">
        <f>SUMPRODUCT($H$24:$M$24,H325:M325)</f>
        <v/>
      </c>
      <c r="O325" s="14">
        <f>SQRT(SUMPRODUCT($H$24:$M$24,(H325:M325-N325)^2))</f>
        <v/>
      </c>
      <c r="P325" s="13">
        <f>MIN(H325:M325)</f>
        <v/>
      </c>
      <c r="Q325" s="13">
        <f>MAX(H325:M325)</f>
        <v/>
      </c>
      <c r="R325" s="27">
        <f>IF(G325,SUMPRODUCT(($G$76:$G$1505)*($N$76:$N$1505&gt;=N325)*($O$76:$O$1505&lt;=O325))=1,FALSE)</f>
        <v/>
      </c>
      <c r="S325" s="16">
        <f>IF(R325,ABS((O325-$AC$76)/MAX(0.0001,$AC$77-$AC$76)-(N325-$AC$78)/MAX(0.0001,$AC$79-$AC$78)),-1)</f>
        <v/>
      </c>
      <c r="T325" s="14">
        <f>IF(G325,O325,NA())</f>
        <v/>
      </c>
      <c r="U325" s="13">
        <f>IF(G325,N325,NA())</f>
        <v/>
      </c>
      <c r="V325" s="14">
        <f>IF(R325,O325,NA())</f>
        <v/>
      </c>
      <c r="W325" s="13">
        <f>IF(R325,N325,NA())</f>
        <v/>
      </c>
      <c r="X325" s="27">
        <f>IF(G325,P325,"")</f>
        <v/>
      </c>
      <c r="Y325" s="27">
        <f>IF(G325,N325,"")</f>
        <v/>
      </c>
      <c r="Z325" s="27">
        <f>IF(R325,O325,"")</f>
        <v/>
      </c>
      <c r="AA325" s="27">
        <f>IF(R325,N325,"")</f>
        <v/>
      </c>
    </row>
    <row r="326">
      <c r="A326" s="31" t="n">
        <v>0</v>
      </c>
      <c r="B326" s="31" t="n">
        <v>0.5</v>
      </c>
      <c r="C326" s="31" t="n">
        <v>0.5</v>
      </c>
      <c r="D326" s="31" t="n">
        <v>0</v>
      </c>
      <c r="E326" s="27" t="inlineStr">
        <is>
          <t>1M 50%/2M 50%</t>
        </is>
      </c>
      <c r="F326" s="27" t="n">
        <v>0</v>
      </c>
      <c r="G326" s="27">
        <f>A326*$B$7&gt;=$B$9</f>
        <v/>
      </c>
      <c r="H326" s="13">
        <f>$B$7*(A326*E$71+B326*F$71+C326*G$71+D326*H$71)+F326/100*$B$7*J$71-$C$71</f>
        <v/>
      </c>
      <c r="I326" s="13">
        <f>$B$7*(A326*L$71+B326*M$71+C326*N$71+D326*O$71)+F326/100*$B$7*Q$71-$C$71</f>
        <v/>
      </c>
      <c r="J326" s="13">
        <f>$B$7*(A326*S$71+B326*T$71+C326*U$71+D326*V$71)+F326/100*$B$7*X$71-$C$71</f>
        <v/>
      </c>
      <c r="K326" s="13">
        <f>$B$7*(A326*Z$71+B326*AA$71+C326*AB$71+D326*AC$71)+F326/100*$B$7*AE$71-$C$71</f>
        <v/>
      </c>
      <c r="L326" s="13">
        <f>$B$7*(A326*AG$71+B326*AH$71+C326*AI$71+D326*AJ$71)+F326/100*$B$7*AL$71-$C$71</f>
        <v/>
      </c>
      <c r="M326" s="13">
        <f>$B$7*(A326*AN$71+B326*AO$71+C326*AP$71+D326*AQ$71)+F326/100*$B$7*AS$71-$C$71</f>
        <v/>
      </c>
      <c r="N326" s="13">
        <f>SUMPRODUCT($H$24:$M$24,H326:M326)</f>
        <v/>
      </c>
      <c r="O326" s="14">
        <f>SQRT(SUMPRODUCT($H$24:$M$24,(H326:M326-N326)^2))</f>
        <v/>
      </c>
      <c r="P326" s="13">
        <f>MIN(H326:M326)</f>
        <v/>
      </c>
      <c r="Q326" s="13">
        <f>MAX(H326:M326)</f>
        <v/>
      </c>
      <c r="R326" s="27">
        <f>IF(G326,SUMPRODUCT(($G$76:$G$1505)*($N$76:$N$1505&gt;=N326)*($O$76:$O$1505&lt;=O326))=1,FALSE)</f>
        <v/>
      </c>
      <c r="S326" s="16">
        <f>IF(R326,ABS((O326-$AC$76)/MAX(0.0001,$AC$77-$AC$76)-(N326-$AC$78)/MAX(0.0001,$AC$79-$AC$78)),-1)</f>
        <v/>
      </c>
      <c r="T326" s="14">
        <f>IF(G326,O326,NA())</f>
        <v/>
      </c>
      <c r="U326" s="13">
        <f>IF(G326,N326,NA())</f>
        <v/>
      </c>
      <c r="V326" s="14">
        <f>IF(R326,O326,NA())</f>
        <v/>
      </c>
      <c r="W326" s="13">
        <f>IF(R326,N326,NA())</f>
        <v/>
      </c>
      <c r="X326" s="27">
        <f>IF(G326,P326,"")</f>
        <v/>
      </c>
      <c r="Y326" s="27">
        <f>IF(G326,N326,"")</f>
        <v/>
      </c>
      <c r="Z326" s="27">
        <f>IF(R326,O326,"")</f>
        <v/>
      </c>
      <c r="AA326" s="27">
        <f>IF(R326,N326,"")</f>
        <v/>
      </c>
    </row>
    <row r="327">
      <c r="A327" s="31" t="n">
        <v>0</v>
      </c>
      <c r="B327" s="31" t="n">
        <v>0.5</v>
      </c>
      <c r="C327" s="31" t="n">
        <v>0.5</v>
      </c>
      <c r="D327" s="31" t="n">
        <v>0</v>
      </c>
      <c r="E327" s="27" t="inlineStr">
        <is>
          <t>1M 50%/2M 50%</t>
        </is>
      </c>
      <c r="F327" s="27" t="n">
        <v>25</v>
      </c>
      <c r="G327" s="27">
        <f>A327*$B$7&gt;=$B$9</f>
        <v/>
      </c>
      <c r="H327" s="13">
        <f>$B$7*(A327*E$71+B327*F$71+C327*G$71+D327*H$71)+F327/100*$B$7*J$71-$C$71</f>
        <v/>
      </c>
      <c r="I327" s="13">
        <f>$B$7*(A327*L$71+B327*M$71+C327*N$71+D327*O$71)+F327/100*$B$7*Q$71-$C$71</f>
        <v/>
      </c>
      <c r="J327" s="13">
        <f>$B$7*(A327*S$71+B327*T$71+C327*U$71+D327*V$71)+F327/100*$B$7*X$71-$C$71</f>
        <v/>
      </c>
      <c r="K327" s="13">
        <f>$B$7*(A327*Z$71+B327*AA$71+C327*AB$71+D327*AC$71)+F327/100*$B$7*AE$71-$C$71</f>
        <v/>
      </c>
      <c r="L327" s="13">
        <f>$B$7*(A327*AG$71+B327*AH$71+C327*AI$71+D327*AJ$71)+F327/100*$B$7*AL$71-$C$71</f>
        <v/>
      </c>
      <c r="M327" s="13">
        <f>$B$7*(A327*AN$71+B327*AO$71+C327*AP$71+D327*AQ$71)+F327/100*$B$7*AS$71-$C$71</f>
        <v/>
      </c>
      <c r="N327" s="13">
        <f>SUMPRODUCT($H$24:$M$24,H327:M327)</f>
        <v/>
      </c>
      <c r="O327" s="14">
        <f>SQRT(SUMPRODUCT($H$24:$M$24,(H327:M327-N327)^2))</f>
        <v/>
      </c>
      <c r="P327" s="13">
        <f>MIN(H327:M327)</f>
        <v/>
      </c>
      <c r="Q327" s="13">
        <f>MAX(H327:M327)</f>
        <v/>
      </c>
      <c r="R327" s="27">
        <f>IF(G327,SUMPRODUCT(($G$76:$G$1505)*($N$76:$N$1505&gt;=N327)*($O$76:$O$1505&lt;=O327))=1,FALSE)</f>
        <v/>
      </c>
      <c r="S327" s="16">
        <f>IF(R327,ABS((O327-$AC$76)/MAX(0.0001,$AC$77-$AC$76)-(N327-$AC$78)/MAX(0.0001,$AC$79-$AC$78)),-1)</f>
        <v/>
      </c>
      <c r="T327" s="14">
        <f>IF(G327,O327,NA())</f>
        <v/>
      </c>
      <c r="U327" s="13">
        <f>IF(G327,N327,NA())</f>
        <v/>
      </c>
      <c r="V327" s="14">
        <f>IF(R327,O327,NA())</f>
        <v/>
      </c>
      <c r="W327" s="13">
        <f>IF(R327,N327,NA())</f>
        <v/>
      </c>
      <c r="X327" s="27">
        <f>IF(G327,P327,"")</f>
        <v/>
      </c>
      <c r="Y327" s="27">
        <f>IF(G327,N327,"")</f>
        <v/>
      </c>
      <c r="Z327" s="27">
        <f>IF(R327,O327,"")</f>
        <v/>
      </c>
      <c r="AA327" s="27">
        <f>IF(R327,N327,"")</f>
        <v/>
      </c>
    </row>
    <row r="328">
      <c r="A328" s="31" t="n">
        <v>0</v>
      </c>
      <c r="B328" s="31" t="n">
        <v>0.5</v>
      </c>
      <c r="C328" s="31" t="n">
        <v>0.5</v>
      </c>
      <c r="D328" s="31" t="n">
        <v>0</v>
      </c>
      <c r="E328" s="27" t="inlineStr">
        <is>
          <t>1M 50%/2M 50%</t>
        </is>
      </c>
      <c r="F328" s="27" t="n">
        <v>50</v>
      </c>
      <c r="G328" s="27">
        <f>A328*$B$7&gt;=$B$9</f>
        <v/>
      </c>
      <c r="H328" s="13">
        <f>$B$7*(A328*E$71+B328*F$71+C328*G$71+D328*H$71)+F328/100*$B$7*J$71-$C$71</f>
        <v/>
      </c>
      <c r="I328" s="13">
        <f>$B$7*(A328*L$71+B328*M$71+C328*N$71+D328*O$71)+F328/100*$B$7*Q$71-$C$71</f>
        <v/>
      </c>
      <c r="J328" s="13">
        <f>$B$7*(A328*S$71+B328*T$71+C328*U$71+D328*V$71)+F328/100*$B$7*X$71-$C$71</f>
        <v/>
      </c>
      <c r="K328" s="13">
        <f>$B$7*(A328*Z$71+B328*AA$71+C328*AB$71+D328*AC$71)+F328/100*$B$7*AE$71-$C$71</f>
        <v/>
      </c>
      <c r="L328" s="13">
        <f>$B$7*(A328*AG$71+B328*AH$71+C328*AI$71+D328*AJ$71)+F328/100*$B$7*AL$71-$C$71</f>
        <v/>
      </c>
      <c r="M328" s="13">
        <f>$B$7*(A328*AN$71+B328*AO$71+C328*AP$71+D328*AQ$71)+F328/100*$B$7*AS$71-$C$71</f>
        <v/>
      </c>
      <c r="N328" s="13">
        <f>SUMPRODUCT($H$24:$M$24,H328:M328)</f>
        <v/>
      </c>
      <c r="O328" s="14">
        <f>SQRT(SUMPRODUCT($H$24:$M$24,(H328:M328-N328)^2))</f>
        <v/>
      </c>
      <c r="P328" s="13">
        <f>MIN(H328:M328)</f>
        <v/>
      </c>
      <c r="Q328" s="13">
        <f>MAX(H328:M328)</f>
        <v/>
      </c>
      <c r="R328" s="27">
        <f>IF(G328,SUMPRODUCT(($G$76:$G$1505)*($N$76:$N$1505&gt;=N328)*($O$76:$O$1505&lt;=O328))=1,FALSE)</f>
        <v/>
      </c>
      <c r="S328" s="16">
        <f>IF(R328,ABS((O328-$AC$76)/MAX(0.0001,$AC$77-$AC$76)-(N328-$AC$78)/MAX(0.0001,$AC$79-$AC$78)),-1)</f>
        <v/>
      </c>
      <c r="T328" s="14">
        <f>IF(G328,O328,NA())</f>
        <v/>
      </c>
      <c r="U328" s="13">
        <f>IF(G328,N328,NA())</f>
        <v/>
      </c>
      <c r="V328" s="14">
        <f>IF(R328,O328,NA())</f>
        <v/>
      </c>
      <c r="W328" s="13">
        <f>IF(R328,N328,NA())</f>
        <v/>
      </c>
      <c r="X328" s="27">
        <f>IF(G328,P328,"")</f>
        <v/>
      </c>
      <c r="Y328" s="27">
        <f>IF(G328,N328,"")</f>
        <v/>
      </c>
      <c r="Z328" s="27">
        <f>IF(R328,O328,"")</f>
        <v/>
      </c>
      <c r="AA328" s="27">
        <f>IF(R328,N328,"")</f>
        <v/>
      </c>
    </row>
    <row r="329">
      <c r="A329" s="31" t="n">
        <v>0</v>
      </c>
      <c r="B329" s="31" t="n">
        <v>0.5</v>
      </c>
      <c r="C329" s="31" t="n">
        <v>0.5</v>
      </c>
      <c r="D329" s="31" t="n">
        <v>0</v>
      </c>
      <c r="E329" s="27" t="inlineStr">
        <is>
          <t>1M 50%/2M 50%</t>
        </is>
      </c>
      <c r="F329" s="27" t="n">
        <v>75</v>
      </c>
      <c r="G329" s="27">
        <f>A329*$B$7&gt;=$B$9</f>
        <v/>
      </c>
      <c r="H329" s="13">
        <f>$B$7*(A329*E$71+B329*F$71+C329*G$71+D329*H$71)+F329/100*$B$7*J$71-$C$71</f>
        <v/>
      </c>
      <c r="I329" s="13">
        <f>$B$7*(A329*L$71+B329*M$71+C329*N$71+D329*O$71)+F329/100*$B$7*Q$71-$C$71</f>
        <v/>
      </c>
      <c r="J329" s="13">
        <f>$B$7*(A329*S$71+B329*T$71+C329*U$71+D329*V$71)+F329/100*$B$7*X$71-$C$71</f>
        <v/>
      </c>
      <c r="K329" s="13">
        <f>$B$7*(A329*Z$71+B329*AA$71+C329*AB$71+D329*AC$71)+F329/100*$B$7*AE$71-$C$71</f>
        <v/>
      </c>
      <c r="L329" s="13">
        <f>$B$7*(A329*AG$71+B329*AH$71+C329*AI$71+D329*AJ$71)+F329/100*$B$7*AL$71-$C$71</f>
        <v/>
      </c>
      <c r="M329" s="13">
        <f>$B$7*(A329*AN$71+B329*AO$71+C329*AP$71+D329*AQ$71)+F329/100*$B$7*AS$71-$C$71</f>
        <v/>
      </c>
      <c r="N329" s="13">
        <f>SUMPRODUCT($H$24:$M$24,H329:M329)</f>
        <v/>
      </c>
      <c r="O329" s="14">
        <f>SQRT(SUMPRODUCT($H$24:$M$24,(H329:M329-N329)^2))</f>
        <v/>
      </c>
      <c r="P329" s="13">
        <f>MIN(H329:M329)</f>
        <v/>
      </c>
      <c r="Q329" s="13">
        <f>MAX(H329:M329)</f>
        <v/>
      </c>
      <c r="R329" s="27">
        <f>IF(G329,SUMPRODUCT(($G$76:$G$1505)*($N$76:$N$1505&gt;=N329)*($O$76:$O$1505&lt;=O329))=1,FALSE)</f>
        <v/>
      </c>
      <c r="S329" s="16">
        <f>IF(R329,ABS((O329-$AC$76)/MAX(0.0001,$AC$77-$AC$76)-(N329-$AC$78)/MAX(0.0001,$AC$79-$AC$78)),-1)</f>
        <v/>
      </c>
      <c r="T329" s="14">
        <f>IF(G329,O329,NA())</f>
        <v/>
      </c>
      <c r="U329" s="13">
        <f>IF(G329,N329,NA())</f>
        <v/>
      </c>
      <c r="V329" s="14">
        <f>IF(R329,O329,NA())</f>
        <v/>
      </c>
      <c r="W329" s="13">
        <f>IF(R329,N329,NA())</f>
        <v/>
      </c>
      <c r="X329" s="27">
        <f>IF(G329,P329,"")</f>
        <v/>
      </c>
      <c r="Y329" s="27">
        <f>IF(G329,N329,"")</f>
        <v/>
      </c>
      <c r="Z329" s="27">
        <f>IF(R329,O329,"")</f>
        <v/>
      </c>
      <c r="AA329" s="27">
        <f>IF(R329,N329,"")</f>
        <v/>
      </c>
    </row>
    <row r="330">
      <c r="A330" s="31" t="n">
        <v>0</v>
      </c>
      <c r="B330" s="31" t="n">
        <v>0.5</v>
      </c>
      <c r="C330" s="31" t="n">
        <v>0.5</v>
      </c>
      <c r="D330" s="31" t="n">
        <v>0</v>
      </c>
      <c r="E330" s="27" t="inlineStr">
        <is>
          <t>1M 50%/2M 50%</t>
        </is>
      </c>
      <c r="F330" s="27" t="n">
        <v>100</v>
      </c>
      <c r="G330" s="27">
        <f>A330*$B$7&gt;=$B$9</f>
        <v/>
      </c>
      <c r="H330" s="13">
        <f>$B$7*(A330*E$71+B330*F$71+C330*G$71+D330*H$71)+F330/100*$B$7*J$71-$C$71</f>
        <v/>
      </c>
      <c r="I330" s="13">
        <f>$B$7*(A330*L$71+B330*M$71+C330*N$71+D330*O$71)+F330/100*$B$7*Q$71-$C$71</f>
        <v/>
      </c>
      <c r="J330" s="13">
        <f>$B$7*(A330*S$71+B330*T$71+C330*U$71+D330*V$71)+F330/100*$B$7*X$71-$C$71</f>
        <v/>
      </c>
      <c r="K330" s="13">
        <f>$B$7*(A330*Z$71+B330*AA$71+C330*AB$71+D330*AC$71)+F330/100*$B$7*AE$71-$C$71</f>
        <v/>
      </c>
      <c r="L330" s="13">
        <f>$B$7*(A330*AG$71+B330*AH$71+C330*AI$71+D330*AJ$71)+F330/100*$B$7*AL$71-$C$71</f>
        <v/>
      </c>
      <c r="M330" s="13">
        <f>$B$7*(A330*AN$71+B330*AO$71+C330*AP$71+D330*AQ$71)+F330/100*$B$7*AS$71-$C$71</f>
        <v/>
      </c>
      <c r="N330" s="13">
        <f>SUMPRODUCT($H$24:$M$24,H330:M330)</f>
        <v/>
      </c>
      <c r="O330" s="14">
        <f>SQRT(SUMPRODUCT($H$24:$M$24,(H330:M330-N330)^2))</f>
        <v/>
      </c>
      <c r="P330" s="13">
        <f>MIN(H330:M330)</f>
        <v/>
      </c>
      <c r="Q330" s="13">
        <f>MAX(H330:M330)</f>
        <v/>
      </c>
      <c r="R330" s="27">
        <f>IF(G330,SUMPRODUCT(($G$76:$G$1505)*($N$76:$N$1505&gt;=N330)*($O$76:$O$1505&lt;=O330))=1,FALSE)</f>
        <v/>
      </c>
      <c r="S330" s="16">
        <f>IF(R330,ABS((O330-$AC$76)/MAX(0.0001,$AC$77-$AC$76)-(N330-$AC$78)/MAX(0.0001,$AC$79-$AC$78)),-1)</f>
        <v/>
      </c>
      <c r="T330" s="14">
        <f>IF(G330,O330,NA())</f>
        <v/>
      </c>
      <c r="U330" s="13">
        <f>IF(G330,N330,NA())</f>
        <v/>
      </c>
      <c r="V330" s="14">
        <f>IF(R330,O330,NA())</f>
        <v/>
      </c>
      <c r="W330" s="13">
        <f>IF(R330,N330,NA())</f>
        <v/>
      </c>
      <c r="X330" s="27">
        <f>IF(G330,P330,"")</f>
        <v/>
      </c>
      <c r="Y330" s="27">
        <f>IF(G330,N330,"")</f>
        <v/>
      </c>
      <c r="Z330" s="27">
        <f>IF(R330,O330,"")</f>
        <v/>
      </c>
      <c r="AA330" s="27">
        <f>IF(R330,N330,"")</f>
        <v/>
      </c>
    </row>
    <row r="331">
      <c r="A331" s="31" t="n">
        <v>0</v>
      </c>
      <c r="B331" s="31" t="n">
        <v>0.6</v>
      </c>
      <c r="C331" s="31" t="n">
        <v>0</v>
      </c>
      <c r="D331" s="31" t="n">
        <v>0.4</v>
      </c>
      <c r="E331" s="27" t="inlineStr">
        <is>
          <t>1M 60%/3M 40%</t>
        </is>
      </c>
      <c r="F331" s="27" t="n">
        <v>0</v>
      </c>
      <c r="G331" s="27">
        <f>A331*$B$7&gt;=$B$9</f>
        <v/>
      </c>
      <c r="H331" s="13">
        <f>$B$7*(A331*E$71+B331*F$71+C331*G$71+D331*H$71)+F331/100*$B$7*J$71-$C$71</f>
        <v/>
      </c>
      <c r="I331" s="13">
        <f>$B$7*(A331*L$71+B331*M$71+C331*N$71+D331*O$71)+F331/100*$B$7*Q$71-$C$71</f>
        <v/>
      </c>
      <c r="J331" s="13">
        <f>$B$7*(A331*S$71+B331*T$71+C331*U$71+D331*V$71)+F331/100*$B$7*X$71-$C$71</f>
        <v/>
      </c>
      <c r="K331" s="13">
        <f>$B$7*(A331*Z$71+B331*AA$71+C331*AB$71+D331*AC$71)+F331/100*$B$7*AE$71-$C$71</f>
        <v/>
      </c>
      <c r="L331" s="13">
        <f>$B$7*(A331*AG$71+B331*AH$71+C331*AI$71+D331*AJ$71)+F331/100*$B$7*AL$71-$C$71</f>
        <v/>
      </c>
      <c r="M331" s="13">
        <f>$B$7*(A331*AN$71+B331*AO$71+C331*AP$71+D331*AQ$71)+F331/100*$B$7*AS$71-$C$71</f>
        <v/>
      </c>
      <c r="N331" s="13">
        <f>SUMPRODUCT($H$24:$M$24,H331:M331)</f>
        <v/>
      </c>
      <c r="O331" s="14">
        <f>SQRT(SUMPRODUCT($H$24:$M$24,(H331:M331-N331)^2))</f>
        <v/>
      </c>
      <c r="P331" s="13">
        <f>MIN(H331:M331)</f>
        <v/>
      </c>
      <c r="Q331" s="13">
        <f>MAX(H331:M331)</f>
        <v/>
      </c>
      <c r="R331" s="27">
        <f>IF(G331,SUMPRODUCT(($G$76:$G$1505)*($N$76:$N$1505&gt;=N331)*($O$76:$O$1505&lt;=O331))=1,FALSE)</f>
        <v/>
      </c>
      <c r="S331" s="16">
        <f>IF(R331,ABS((O331-$AC$76)/MAX(0.0001,$AC$77-$AC$76)-(N331-$AC$78)/MAX(0.0001,$AC$79-$AC$78)),-1)</f>
        <v/>
      </c>
      <c r="T331" s="14">
        <f>IF(G331,O331,NA())</f>
        <v/>
      </c>
      <c r="U331" s="13">
        <f>IF(G331,N331,NA())</f>
        <v/>
      </c>
      <c r="V331" s="14">
        <f>IF(R331,O331,NA())</f>
        <v/>
      </c>
      <c r="W331" s="13">
        <f>IF(R331,N331,NA())</f>
        <v/>
      </c>
      <c r="X331" s="27">
        <f>IF(G331,P331,"")</f>
        <v/>
      </c>
      <c r="Y331" s="27">
        <f>IF(G331,N331,"")</f>
        <v/>
      </c>
      <c r="Z331" s="27">
        <f>IF(R331,O331,"")</f>
        <v/>
      </c>
      <c r="AA331" s="27">
        <f>IF(R331,N331,"")</f>
        <v/>
      </c>
    </row>
    <row r="332">
      <c r="A332" s="31" t="n">
        <v>0</v>
      </c>
      <c r="B332" s="31" t="n">
        <v>0.6</v>
      </c>
      <c r="C332" s="31" t="n">
        <v>0</v>
      </c>
      <c r="D332" s="31" t="n">
        <v>0.4</v>
      </c>
      <c r="E332" s="27" t="inlineStr">
        <is>
          <t>1M 60%/3M 40%</t>
        </is>
      </c>
      <c r="F332" s="27" t="n">
        <v>25</v>
      </c>
      <c r="G332" s="27">
        <f>A332*$B$7&gt;=$B$9</f>
        <v/>
      </c>
      <c r="H332" s="13">
        <f>$B$7*(A332*E$71+B332*F$71+C332*G$71+D332*H$71)+F332/100*$B$7*J$71-$C$71</f>
        <v/>
      </c>
      <c r="I332" s="13">
        <f>$B$7*(A332*L$71+B332*M$71+C332*N$71+D332*O$71)+F332/100*$B$7*Q$71-$C$71</f>
        <v/>
      </c>
      <c r="J332" s="13">
        <f>$B$7*(A332*S$71+B332*T$71+C332*U$71+D332*V$71)+F332/100*$B$7*X$71-$C$71</f>
        <v/>
      </c>
      <c r="K332" s="13">
        <f>$B$7*(A332*Z$71+B332*AA$71+C332*AB$71+D332*AC$71)+F332/100*$B$7*AE$71-$C$71</f>
        <v/>
      </c>
      <c r="L332" s="13">
        <f>$B$7*(A332*AG$71+B332*AH$71+C332*AI$71+D332*AJ$71)+F332/100*$B$7*AL$71-$C$71</f>
        <v/>
      </c>
      <c r="M332" s="13">
        <f>$B$7*(A332*AN$71+B332*AO$71+C332*AP$71+D332*AQ$71)+F332/100*$B$7*AS$71-$C$71</f>
        <v/>
      </c>
      <c r="N332" s="13">
        <f>SUMPRODUCT($H$24:$M$24,H332:M332)</f>
        <v/>
      </c>
      <c r="O332" s="14">
        <f>SQRT(SUMPRODUCT($H$24:$M$24,(H332:M332-N332)^2))</f>
        <v/>
      </c>
      <c r="P332" s="13">
        <f>MIN(H332:M332)</f>
        <v/>
      </c>
      <c r="Q332" s="13">
        <f>MAX(H332:M332)</f>
        <v/>
      </c>
      <c r="R332" s="27">
        <f>IF(G332,SUMPRODUCT(($G$76:$G$1505)*($N$76:$N$1505&gt;=N332)*($O$76:$O$1505&lt;=O332))=1,FALSE)</f>
        <v/>
      </c>
      <c r="S332" s="16">
        <f>IF(R332,ABS((O332-$AC$76)/MAX(0.0001,$AC$77-$AC$76)-(N332-$AC$78)/MAX(0.0001,$AC$79-$AC$78)),-1)</f>
        <v/>
      </c>
      <c r="T332" s="14">
        <f>IF(G332,O332,NA())</f>
        <v/>
      </c>
      <c r="U332" s="13">
        <f>IF(G332,N332,NA())</f>
        <v/>
      </c>
      <c r="V332" s="14">
        <f>IF(R332,O332,NA())</f>
        <v/>
      </c>
      <c r="W332" s="13">
        <f>IF(R332,N332,NA())</f>
        <v/>
      </c>
      <c r="X332" s="27">
        <f>IF(G332,P332,"")</f>
        <v/>
      </c>
      <c r="Y332" s="27">
        <f>IF(G332,N332,"")</f>
        <v/>
      </c>
      <c r="Z332" s="27">
        <f>IF(R332,O332,"")</f>
        <v/>
      </c>
      <c r="AA332" s="27">
        <f>IF(R332,N332,"")</f>
        <v/>
      </c>
    </row>
    <row r="333">
      <c r="A333" s="31" t="n">
        <v>0</v>
      </c>
      <c r="B333" s="31" t="n">
        <v>0.6</v>
      </c>
      <c r="C333" s="31" t="n">
        <v>0</v>
      </c>
      <c r="D333" s="31" t="n">
        <v>0.4</v>
      </c>
      <c r="E333" s="27" t="inlineStr">
        <is>
          <t>1M 60%/3M 40%</t>
        </is>
      </c>
      <c r="F333" s="27" t="n">
        <v>50</v>
      </c>
      <c r="G333" s="27">
        <f>A333*$B$7&gt;=$B$9</f>
        <v/>
      </c>
      <c r="H333" s="13">
        <f>$B$7*(A333*E$71+B333*F$71+C333*G$71+D333*H$71)+F333/100*$B$7*J$71-$C$71</f>
        <v/>
      </c>
      <c r="I333" s="13">
        <f>$B$7*(A333*L$71+B333*M$71+C333*N$71+D333*O$71)+F333/100*$B$7*Q$71-$C$71</f>
        <v/>
      </c>
      <c r="J333" s="13">
        <f>$B$7*(A333*S$71+B333*T$71+C333*U$71+D333*V$71)+F333/100*$B$7*X$71-$C$71</f>
        <v/>
      </c>
      <c r="K333" s="13">
        <f>$B$7*(A333*Z$71+B333*AA$71+C333*AB$71+D333*AC$71)+F333/100*$B$7*AE$71-$C$71</f>
        <v/>
      </c>
      <c r="L333" s="13">
        <f>$B$7*(A333*AG$71+B333*AH$71+C333*AI$71+D333*AJ$71)+F333/100*$B$7*AL$71-$C$71</f>
        <v/>
      </c>
      <c r="M333" s="13">
        <f>$B$7*(A333*AN$71+B333*AO$71+C333*AP$71+D333*AQ$71)+F333/100*$B$7*AS$71-$C$71</f>
        <v/>
      </c>
      <c r="N333" s="13">
        <f>SUMPRODUCT($H$24:$M$24,H333:M333)</f>
        <v/>
      </c>
      <c r="O333" s="14">
        <f>SQRT(SUMPRODUCT($H$24:$M$24,(H333:M333-N333)^2))</f>
        <v/>
      </c>
      <c r="P333" s="13">
        <f>MIN(H333:M333)</f>
        <v/>
      </c>
      <c r="Q333" s="13">
        <f>MAX(H333:M333)</f>
        <v/>
      </c>
      <c r="R333" s="27">
        <f>IF(G333,SUMPRODUCT(($G$76:$G$1505)*($N$76:$N$1505&gt;=N333)*($O$76:$O$1505&lt;=O333))=1,FALSE)</f>
        <v/>
      </c>
      <c r="S333" s="16">
        <f>IF(R333,ABS((O333-$AC$76)/MAX(0.0001,$AC$77-$AC$76)-(N333-$AC$78)/MAX(0.0001,$AC$79-$AC$78)),-1)</f>
        <v/>
      </c>
      <c r="T333" s="14">
        <f>IF(G333,O333,NA())</f>
        <v/>
      </c>
      <c r="U333" s="13">
        <f>IF(G333,N333,NA())</f>
        <v/>
      </c>
      <c r="V333" s="14">
        <f>IF(R333,O333,NA())</f>
        <v/>
      </c>
      <c r="W333" s="13">
        <f>IF(R333,N333,NA())</f>
        <v/>
      </c>
      <c r="X333" s="27">
        <f>IF(G333,P333,"")</f>
        <v/>
      </c>
      <c r="Y333" s="27">
        <f>IF(G333,N333,"")</f>
        <v/>
      </c>
      <c r="Z333" s="27">
        <f>IF(R333,O333,"")</f>
        <v/>
      </c>
      <c r="AA333" s="27">
        <f>IF(R333,N333,"")</f>
        <v/>
      </c>
    </row>
    <row r="334">
      <c r="A334" s="31" t="n">
        <v>0</v>
      </c>
      <c r="B334" s="31" t="n">
        <v>0.6</v>
      </c>
      <c r="C334" s="31" t="n">
        <v>0</v>
      </c>
      <c r="D334" s="31" t="n">
        <v>0.4</v>
      </c>
      <c r="E334" s="27" t="inlineStr">
        <is>
          <t>1M 60%/3M 40%</t>
        </is>
      </c>
      <c r="F334" s="27" t="n">
        <v>75</v>
      </c>
      <c r="G334" s="27">
        <f>A334*$B$7&gt;=$B$9</f>
        <v/>
      </c>
      <c r="H334" s="13">
        <f>$B$7*(A334*E$71+B334*F$71+C334*G$71+D334*H$71)+F334/100*$B$7*J$71-$C$71</f>
        <v/>
      </c>
      <c r="I334" s="13">
        <f>$B$7*(A334*L$71+B334*M$71+C334*N$71+D334*O$71)+F334/100*$B$7*Q$71-$C$71</f>
        <v/>
      </c>
      <c r="J334" s="13">
        <f>$B$7*(A334*S$71+B334*T$71+C334*U$71+D334*V$71)+F334/100*$B$7*X$71-$C$71</f>
        <v/>
      </c>
      <c r="K334" s="13">
        <f>$B$7*(A334*Z$71+B334*AA$71+C334*AB$71+D334*AC$71)+F334/100*$B$7*AE$71-$C$71</f>
        <v/>
      </c>
      <c r="L334" s="13">
        <f>$B$7*(A334*AG$71+B334*AH$71+C334*AI$71+D334*AJ$71)+F334/100*$B$7*AL$71-$C$71</f>
        <v/>
      </c>
      <c r="M334" s="13">
        <f>$B$7*(A334*AN$71+B334*AO$71+C334*AP$71+D334*AQ$71)+F334/100*$B$7*AS$71-$C$71</f>
        <v/>
      </c>
      <c r="N334" s="13">
        <f>SUMPRODUCT($H$24:$M$24,H334:M334)</f>
        <v/>
      </c>
      <c r="O334" s="14">
        <f>SQRT(SUMPRODUCT($H$24:$M$24,(H334:M334-N334)^2))</f>
        <v/>
      </c>
      <c r="P334" s="13">
        <f>MIN(H334:M334)</f>
        <v/>
      </c>
      <c r="Q334" s="13">
        <f>MAX(H334:M334)</f>
        <v/>
      </c>
      <c r="R334" s="27">
        <f>IF(G334,SUMPRODUCT(($G$76:$G$1505)*($N$76:$N$1505&gt;=N334)*($O$76:$O$1505&lt;=O334))=1,FALSE)</f>
        <v/>
      </c>
      <c r="S334" s="16">
        <f>IF(R334,ABS((O334-$AC$76)/MAX(0.0001,$AC$77-$AC$76)-(N334-$AC$78)/MAX(0.0001,$AC$79-$AC$78)),-1)</f>
        <v/>
      </c>
      <c r="T334" s="14">
        <f>IF(G334,O334,NA())</f>
        <v/>
      </c>
      <c r="U334" s="13">
        <f>IF(G334,N334,NA())</f>
        <v/>
      </c>
      <c r="V334" s="14">
        <f>IF(R334,O334,NA())</f>
        <v/>
      </c>
      <c r="W334" s="13">
        <f>IF(R334,N334,NA())</f>
        <v/>
      </c>
      <c r="X334" s="27">
        <f>IF(G334,P334,"")</f>
        <v/>
      </c>
      <c r="Y334" s="27">
        <f>IF(G334,N334,"")</f>
        <v/>
      </c>
      <c r="Z334" s="27">
        <f>IF(R334,O334,"")</f>
        <v/>
      </c>
      <c r="AA334" s="27">
        <f>IF(R334,N334,"")</f>
        <v/>
      </c>
    </row>
    <row r="335">
      <c r="A335" s="31" t="n">
        <v>0</v>
      </c>
      <c r="B335" s="31" t="n">
        <v>0.6</v>
      </c>
      <c r="C335" s="31" t="n">
        <v>0</v>
      </c>
      <c r="D335" s="31" t="n">
        <v>0.4</v>
      </c>
      <c r="E335" s="27" t="inlineStr">
        <is>
          <t>1M 60%/3M 40%</t>
        </is>
      </c>
      <c r="F335" s="27" t="n">
        <v>100</v>
      </c>
      <c r="G335" s="27">
        <f>A335*$B$7&gt;=$B$9</f>
        <v/>
      </c>
      <c r="H335" s="13">
        <f>$B$7*(A335*E$71+B335*F$71+C335*G$71+D335*H$71)+F335/100*$B$7*J$71-$C$71</f>
        <v/>
      </c>
      <c r="I335" s="13">
        <f>$B$7*(A335*L$71+B335*M$71+C335*N$71+D335*O$71)+F335/100*$B$7*Q$71-$C$71</f>
        <v/>
      </c>
      <c r="J335" s="13">
        <f>$B$7*(A335*S$71+B335*T$71+C335*U$71+D335*V$71)+F335/100*$B$7*X$71-$C$71</f>
        <v/>
      </c>
      <c r="K335" s="13">
        <f>$B$7*(A335*Z$71+B335*AA$71+C335*AB$71+D335*AC$71)+F335/100*$B$7*AE$71-$C$71</f>
        <v/>
      </c>
      <c r="L335" s="13">
        <f>$B$7*(A335*AG$71+B335*AH$71+C335*AI$71+D335*AJ$71)+F335/100*$B$7*AL$71-$C$71</f>
        <v/>
      </c>
      <c r="M335" s="13">
        <f>$B$7*(A335*AN$71+B335*AO$71+C335*AP$71+D335*AQ$71)+F335/100*$B$7*AS$71-$C$71</f>
        <v/>
      </c>
      <c r="N335" s="13">
        <f>SUMPRODUCT($H$24:$M$24,H335:M335)</f>
        <v/>
      </c>
      <c r="O335" s="14">
        <f>SQRT(SUMPRODUCT($H$24:$M$24,(H335:M335-N335)^2))</f>
        <v/>
      </c>
      <c r="P335" s="13">
        <f>MIN(H335:M335)</f>
        <v/>
      </c>
      <c r="Q335" s="13">
        <f>MAX(H335:M335)</f>
        <v/>
      </c>
      <c r="R335" s="27">
        <f>IF(G335,SUMPRODUCT(($G$76:$G$1505)*($N$76:$N$1505&gt;=N335)*($O$76:$O$1505&lt;=O335))=1,FALSE)</f>
        <v/>
      </c>
      <c r="S335" s="16">
        <f>IF(R335,ABS((O335-$AC$76)/MAX(0.0001,$AC$77-$AC$76)-(N335-$AC$78)/MAX(0.0001,$AC$79-$AC$78)),-1)</f>
        <v/>
      </c>
      <c r="T335" s="14">
        <f>IF(G335,O335,NA())</f>
        <v/>
      </c>
      <c r="U335" s="13">
        <f>IF(G335,N335,NA())</f>
        <v/>
      </c>
      <c r="V335" s="14">
        <f>IF(R335,O335,NA())</f>
        <v/>
      </c>
      <c r="W335" s="13">
        <f>IF(R335,N335,NA())</f>
        <v/>
      </c>
      <c r="X335" s="27">
        <f>IF(G335,P335,"")</f>
        <v/>
      </c>
      <c r="Y335" s="27">
        <f>IF(G335,N335,"")</f>
        <v/>
      </c>
      <c r="Z335" s="27">
        <f>IF(R335,O335,"")</f>
        <v/>
      </c>
      <c r="AA335" s="27">
        <f>IF(R335,N335,"")</f>
        <v/>
      </c>
    </row>
    <row r="336">
      <c r="A336" s="31" t="n">
        <v>0</v>
      </c>
      <c r="B336" s="31" t="n">
        <v>0.6</v>
      </c>
      <c r="C336" s="31" t="n">
        <v>0.1</v>
      </c>
      <c r="D336" s="31" t="n">
        <v>0.3</v>
      </c>
      <c r="E336" s="27" t="inlineStr">
        <is>
          <t>1M 60%/2M 10%/3M 30%</t>
        </is>
      </c>
      <c r="F336" s="27" t="n">
        <v>0</v>
      </c>
      <c r="G336" s="27">
        <f>A336*$B$7&gt;=$B$9</f>
        <v/>
      </c>
      <c r="H336" s="13">
        <f>$B$7*(A336*E$71+B336*F$71+C336*G$71+D336*H$71)+F336/100*$B$7*J$71-$C$71</f>
        <v/>
      </c>
      <c r="I336" s="13">
        <f>$B$7*(A336*L$71+B336*M$71+C336*N$71+D336*O$71)+F336/100*$B$7*Q$71-$C$71</f>
        <v/>
      </c>
      <c r="J336" s="13">
        <f>$B$7*(A336*S$71+B336*T$71+C336*U$71+D336*V$71)+F336/100*$B$7*X$71-$C$71</f>
        <v/>
      </c>
      <c r="K336" s="13">
        <f>$B$7*(A336*Z$71+B336*AA$71+C336*AB$71+D336*AC$71)+F336/100*$B$7*AE$71-$C$71</f>
        <v/>
      </c>
      <c r="L336" s="13">
        <f>$B$7*(A336*AG$71+B336*AH$71+C336*AI$71+D336*AJ$71)+F336/100*$B$7*AL$71-$C$71</f>
        <v/>
      </c>
      <c r="M336" s="13">
        <f>$B$7*(A336*AN$71+B336*AO$71+C336*AP$71+D336*AQ$71)+F336/100*$B$7*AS$71-$C$71</f>
        <v/>
      </c>
      <c r="N336" s="13">
        <f>SUMPRODUCT($H$24:$M$24,H336:M336)</f>
        <v/>
      </c>
      <c r="O336" s="14">
        <f>SQRT(SUMPRODUCT($H$24:$M$24,(H336:M336-N336)^2))</f>
        <v/>
      </c>
      <c r="P336" s="13">
        <f>MIN(H336:M336)</f>
        <v/>
      </c>
      <c r="Q336" s="13">
        <f>MAX(H336:M336)</f>
        <v/>
      </c>
      <c r="R336" s="27">
        <f>IF(G336,SUMPRODUCT(($G$76:$G$1505)*($N$76:$N$1505&gt;=N336)*($O$76:$O$1505&lt;=O336))=1,FALSE)</f>
        <v/>
      </c>
      <c r="S336" s="16">
        <f>IF(R336,ABS((O336-$AC$76)/MAX(0.0001,$AC$77-$AC$76)-(N336-$AC$78)/MAX(0.0001,$AC$79-$AC$78)),-1)</f>
        <v/>
      </c>
      <c r="T336" s="14">
        <f>IF(G336,O336,NA())</f>
        <v/>
      </c>
      <c r="U336" s="13">
        <f>IF(G336,N336,NA())</f>
        <v/>
      </c>
      <c r="V336" s="14">
        <f>IF(R336,O336,NA())</f>
        <v/>
      </c>
      <c r="W336" s="13">
        <f>IF(R336,N336,NA())</f>
        <v/>
      </c>
      <c r="X336" s="27">
        <f>IF(G336,P336,"")</f>
        <v/>
      </c>
      <c r="Y336" s="27">
        <f>IF(G336,N336,"")</f>
        <v/>
      </c>
      <c r="Z336" s="27">
        <f>IF(R336,O336,"")</f>
        <v/>
      </c>
      <c r="AA336" s="27">
        <f>IF(R336,N336,"")</f>
        <v/>
      </c>
    </row>
    <row r="337">
      <c r="A337" s="31" t="n">
        <v>0</v>
      </c>
      <c r="B337" s="31" t="n">
        <v>0.6</v>
      </c>
      <c r="C337" s="31" t="n">
        <v>0.1</v>
      </c>
      <c r="D337" s="31" t="n">
        <v>0.3</v>
      </c>
      <c r="E337" s="27" t="inlineStr">
        <is>
          <t>1M 60%/2M 10%/3M 30%</t>
        </is>
      </c>
      <c r="F337" s="27" t="n">
        <v>25</v>
      </c>
      <c r="G337" s="27">
        <f>A337*$B$7&gt;=$B$9</f>
        <v/>
      </c>
      <c r="H337" s="13">
        <f>$B$7*(A337*E$71+B337*F$71+C337*G$71+D337*H$71)+F337/100*$B$7*J$71-$C$71</f>
        <v/>
      </c>
      <c r="I337" s="13">
        <f>$B$7*(A337*L$71+B337*M$71+C337*N$71+D337*O$71)+F337/100*$B$7*Q$71-$C$71</f>
        <v/>
      </c>
      <c r="J337" s="13">
        <f>$B$7*(A337*S$71+B337*T$71+C337*U$71+D337*V$71)+F337/100*$B$7*X$71-$C$71</f>
        <v/>
      </c>
      <c r="K337" s="13">
        <f>$B$7*(A337*Z$71+B337*AA$71+C337*AB$71+D337*AC$71)+F337/100*$B$7*AE$71-$C$71</f>
        <v/>
      </c>
      <c r="L337" s="13">
        <f>$B$7*(A337*AG$71+B337*AH$71+C337*AI$71+D337*AJ$71)+F337/100*$B$7*AL$71-$C$71</f>
        <v/>
      </c>
      <c r="M337" s="13">
        <f>$B$7*(A337*AN$71+B337*AO$71+C337*AP$71+D337*AQ$71)+F337/100*$B$7*AS$71-$C$71</f>
        <v/>
      </c>
      <c r="N337" s="13">
        <f>SUMPRODUCT($H$24:$M$24,H337:M337)</f>
        <v/>
      </c>
      <c r="O337" s="14">
        <f>SQRT(SUMPRODUCT($H$24:$M$24,(H337:M337-N337)^2))</f>
        <v/>
      </c>
      <c r="P337" s="13">
        <f>MIN(H337:M337)</f>
        <v/>
      </c>
      <c r="Q337" s="13">
        <f>MAX(H337:M337)</f>
        <v/>
      </c>
      <c r="R337" s="27">
        <f>IF(G337,SUMPRODUCT(($G$76:$G$1505)*($N$76:$N$1505&gt;=N337)*($O$76:$O$1505&lt;=O337))=1,FALSE)</f>
        <v/>
      </c>
      <c r="S337" s="16">
        <f>IF(R337,ABS((O337-$AC$76)/MAX(0.0001,$AC$77-$AC$76)-(N337-$AC$78)/MAX(0.0001,$AC$79-$AC$78)),-1)</f>
        <v/>
      </c>
      <c r="T337" s="14">
        <f>IF(G337,O337,NA())</f>
        <v/>
      </c>
      <c r="U337" s="13">
        <f>IF(G337,N337,NA())</f>
        <v/>
      </c>
      <c r="V337" s="14">
        <f>IF(R337,O337,NA())</f>
        <v/>
      </c>
      <c r="W337" s="13">
        <f>IF(R337,N337,NA())</f>
        <v/>
      </c>
      <c r="X337" s="27">
        <f>IF(G337,P337,"")</f>
        <v/>
      </c>
      <c r="Y337" s="27">
        <f>IF(G337,N337,"")</f>
        <v/>
      </c>
      <c r="Z337" s="27">
        <f>IF(R337,O337,"")</f>
        <v/>
      </c>
      <c r="AA337" s="27">
        <f>IF(R337,N337,"")</f>
        <v/>
      </c>
    </row>
    <row r="338">
      <c r="A338" s="31" t="n">
        <v>0</v>
      </c>
      <c r="B338" s="31" t="n">
        <v>0.6</v>
      </c>
      <c r="C338" s="31" t="n">
        <v>0.1</v>
      </c>
      <c r="D338" s="31" t="n">
        <v>0.3</v>
      </c>
      <c r="E338" s="27" t="inlineStr">
        <is>
          <t>1M 60%/2M 10%/3M 30%</t>
        </is>
      </c>
      <c r="F338" s="27" t="n">
        <v>50</v>
      </c>
      <c r="G338" s="27">
        <f>A338*$B$7&gt;=$B$9</f>
        <v/>
      </c>
      <c r="H338" s="13">
        <f>$B$7*(A338*E$71+B338*F$71+C338*G$71+D338*H$71)+F338/100*$B$7*J$71-$C$71</f>
        <v/>
      </c>
      <c r="I338" s="13">
        <f>$B$7*(A338*L$71+B338*M$71+C338*N$71+D338*O$71)+F338/100*$B$7*Q$71-$C$71</f>
        <v/>
      </c>
      <c r="J338" s="13">
        <f>$B$7*(A338*S$71+B338*T$71+C338*U$71+D338*V$71)+F338/100*$B$7*X$71-$C$71</f>
        <v/>
      </c>
      <c r="K338" s="13">
        <f>$B$7*(A338*Z$71+B338*AA$71+C338*AB$71+D338*AC$71)+F338/100*$B$7*AE$71-$C$71</f>
        <v/>
      </c>
      <c r="L338" s="13">
        <f>$B$7*(A338*AG$71+B338*AH$71+C338*AI$71+D338*AJ$71)+F338/100*$B$7*AL$71-$C$71</f>
        <v/>
      </c>
      <c r="M338" s="13">
        <f>$B$7*(A338*AN$71+B338*AO$71+C338*AP$71+D338*AQ$71)+F338/100*$B$7*AS$71-$C$71</f>
        <v/>
      </c>
      <c r="N338" s="13">
        <f>SUMPRODUCT($H$24:$M$24,H338:M338)</f>
        <v/>
      </c>
      <c r="O338" s="14">
        <f>SQRT(SUMPRODUCT($H$24:$M$24,(H338:M338-N338)^2))</f>
        <v/>
      </c>
      <c r="P338" s="13">
        <f>MIN(H338:M338)</f>
        <v/>
      </c>
      <c r="Q338" s="13">
        <f>MAX(H338:M338)</f>
        <v/>
      </c>
      <c r="R338" s="27">
        <f>IF(G338,SUMPRODUCT(($G$76:$G$1505)*($N$76:$N$1505&gt;=N338)*($O$76:$O$1505&lt;=O338))=1,FALSE)</f>
        <v/>
      </c>
      <c r="S338" s="16">
        <f>IF(R338,ABS((O338-$AC$76)/MAX(0.0001,$AC$77-$AC$76)-(N338-$AC$78)/MAX(0.0001,$AC$79-$AC$78)),-1)</f>
        <v/>
      </c>
      <c r="T338" s="14">
        <f>IF(G338,O338,NA())</f>
        <v/>
      </c>
      <c r="U338" s="13">
        <f>IF(G338,N338,NA())</f>
        <v/>
      </c>
      <c r="V338" s="14">
        <f>IF(R338,O338,NA())</f>
        <v/>
      </c>
      <c r="W338" s="13">
        <f>IF(R338,N338,NA())</f>
        <v/>
      </c>
      <c r="X338" s="27">
        <f>IF(G338,P338,"")</f>
        <v/>
      </c>
      <c r="Y338" s="27">
        <f>IF(G338,N338,"")</f>
        <v/>
      </c>
      <c r="Z338" s="27">
        <f>IF(R338,O338,"")</f>
        <v/>
      </c>
      <c r="AA338" s="27">
        <f>IF(R338,N338,"")</f>
        <v/>
      </c>
    </row>
    <row r="339">
      <c r="A339" s="31" t="n">
        <v>0</v>
      </c>
      <c r="B339" s="31" t="n">
        <v>0.6</v>
      </c>
      <c r="C339" s="31" t="n">
        <v>0.1</v>
      </c>
      <c r="D339" s="31" t="n">
        <v>0.3</v>
      </c>
      <c r="E339" s="27" t="inlineStr">
        <is>
          <t>1M 60%/2M 10%/3M 30%</t>
        </is>
      </c>
      <c r="F339" s="27" t="n">
        <v>75</v>
      </c>
      <c r="G339" s="27">
        <f>A339*$B$7&gt;=$B$9</f>
        <v/>
      </c>
      <c r="H339" s="13">
        <f>$B$7*(A339*E$71+B339*F$71+C339*G$71+D339*H$71)+F339/100*$B$7*J$71-$C$71</f>
        <v/>
      </c>
      <c r="I339" s="13">
        <f>$B$7*(A339*L$71+B339*M$71+C339*N$71+D339*O$71)+F339/100*$B$7*Q$71-$C$71</f>
        <v/>
      </c>
      <c r="J339" s="13">
        <f>$B$7*(A339*S$71+B339*T$71+C339*U$71+D339*V$71)+F339/100*$B$7*X$71-$C$71</f>
        <v/>
      </c>
      <c r="K339" s="13">
        <f>$B$7*(A339*Z$71+B339*AA$71+C339*AB$71+D339*AC$71)+F339/100*$B$7*AE$71-$C$71</f>
        <v/>
      </c>
      <c r="L339" s="13">
        <f>$B$7*(A339*AG$71+B339*AH$71+C339*AI$71+D339*AJ$71)+F339/100*$B$7*AL$71-$C$71</f>
        <v/>
      </c>
      <c r="M339" s="13">
        <f>$B$7*(A339*AN$71+B339*AO$71+C339*AP$71+D339*AQ$71)+F339/100*$B$7*AS$71-$C$71</f>
        <v/>
      </c>
      <c r="N339" s="13">
        <f>SUMPRODUCT($H$24:$M$24,H339:M339)</f>
        <v/>
      </c>
      <c r="O339" s="14">
        <f>SQRT(SUMPRODUCT($H$24:$M$24,(H339:M339-N339)^2))</f>
        <v/>
      </c>
      <c r="P339" s="13">
        <f>MIN(H339:M339)</f>
        <v/>
      </c>
      <c r="Q339" s="13">
        <f>MAX(H339:M339)</f>
        <v/>
      </c>
      <c r="R339" s="27">
        <f>IF(G339,SUMPRODUCT(($G$76:$G$1505)*($N$76:$N$1505&gt;=N339)*($O$76:$O$1505&lt;=O339))=1,FALSE)</f>
        <v/>
      </c>
      <c r="S339" s="16">
        <f>IF(R339,ABS((O339-$AC$76)/MAX(0.0001,$AC$77-$AC$76)-(N339-$AC$78)/MAX(0.0001,$AC$79-$AC$78)),-1)</f>
        <v/>
      </c>
      <c r="T339" s="14">
        <f>IF(G339,O339,NA())</f>
        <v/>
      </c>
      <c r="U339" s="13">
        <f>IF(G339,N339,NA())</f>
        <v/>
      </c>
      <c r="V339" s="14">
        <f>IF(R339,O339,NA())</f>
        <v/>
      </c>
      <c r="W339" s="13">
        <f>IF(R339,N339,NA())</f>
        <v/>
      </c>
      <c r="X339" s="27">
        <f>IF(G339,P339,"")</f>
        <v/>
      </c>
      <c r="Y339" s="27">
        <f>IF(G339,N339,"")</f>
        <v/>
      </c>
      <c r="Z339" s="27">
        <f>IF(R339,O339,"")</f>
        <v/>
      </c>
      <c r="AA339" s="27">
        <f>IF(R339,N339,"")</f>
        <v/>
      </c>
    </row>
    <row r="340">
      <c r="A340" s="31" t="n">
        <v>0</v>
      </c>
      <c r="B340" s="31" t="n">
        <v>0.6</v>
      </c>
      <c r="C340" s="31" t="n">
        <v>0.1</v>
      </c>
      <c r="D340" s="31" t="n">
        <v>0.3</v>
      </c>
      <c r="E340" s="27" t="inlineStr">
        <is>
          <t>1M 60%/2M 10%/3M 30%</t>
        </is>
      </c>
      <c r="F340" s="27" t="n">
        <v>100</v>
      </c>
      <c r="G340" s="27">
        <f>A340*$B$7&gt;=$B$9</f>
        <v/>
      </c>
      <c r="H340" s="13">
        <f>$B$7*(A340*E$71+B340*F$71+C340*G$71+D340*H$71)+F340/100*$B$7*J$71-$C$71</f>
        <v/>
      </c>
      <c r="I340" s="13">
        <f>$B$7*(A340*L$71+B340*M$71+C340*N$71+D340*O$71)+F340/100*$B$7*Q$71-$C$71</f>
        <v/>
      </c>
      <c r="J340" s="13">
        <f>$B$7*(A340*S$71+B340*T$71+C340*U$71+D340*V$71)+F340/100*$B$7*X$71-$C$71</f>
        <v/>
      </c>
      <c r="K340" s="13">
        <f>$B$7*(A340*Z$71+B340*AA$71+C340*AB$71+D340*AC$71)+F340/100*$B$7*AE$71-$C$71</f>
        <v/>
      </c>
      <c r="L340" s="13">
        <f>$B$7*(A340*AG$71+B340*AH$71+C340*AI$71+D340*AJ$71)+F340/100*$B$7*AL$71-$C$71</f>
        <v/>
      </c>
      <c r="M340" s="13">
        <f>$B$7*(A340*AN$71+B340*AO$71+C340*AP$71+D340*AQ$71)+F340/100*$B$7*AS$71-$C$71</f>
        <v/>
      </c>
      <c r="N340" s="13">
        <f>SUMPRODUCT($H$24:$M$24,H340:M340)</f>
        <v/>
      </c>
      <c r="O340" s="14">
        <f>SQRT(SUMPRODUCT($H$24:$M$24,(H340:M340-N340)^2))</f>
        <v/>
      </c>
      <c r="P340" s="13">
        <f>MIN(H340:M340)</f>
        <v/>
      </c>
      <c r="Q340" s="13">
        <f>MAX(H340:M340)</f>
        <v/>
      </c>
      <c r="R340" s="27">
        <f>IF(G340,SUMPRODUCT(($G$76:$G$1505)*($N$76:$N$1505&gt;=N340)*($O$76:$O$1505&lt;=O340))=1,FALSE)</f>
        <v/>
      </c>
      <c r="S340" s="16">
        <f>IF(R340,ABS((O340-$AC$76)/MAX(0.0001,$AC$77-$AC$76)-(N340-$AC$78)/MAX(0.0001,$AC$79-$AC$78)),-1)</f>
        <v/>
      </c>
      <c r="T340" s="14">
        <f>IF(G340,O340,NA())</f>
        <v/>
      </c>
      <c r="U340" s="13">
        <f>IF(G340,N340,NA())</f>
        <v/>
      </c>
      <c r="V340" s="14">
        <f>IF(R340,O340,NA())</f>
        <v/>
      </c>
      <c r="W340" s="13">
        <f>IF(R340,N340,NA())</f>
        <v/>
      </c>
      <c r="X340" s="27">
        <f>IF(G340,P340,"")</f>
        <v/>
      </c>
      <c r="Y340" s="27">
        <f>IF(G340,N340,"")</f>
        <v/>
      </c>
      <c r="Z340" s="27">
        <f>IF(R340,O340,"")</f>
        <v/>
      </c>
      <c r="AA340" s="27">
        <f>IF(R340,N340,"")</f>
        <v/>
      </c>
    </row>
    <row r="341">
      <c r="A341" s="31" t="n">
        <v>0</v>
      </c>
      <c r="B341" s="31" t="n">
        <v>0.6</v>
      </c>
      <c r="C341" s="31" t="n">
        <v>0.2</v>
      </c>
      <c r="D341" s="31" t="n">
        <v>0.2</v>
      </c>
      <c r="E341" s="27" t="inlineStr">
        <is>
          <t>1M 60%/2M 20%/3M 20%</t>
        </is>
      </c>
      <c r="F341" s="27" t="n">
        <v>0</v>
      </c>
      <c r="G341" s="27">
        <f>A341*$B$7&gt;=$B$9</f>
        <v/>
      </c>
      <c r="H341" s="13">
        <f>$B$7*(A341*E$71+B341*F$71+C341*G$71+D341*H$71)+F341/100*$B$7*J$71-$C$71</f>
        <v/>
      </c>
      <c r="I341" s="13">
        <f>$B$7*(A341*L$71+B341*M$71+C341*N$71+D341*O$71)+F341/100*$B$7*Q$71-$C$71</f>
        <v/>
      </c>
      <c r="J341" s="13">
        <f>$B$7*(A341*S$71+B341*T$71+C341*U$71+D341*V$71)+F341/100*$B$7*X$71-$C$71</f>
        <v/>
      </c>
      <c r="K341" s="13">
        <f>$B$7*(A341*Z$71+B341*AA$71+C341*AB$71+D341*AC$71)+F341/100*$B$7*AE$71-$C$71</f>
        <v/>
      </c>
      <c r="L341" s="13">
        <f>$B$7*(A341*AG$71+B341*AH$71+C341*AI$71+D341*AJ$71)+F341/100*$B$7*AL$71-$C$71</f>
        <v/>
      </c>
      <c r="M341" s="13">
        <f>$B$7*(A341*AN$71+B341*AO$71+C341*AP$71+D341*AQ$71)+F341/100*$B$7*AS$71-$C$71</f>
        <v/>
      </c>
      <c r="N341" s="13">
        <f>SUMPRODUCT($H$24:$M$24,H341:M341)</f>
        <v/>
      </c>
      <c r="O341" s="14">
        <f>SQRT(SUMPRODUCT($H$24:$M$24,(H341:M341-N341)^2))</f>
        <v/>
      </c>
      <c r="P341" s="13">
        <f>MIN(H341:M341)</f>
        <v/>
      </c>
      <c r="Q341" s="13">
        <f>MAX(H341:M341)</f>
        <v/>
      </c>
      <c r="R341" s="27">
        <f>IF(G341,SUMPRODUCT(($G$76:$G$1505)*($N$76:$N$1505&gt;=N341)*($O$76:$O$1505&lt;=O341))=1,FALSE)</f>
        <v/>
      </c>
      <c r="S341" s="16">
        <f>IF(R341,ABS((O341-$AC$76)/MAX(0.0001,$AC$77-$AC$76)-(N341-$AC$78)/MAX(0.0001,$AC$79-$AC$78)),-1)</f>
        <v/>
      </c>
      <c r="T341" s="14">
        <f>IF(G341,O341,NA())</f>
        <v/>
      </c>
      <c r="U341" s="13">
        <f>IF(G341,N341,NA())</f>
        <v/>
      </c>
      <c r="V341" s="14">
        <f>IF(R341,O341,NA())</f>
        <v/>
      </c>
      <c r="W341" s="13">
        <f>IF(R341,N341,NA())</f>
        <v/>
      </c>
      <c r="X341" s="27">
        <f>IF(G341,P341,"")</f>
        <v/>
      </c>
      <c r="Y341" s="27">
        <f>IF(G341,N341,"")</f>
        <v/>
      </c>
      <c r="Z341" s="27">
        <f>IF(R341,O341,"")</f>
        <v/>
      </c>
      <c r="AA341" s="27">
        <f>IF(R341,N341,"")</f>
        <v/>
      </c>
    </row>
    <row r="342">
      <c r="A342" s="31" t="n">
        <v>0</v>
      </c>
      <c r="B342" s="31" t="n">
        <v>0.6</v>
      </c>
      <c r="C342" s="31" t="n">
        <v>0.2</v>
      </c>
      <c r="D342" s="31" t="n">
        <v>0.2</v>
      </c>
      <c r="E342" s="27" t="inlineStr">
        <is>
          <t>1M 60%/2M 20%/3M 20%</t>
        </is>
      </c>
      <c r="F342" s="27" t="n">
        <v>25</v>
      </c>
      <c r="G342" s="27">
        <f>A342*$B$7&gt;=$B$9</f>
        <v/>
      </c>
      <c r="H342" s="13">
        <f>$B$7*(A342*E$71+B342*F$71+C342*G$71+D342*H$71)+F342/100*$B$7*J$71-$C$71</f>
        <v/>
      </c>
      <c r="I342" s="13">
        <f>$B$7*(A342*L$71+B342*M$71+C342*N$71+D342*O$71)+F342/100*$B$7*Q$71-$C$71</f>
        <v/>
      </c>
      <c r="J342" s="13">
        <f>$B$7*(A342*S$71+B342*T$71+C342*U$71+D342*V$71)+F342/100*$B$7*X$71-$C$71</f>
        <v/>
      </c>
      <c r="K342" s="13">
        <f>$B$7*(A342*Z$71+B342*AA$71+C342*AB$71+D342*AC$71)+F342/100*$B$7*AE$71-$C$71</f>
        <v/>
      </c>
      <c r="L342" s="13">
        <f>$B$7*(A342*AG$71+B342*AH$71+C342*AI$71+D342*AJ$71)+F342/100*$B$7*AL$71-$C$71</f>
        <v/>
      </c>
      <c r="M342" s="13">
        <f>$B$7*(A342*AN$71+B342*AO$71+C342*AP$71+D342*AQ$71)+F342/100*$B$7*AS$71-$C$71</f>
        <v/>
      </c>
      <c r="N342" s="13">
        <f>SUMPRODUCT($H$24:$M$24,H342:M342)</f>
        <v/>
      </c>
      <c r="O342" s="14">
        <f>SQRT(SUMPRODUCT($H$24:$M$24,(H342:M342-N342)^2))</f>
        <v/>
      </c>
      <c r="P342" s="13">
        <f>MIN(H342:M342)</f>
        <v/>
      </c>
      <c r="Q342" s="13">
        <f>MAX(H342:M342)</f>
        <v/>
      </c>
      <c r="R342" s="27">
        <f>IF(G342,SUMPRODUCT(($G$76:$G$1505)*($N$76:$N$1505&gt;=N342)*($O$76:$O$1505&lt;=O342))=1,FALSE)</f>
        <v/>
      </c>
      <c r="S342" s="16">
        <f>IF(R342,ABS((O342-$AC$76)/MAX(0.0001,$AC$77-$AC$76)-(N342-$AC$78)/MAX(0.0001,$AC$79-$AC$78)),-1)</f>
        <v/>
      </c>
      <c r="T342" s="14">
        <f>IF(G342,O342,NA())</f>
        <v/>
      </c>
      <c r="U342" s="13">
        <f>IF(G342,N342,NA())</f>
        <v/>
      </c>
      <c r="V342" s="14">
        <f>IF(R342,O342,NA())</f>
        <v/>
      </c>
      <c r="W342" s="13">
        <f>IF(R342,N342,NA())</f>
        <v/>
      </c>
      <c r="X342" s="27">
        <f>IF(G342,P342,"")</f>
        <v/>
      </c>
      <c r="Y342" s="27">
        <f>IF(G342,N342,"")</f>
        <v/>
      </c>
      <c r="Z342" s="27">
        <f>IF(R342,O342,"")</f>
        <v/>
      </c>
      <c r="AA342" s="27">
        <f>IF(R342,N342,"")</f>
        <v/>
      </c>
    </row>
    <row r="343">
      <c r="A343" s="31" t="n">
        <v>0</v>
      </c>
      <c r="B343" s="31" t="n">
        <v>0.6</v>
      </c>
      <c r="C343" s="31" t="n">
        <v>0.2</v>
      </c>
      <c r="D343" s="31" t="n">
        <v>0.2</v>
      </c>
      <c r="E343" s="27" t="inlineStr">
        <is>
          <t>1M 60%/2M 20%/3M 20%</t>
        </is>
      </c>
      <c r="F343" s="27" t="n">
        <v>50</v>
      </c>
      <c r="G343" s="27">
        <f>A343*$B$7&gt;=$B$9</f>
        <v/>
      </c>
      <c r="H343" s="13">
        <f>$B$7*(A343*E$71+B343*F$71+C343*G$71+D343*H$71)+F343/100*$B$7*J$71-$C$71</f>
        <v/>
      </c>
      <c r="I343" s="13">
        <f>$B$7*(A343*L$71+B343*M$71+C343*N$71+D343*O$71)+F343/100*$B$7*Q$71-$C$71</f>
        <v/>
      </c>
      <c r="J343" s="13">
        <f>$B$7*(A343*S$71+B343*T$71+C343*U$71+D343*V$71)+F343/100*$B$7*X$71-$C$71</f>
        <v/>
      </c>
      <c r="K343" s="13">
        <f>$B$7*(A343*Z$71+B343*AA$71+C343*AB$71+D343*AC$71)+F343/100*$B$7*AE$71-$C$71</f>
        <v/>
      </c>
      <c r="L343" s="13">
        <f>$B$7*(A343*AG$71+B343*AH$71+C343*AI$71+D343*AJ$71)+F343/100*$B$7*AL$71-$C$71</f>
        <v/>
      </c>
      <c r="M343" s="13">
        <f>$B$7*(A343*AN$71+B343*AO$71+C343*AP$71+D343*AQ$71)+F343/100*$B$7*AS$71-$C$71</f>
        <v/>
      </c>
      <c r="N343" s="13">
        <f>SUMPRODUCT($H$24:$M$24,H343:M343)</f>
        <v/>
      </c>
      <c r="O343" s="14">
        <f>SQRT(SUMPRODUCT($H$24:$M$24,(H343:M343-N343)^2))</f>
        <v/>
      </c>
      <c r="P343" s="13">
        <f>MIN(H343:M343)</f>
        <v/>
      </c>
      <c r="Q343" s="13">
        <f>MAX(H343:M343)</f>
        <v/>
      </c>
      <c r="R343" s="27">
        <f>IF(G343,SUMPRODUCT(($G$76:$G$1505)*($N$76:$N$1505&gt;=N343)*($O$76:$O$1505&lt;=O343))=1,FALSE)</f>
        <v/>
      </c>
      <c r="S343" s="16">
        <f>IF(R343,ABS((O343-$AC$76)/MAX(0.0001,$AC$77-$AC$76)-(N343-$AC$78)/MAX(0.0001,$AC$79-$AC$78)),-1)</f>
        <v/>
      </c>
      <c r="T343" s="14">
        <f>IF(G343,O343,NA())</f>
        <v/>
      </c>
      <c r="U343" s="13">
        <f>IF(G343,N343,NA())</f>
        <v/>
      </c>
      <c r="V343" s="14">
        <f>IF(R343,O343,NA())</f>
        <v/>
      </c>
      <c r="W343" s="13">
        <f>IF(R343,N343,NA())</f>
        <v/>
      </c>
      <c r="X343" s="27">
        <f>IF(G343,P343,"")</f>
        <v/>
      </c>
      <c r="Y343" s="27">
        <f>IF(G343,N343,"")</f>
        <v/>
      </c>
      <c r="Z343" s="27">
        <f>IF(R343,O343,"")</f>
        <v/>
      </c>
      <c r="AA343" s="27">
        <f>IF(R343,N343,"")</f>
        <v/>
      </c>
    </row>
    <row r="344">
      <c r="A344" s="31" t="n">
        <v>0</v>
      </c>
      <c r="B344" s="31" t="n">
        <v>0.6</v>
      </c>
      <c r="C344" s="31" t="n">
        <v>0.2</v>
      </c>
      <c r="D344" s="31" t="n">
        <v>0.2</v>
      </c>
      <c r="E344" s="27" t="inlineStr">
        <is>
          <t>1M 60%/2M 20%/3M 20%</t>
        </is>
      </c>
      <c r="F344" s="27" t="n">
        <v>75</v>
      </c>
      <c r="G344" s="27">
        <f>A344*$B$7&gt;=$B$9</f>
        <v/>
      </c>
      <c r="H344" s="13">
        <f>$B$7*(A344*E$71+B344*F$71+C344*G$71+D344*H$71)+F344/100*$B$7*J$71-$C$71</f>
        <v/>
      </c>
      <c r="I344" s="13">
        <f>$B$7*(A344*L$71+B344*M$71+C344*N$71+D344*O$71)+F344/100*$B$7*Q$71-$C$71</f>
        <v/>
      </c>
      <c r="J344" s="13">
        <f>$B$7*(A344*S$71+B344*T$71+C344*U$71+D344*V$71)+F344/100*$B$7*X$71-$C$71</f>
        <v/>
      </c>
      <c r="K344" s="13">
        <f>$B$7*(A344*Z$71+B344*AA$71+C344*AB$71+D344*AC$71)+F344/100*$B$7*AE$71-$C$71</f>
        <v/>
      </c>
      <c r="L344" s="13">
        <f>$B$7*(A344*AG$71+B344*AH$71+C344*AI$71+D344*AJ$71)+F344/100*$B$7*AL$71-$C$71</f>
        <v/>
      </c>
      <c r="M344" s="13">
        <f>$B$7*(A344*AN$71+B344*AO$71+C344*AP$71+D344*AQ$71)+F344/100*$B$7*AS$71-$C$71</f>
        <v/>
      </c>
      <c r="N344" s="13">
        <f>SUMPRODUCT($H$24:$M$24,H344:M344)</f>
        <v/>
      </c>
      <c r="O344" s="14">
        <f>SQRT(SUMPRODUCT($H$24:$M$24,(H344:M344-N344)^2))</f>
        <v/>
      </c>
      <c r="P344" s="13">
        <f>MIN(H344:M344)</f>
        <v/>
      </c>
      <c r="Q344" s="13">
        <f>MAX(H344:M344)</f>
        <v/>
      </c>
      <c r="R344" s="27">
        <f>IF(G344,SUMPRODUCT(($G$76:$G$1505)*($N$76:$N$1505&gt;=N344)*($O$76:$O$1505&lt;=O344))=1,FALSE)</f>
        <v/>
      </c>
      <c r="S344" s="16">
        <f>IF(R344,ABS((O344-$AC$76)/MAX(0.0001,$AC$77-$AC$76)-(N344-$AC$78)/MAX(0.0001,$AC$79-$AC$78)),-1)</f>
        <v/>
      </c>
      <c r="T344" s="14">
        <f>IF(G344,O344,NA())</f>
        <v/>
      </c>
      <c r="U344" s="13">
        <f>IF(G344,N344,NA())</f>
        <v/>
      </c>
      <c r="V344" s="14">
        <f>IF(R344,O344,NA())</f>
        <v/>
      </c>
      <c r="W344" s="13">
        <f>IF(R344,N344,NA())</f>
        <v/>
      </c>
      <c r="X344" s="27">
        <f>IF(G344,P344,"")</f>
        <v/>
      </c>
      <c r="Y344" s="27">
        <f>IF(G344,N344,"")</f>
        <v/>
      </c>
      <c r="Z344" s="27">
        <f>IF(R344,O344,"")</f>
        <v/>
      </c>
      <c r="AA344" s="27">
        <f>IF(R344,N344,"")</f>
        <v/>
      </c>
    </row>
    <row r="345">
      <c r="A345" s="31" t="n">
        <v>0</v>
      </c>
      <c r="B345" s="31" t="n">
        <v>0.6</v>
      </c>
      <c r="C345" s="31" t="n">
        <v>0.2</v>
      </c>
      <c r="D345" s="31" t="n">
        <v>0.2</v>
      </c>
      <c r="E345" s="27" t="inlineStr">
        <is>
          <t>1M 60%/2M 20%/3M 20%</t>
        </is>
      </c>
      <c r="F345" s="27" t="n">
        <v>100</v>
      </c>
      <c r="G345" s="27">
        <f>A345*$B$7&gt;=$B$9</f>
        <v/>
      </c>
      <c r="H345" s="13">
        <f>$B$7*(A345*E$71+B345*F$71+C345*G$71+D345*H$71)+F345/100*$B$7*J$71-$C$71</f>
        <v/>
      </c>
      <c r="I345" s="13">
        <f>$B$7*(A345*L$71+B345*M$71+C345*N$71+D345*O$71)+F345/100*$B$7*Q$71-$C$71</f>
        <v/>
      </c>
      <c r="J345" s="13">
        <f>$B$7*(A345*S$71+B345*T$71+C345*U$71+D345*V$71)+F345/100*$B$7*X$71-$C$71</f>
        <v/>
      </c>
      <c r="K345" s="13">
        <f>$B$7*(A345*Z$71+B345*AA$71+C345*AB$71+D345*AC$71)+F345/100*$B$7*AE$71-$C$71</f>
        <v/>
      </c>
      <c r="L345" s="13">
        <f>$B$7*(A345*AG$71+B345*AH$71+C345*AI$71+D345*AJ$71)+F345/100*$B$7*AL$71-$C$71</f>
        <v/>
      </c>
      <c r="M345" s="13">
        <f>$B$7*(A345*AN$71+B345*AO$71+C345*AP$71+D345*AQ$71)+F345/100*$B$7*AS$71-$C$71</f>
        <v/>
      </c>
      <c r="N345" s="13">
        <f>SUMPRODUCT($H$24:$M$24,H345:M345)</f>
        <v/>
      </c>
      <c r="O345" s="14">
        <f>SQRT(SUMPRODUCT($H$24:$M$24,(H345:M345-N345)^2))</f>
        <v/>
      </c>
      <c r="P345" s="13">
        <f>MIN(H345:M345)</f>
        <v/>
      </c>
      <c r="Q345" s="13">
        <f>MAX(H345:M345)</f>
        <v/>
      </c>
      <c r="R345" s="27">
        <f>IF(G345,SUMPRODUCT(($G$76:$G$1505)*($N$76:$N$1505&gt;=N345)*($O$76:$O$1505&lt;=O345))=1,FALSE)</f>
        <v/>
      </c>
      <c r="S345" s="16">
        <f>IF(R345,ABS((O345-$AC$76)/MAX(0.0001,$AC$77-$AC$76)-(N345-$AC$78)/MAX(0.0001,$AC$79-$AC$78)),-1)</f>
        <v/>
      </c>
      <c r="T345" s="14">
        <f>IF(G345,O345,NA())</f>
        <v/>
      </c>
      <c r="U345" s="13">
        <f>IF(G345,N345,NA())</f>
        <v/>
      </c>
      <c r="V345" s="14">
        <f>IF(R345,O345,NA())</f>
        <v/>
      </c>
      <c r="W345" s="13">
        <f>IF(R345,N345,NA())</f>
        <v/>
      </c>
      <c r="X345" s="27">
        <f>IF(G345,P345,"")</f>
        <v/>
      </c>
      <c r="Y345" s="27">
        <f>IF(G345,N345,"")</f>
        <v/>
      </c>
      <c r="Z345" s="27">
        <f>IF(R345,O345,"")</f>
        <v/>
      </c>
      <c r="AA345" s="27">
        <f>IF(R345,N345,"")</f>
        <v/>
      </c>
    </row>
    <row r="346">
      <c r="A346" s="31" t="n">
        <v>0</v>
      </c>
      <c r="B346" s="31" t="n">
        <v>0.6</v>
      </c>
      <c r="C346" s="31" t="n">
        <v>0.3</v>
      </c>
      <c r="D346" s="31" t="n">
        <v>0.1</v>
      </c>
      <c r="E346" s="27" t="inlineStr">
        <is>
          <t>1M 60%/2M 30%/3M 10%</t>
        </is>
      </c>
      <c r="F346" s="27" t="n">
        <v>0</v>
      </c>
      <c r="G346" s="27">
        <f>A346*$B$7&gt;=$B$9</f>
        <v/>
      </c>
      <c r="H346" s="13">
        <f>$B$7*(A346*E$71+B346*F$71+C346*G$71+D346*H$71)+F346/100*$B$7*J$71-$C$71</f>
        <v/>
      </c>
      <c r="I346" s="13">
        <f>$B$7*(A346*L$71+B346*M$71+C346*N$71+D346*O$71)+F346/100*$B$7*Q$71-$C$71</f>
        <v/>
      </c>
      <c r="J346" s="13">
        <f>$B$7*(A346*S$71+B346*T$71+C346*U$71+D346*V$71)+F346/100*$B$7*X$71-$C$71</f>
        <v/>
      </c>
      <c r="K346" s="13">
        <f>$B$7*(A346*Z$71+B346*AA$71+C346*AB$71+D346*AC$71)+F346/100*$B$7*AE$71-$C$71</f>
        <v/>
      </c>
      <c r="L346" s="13">
        <f>$B$7*(A346*AG$71+B346*AH$71+C346*AI$71+D346*AJ$71)+F346/100*$B$7*AL$71-$C$71</f>
        <v/>
      </c>
      <c r="M346" s="13">
        <f>$B$7*(A346*AN$71+B346*AO$71+C346*AP$71+D346*AQ$71)+F346/100*$B$7*AS$71-$C$71</f>
        <v/>
      </c>
      <c r="N346" s="13">
        <f>SUMPRODUCT($H$24:$M$24,H346:M346)</f>
        <v/>
      </c>
      <c r="O346" s="14">
        <f>SQRT(SUMPRODUCT($H$24:$M$24,(H346:M346-N346)^2))</f>
        <v/>
      </c>
      <c r="P346" s="13">
        <f>MIN(H346:M346)</f>
        <v/>
      </c>
      <c r="Q346" s="13">
        <f>MAX(H346:M346)</f>
        <v/>
      </c>
      <c r="R346" s="27">
        <f>IF(G346,SUMPRODUCT(($G$76:$G$1505)*($N$76:$N$1505&gt;=N346)*($O$76:$O$1505&lt;=O346))=1,FALSE)</f>
        <v/>
      </c>
      <c r="S346" s="16">
        <f>IF(R346,ABS((O346-$AC$76)/MAX(0.0001,$AC$77-$AC$76)-(N346-$AC$78)/MAX(0.0001,$AC$79-$AC$78)),-1)</f>
        <v/>
      </c>
      <c r="T346" s="14">
        <f>IF(G346,O346,NA())</f>
        <v/>
      </c>
      <c r="U346" s="13">
        <f>IF(G346,N346,NA())</f>
        <v/>
      </c>
      <c r="V346" s="14">
        <f>IF(R346,O346,NA())</f>
        <v/>
      </c>
      <c r="W346" s="13">
        <f>IF(R346,N346,NA())</f>
        <v/>
      </c>
      <c r="X346" s="27">
        <f>IF(G346,P346,"")</f>
        <v/>
      </c>
      <c r="Y346" s="27">
        <f>IF(G346,N346,"")</f>
        <v/>
      </c>
      <c r="Z346" s="27">
        <f>IF(R346,O346,"")</f>
        <v/>
      </c>
      <c r="AA346" s="27">
        <f>IF(R346,N346,"")</f>
        <v/>
      </c>
    </row>
    <row r="347">
      <c r="A347" s="31" t="n">
        <v>0</v>
      </c>
      <c r="B347" s="31" t="n">
        <v>0.6</v>
      </c>
      <c r="C347" s="31" t="n">
        <v>0.3</v>
      </c>
      <c r="D347" s="31" t="n">
        <v>0.1</v>
      </c>
      <c r="E347" s="27" t="inlineStr">
        <is>
          <t>1M 60%/2M 30%/3M 10%</t>
        </is>
      </c>
      <c r="F347" s="27" t="n">
        <v>25</v>
      </c>
      <c r="G347" s="27">
        <f>A347*$B$7&gt;=$B$9</f>
        <v/>
      </c>
      <c r="H347" s="13">
        <f>$B$7*(A347*E$71+B347*F$71+C347*G$71+D347*H$71)+F347/100*$B$7*J$71-$C$71</f>
        <v/>
      </c>
      <c r="I347" s="13">
        <f>$B$7*(A347*L$71+B347*M$71+C347*N$71+D347*O$71)+F347/100*$B$7*Q$71-$C$71</f>
        <v/>
      </c>
      <c r="J347" s="13">
        <f>$B$7*(A347*S$71+B347*T$71+C347*U$71+D347*V$71)+F347/100*$B$7*X$71-$C$71</f>
        <v/>
      </c>
      <c r="K347" s="13">
        <f>$B$7*(A347*Z$71+B347*AA$71+C347*AB$71+D347*AC$71)+F347/100*$B$7*AE$71-$C$71</f>
        <v/>
      </c>
      <c r="L347" s="13">
        <f>$B$7*(A347*AG$71+B347*AH$71+C347*AI$71+D347*AJ$71)+F347/100*$B$7*AL$71-$C$71</f>
        <v/>
      </c>
      <c r="M347" s="13">
        <f>$B$7*(A347*AN$71+B347*AO$71+C347*AP$71+D347*AQ$71)+F347/100*$B$7*AS$71-$C$71</f>
        <v/>
      </c>
      <c r="N347" s="13">
        <f>SUMPRODUCT($H$24:$M$24,H347:M347)</f>
        <v/>
      </c>
      <c r="O347" s="14">
        <f>SQRT(SUMPRODUCT($H$24:$M$24,(H347:M347-N347)^2))</f>
        <v/>
      </c>
      <c r="P347" s="13">
        <f>MIN(H347:M347)</f>
        <v/>
      </c>
      <c r="Q347" s="13">
        <f>MAX(H347:M347)</f>
        <v/>
      </c>
      <c r="R347" s="27">
        <f>IF(G347,SUMPRODUCT(($G$76:$G$1505)*($N$76:$N$1505&gt;=N347)*($O$76:$O$1505&lt;=O347))=1,FALSE)</f>
        <v/>
      </c>
      <c r="S347" s="16">
        <f>IF(R347,ABS((O347-$AC$76)/MAX(0.0001,$AC$77-$AC$76)-(N347-$AC$78)/MAX(0.0001,$AC$79-$AC$78)),-1)</f>
        <v/>
      </c>
      <c r="T347" s="14">
        <f>IF(G347,O347,NA())</f>
        <v/>
      </c>
      <c r="U347" s="13">
        <f>IF(G347,N347,NA())</f>
        <v/>
      </c>
      <c r="V347" s="14">
        <f>IF(R347,O347,NA())</f>
        <v/>
      </c>
      <c r="W347" s="13">
        <f>IF(R347,N347,NA())</f>
        <v/>
      </c>
      <c r="X347" s="27">
        <f>IF(G347,P347,"")</f>
        <v/>
      </c>
      <c r="Y347" s="27">
        <f>IF(G347,N347,"")</f>
        <v/>
      </c>
      <c r="Z347" s="27">
        <f>IF(R347,O347,"")</f>
        <v/>
      </c>
      <c r="AA347" s="27">
        <f>IF(R347,N347,"")</f>
        <v/>
      </c>
    </row>
    <row r="348">
      <c r="A348" s="31" t="n">
        <v>0</v>
      </c>
      <c r="B348" s="31" t="n">
        <v>0.6</v>
      </c>
      <c r="C348" s="31" t="n">
        <v>0.3</v>
      </c>
      <c r="D348" s="31" t="n">
        <v>0.1</v>
      </c>
      <c r="E348" s="27" t="inlineStr">
        <is>
          <t>1M 60%/2M 30%/3M 10%</t>
        </is>
      </c>
      <c r="F348" s="27" t="n">
        <v>50</v>
      </c>
      <c r="G348" s="27">
        <f>A348*$B$7&gt;=$B$9</f>
        <v/>
      </c>
      <c r="H348" s="13">
        <f>$B$7*(A348*E$71+B348*F$71+C348*G$71+D348*H$71)+F348/100*$B$7*J$71-$C$71</f>
        <v/>
      </c>
      <c r="I348" s="13">
        <f>$B$7*(A348*L$71+B348*M$71+C348*N$71+D348*O$71)+F348/100*$B$7*Q$71-$C$71</f>
        <v/>
      </c>
      <c r="J348" s="13">
        <f>$B$7*(A348*S$71+B348*T$71+C348*U$71+D348*V$71)+F348/100*$B$7*X$71-$C$71</f>
        <v/>
      </c>
      <c r="K348" s="13">
        <f>$B$7*(A348*Z$71+B348*AA$71+C348*AB$71+D348*AC$71)+F348/100*$B$7*AE$71-$C$71</f>
        <v/>
      </c>
      <c r="L348" s="13">
        <f>$B$7*(A348*AG$71+B348*AH$71+C348*AI$71+D348*AJ$71)+F348/100*$B$7*AL$71-$C$71</f>
        <v/>
      </c>
      <c r="M348" s="13">
        <f>$B$7*(A348*AN$71+B348*AO$71+C348*AP$71+D348*AQ$71)+F348/100*$B$7*AS$71-$C$71</f>
        <v/>
      </c>
      <c r="N348" s="13">
        <f>SUMPRODUCT($H$24:$M$24,H348:M348)</f>
        <v/>
      </c>
      <c r="O348" s="14">
        <f>SQRT(SUMPRODUCT($H$24:$M$24,(H348:M348-N348)^2))</f>
        <v/>
      </c>
      <c r="P348" s="13">
        <f>MIN(H348:M348)</f>
        <v/>
      </c>
      <c r="Q348" s="13">
        <f>MAX(H348:M348)</f>
        <v/>
      </c>
      <c r="R348" s="27">
        <f>IF(G348,SUMPRODUCT(($G$76:$G$1505)*($N$76:$N$1505&gt;=N348)*($O$76:$O$1505&lt;=O348))=1,FALSE)</f>
        <v/>
      </c>
      <c r="S348" s="16">
        <f>IF(R348,ABS((O348-$AC$76)/MAX(0.0001,$AC$77-$AC$76)-(N348-$AC$78)/MAX(0.0001,$AC$79-$AC$78)),-1)</f>
        <v/>
      </c>
      <c r="T348" s="14">
        <f>IF(G348,O348,NA())</f>
        <v/>
      </c>
      <c r="U348" s="13">
        <f>IF(G348,N348,NA())</f>
        <v/>
      </c>
      <c r="V348" s="14">
        <f>IF(R348,O348,NA())</f>
        <v/>
      </c>
      <c r="W348" s="13">
        <f>IF(R348,N348,NA())</f>
        <v/>
      </c>
      <c r="X348" s="27">
        <f>IF(G348,P348,"")</f>
        <v/>
      </c>
      <c r="Y348" s="27">
        <f>IF(G348,N348,"")</f>
        <v/>
      </c>
      <c r="Z348" s="27">
        <f>IF(R348,O348,"")</f>
        <v/>
      </c>
      <c r="AA348" s="27">
        <f>IF(R348,N348,"")</f>
        <v/>
      </c>
    </row>
    <row r="349">
      <c r="A349" s="31" t="n">
        <v>0</v>
      </c>
      <c r="B349" s="31" t="n">
        <v>0.6</v>
      </c>
      <c r="C349" s="31" t="n">
        <v>0.3</v>
      </c>
      <c r="D349" s="31" t="n">
        <v>0.1</v>
      </c>
      <c r="E349" s="27" t="inlineStr">
        <is>
          <t>1M 60%/2M 30%/3M 10%</t>
        </is>
      </c>
      <c r="F349" s="27" t="n">
        <v>75</v>
      </c>
      <c r="G349" s="27">
        <f>A349*$B$7&gt;=$B$9</f>
        <v/>
      </c>
      <c r="H349" s="13">
        <f>$B$7*(A349*E$71+B349*F$71+C349*G$71+D349*H$71)+F349/100*$B$7*J$71-$C$71</f>
        <v/>
      </c>
      <c r="I349" s="13">
        <f>$B$7*(A349*L$71+B349*M$71+C349*N$71+D349*O$71)+F349/100*$B$7*Q$71-$C$71</f>
        <v/>
      </c>
      <c r="J349" s="13">
        <f>$B$7*(A349*S$71+B349*T$71+C349*U$71+D349*V$71)+F349/100*$B$7*X$71-$C$71</f>
        <v/>
      </c>
      <c r="K349" s="13">
        <f>$B$7*(A349*Z$71+B349*AA$71+C349*AB$71+D349*AC$71)+F349/100*$B$7*AE$71-$C$71</f>
        <v/>
      </c>
      <c r="L349" s="13">
        <f>$B$7*(A349*AG$71+B349*AH$71+C349*AI$71+D349*AJ$71)+F349/100*$B$7*AL$71-$C$71</f>
        <v/>
      </c>
      <c r="M349" s="13">
        <f>$B$7*(A349*AN$71+B349*AO$71+C349*AP$71+D349*AQ$71)+F349/100*$B$7*AS$71-$C$71</f>
        <v/>
      </c>
      <c r="N349" s="13">
        <f>SUMPRODUCT($H$24:$M$24,H349:M349)</f>
        <v/>
      </c>
      <c r="O349" s="14">
        <f>SQRT(SUMPRODUCT($H$24:$M$24,(H349:M349-N349)^2))</f>
        <v/>
      </c>
      <c r="P349" s="13">
        <f>MIN(H349:M349)</f>
        <v/>
      </c>
      <c r="Q349" s="13">
        <f>MAX(H349:M349)</f>
        <v/>
      </c>
      <c r="R349" s="27">
        <f>IF(G349,SUMPRODUCT(($G$76:$G$1505)*($N$76:$N$1505&gt;=N349)*($O$76:$O$1505&lt;=O349))=1,FALSE)</f>
        <v/>
      </c>
      <c r="S349" s="16">
        <f>IF(R349,ABS((O349-$AC$76)/MAX(0.0001,$AC$77-$AC$76)-(N349-$AC$78)/MAX(0.0001,$AC$79-$AC$78)),-1)</f>
        <v/>
      </c>
      <c r="T349" s="14">
        <f>IF(G349,O349,NA())</f>
        <v/>
      </c>
      <c r="U349" s="13">
        <f>IF(G349,N349,NA())</f>
        <v/>
      </c>
      <c r="V349" s="14">
        <f>IF(R349,O349,NA())</f>
        <v/>
      </c>
      <c r="W349" s="13">
        <f>IF(R349,N349,NA())</f>
        <v/>
      </c>
      <c r="X349" s="27">
        <f>IF(G349,P349,"")</f>
        <v/>
      </c>
      <c r="Y349" s="27">
        <f>IF(G349,N349,"")</f>
        <v/>
      </c>
      <c r="Z349" s="27">
        <f>IF(R349,O349,"")</f>
        <v/>
      </c>
      <c r="AA349" s="27">
        <f>IF(R349,N349,"")</f>
        <v/>
      </c>
    </row>
    <row r="350">
      <c r="A350" s="31" t="n">
        <v>0</v>
      </c>
      <c r="B350" s="31" t="n">
        <v>0.6</v>
      </c>
      <c r="C350" s="31" t="n">
        <v>0.3</v>
      </c>
      <c r="D350" s="31" t="n">
        <v>0.1</v>
      </c>
      <c r="E350" s="27" t="inlineStr">
        <is>
          <t>1M 60%/2M 30%/3M 10%</t>
        </is>
      </c>
      <c r="F350" s="27" t="n">
        <v>100</v>
      </c>
      <c r="G350" s="27">
        <f>A350*$B$7&gt;=$B$9</f>
        <v/>
      </c>
      <c r="H350" s="13">
        <f>$B$7*(A350*E$71+B350*F$71+C350*G$71+D350*H$71)+F350/100*$B$7*J$71-$C$71</f>
        <v/>
      </c>
      <c r="I350" s="13">
        <f>$B$7*(A350*L$71+B350*M$71+C350*N$71+D350*O$71)+F350/100*$B$7*Q$71-$C$71</f>
        <v/>
      </c>
      <c r="J350" s="13">
        <f>$B$7*(A350*S$71+B350*T$71+C350*U$71+D350*V$71)+F350/100*$B$7*X$71-$C$71</f>
        <v/>
      </c>
      <c r="K350" s="13">
        <f>$B$7*(A350*Z$71+B350*AA$71+C350*AB$71+D350*AC$71)+F350/100*$B$7*AE$71-$C$71</f>
        <v/>
      </c>
      <c r="L350" s="13">
        <f>$B$7*(A350*AG$71+B350*AH$71+C350*AI$71+D350*AJ$71)+F350/100*$B$7*AL$71-$C$71</f>
        <v/>
      </c>
      <c r="M350" s="13">
        <f>$B$7*(A350*AN$71+B350*AO$71+C350*AP$71+D350*AQ$71)+F350/100*$B$7*AS$71-$C$71</f>
        <v/>
      </c>
      <c r="N350" s="13">
        <f>SUMPRODUCT($H$24:$M$24,H350:M350)</f>
        <v/>
      </c>
      <c r="O350" s="14">
        <f>SQRT(SUMPRODUCT($H$24:$M$24,(H350:M350-N350)^2))</f>
        <v/>
      </c>
      <c r="P350" s="13">
        <f>MIN(H350:M350)</f>
        <v/>
      </c>
      <c r="Q350" s="13">
        <f>MAX(H350:M350)</f>
        <v/>
      </c>
      <c r="R350" s="27">
        <f>IF(G350,SUMPRODUCT(($G$76:$G$1505)*($N$76:$N$1505&gt;=N350)*($O$76:$O$1505&lt;=O350))=1,FALSE)</f>
        <v/>
      </c>
      <c r="S350" s="16">
        <f>IF(R350,ABS((O350-$AC$76)/MAX(0.0001,$AC$77-$AC$76)-(N350-$AC$78)/MAX(0.0001,$AC$79-$AC$78)),-1)</f>
        <v/>
      </c>
      <c r="T350" s="14">
        <f>IF(G350,O350,NA())</f>
        <v/>
      </c>
      <c r="U350" s="13">
        <f>IF(G350,N350,NA())</f>
        <v/>
      </c>
      <c r="V350" s="14">
        <f>IF(R350,O350,NA())</f>
        <v/>
      </c>
      <c r="W350" s="13">
        <f>IF(R350,N350,NA())</f>
        <v/>
      </c>
      <c r="X350" s="27">
        <f>IF(G350,P350,"")</f>
        <v/>
      </c>
      <c r="Y350" s="27">
        <f>IF(G350,N350,"")</f>
        <v/>
      </c>
      <c r="Z350" s="27">
        <f>IF(R350,O350,"")</f>
        <v/>
      </c>
      <c r="AA350" s="27">
        <f>IF(R350,N350,"")</f>
        <v/>
      </c>
    </row>
    <row r="351">
      <c r="A351" s="31" t="n">
        <v>0</v>
      </c>
      <c r="B351" s="31" t="n">
        <v>0.6</v>
      </c>
      <c r="C351" s="31" t="n">
        <v>0.4</v>
      </c>
      <c r="D351" s="31" t="n">
        <v>0</v>
      </c>
      <c r="E351" s="27" t="inlineStr">
        <is>
          <t>1M 60%/2M 40%</t>
        </is>
      </c>
      <c r="F351" s="27" t="n">
        <v>0</v>
      </c>
      <c r="G351" s="27">
        <f>A351*$B$7&gt;=$B$9</f>
        <v/>
      </c>
      <c r="H351" s="13">
        <f>$B$7*(A351*E$71+B351*F$71+C351*G$71+D351*H$71)+F351/100*$B$7*J$71-$C$71</f>
        <v/>
      </c>
      <c r="I351" s="13">
        <f>$B$7*(A351*L$71+B351*M$71+C351*N$71+D351*O$71)+F351/100*$B$7*Q$71-$C$71</f>
        <v/>
      </c>
      <c r="J351" s="13">
        <f>$B$7*(A351*S$71+B351*T$71+C351*U$71+D351*V$71)+F351/100*$B$7*X$71-$C$71</f>
        <v/>
      </c>
      <c r="K351" s="13">
        <f>$B$7*(A351*Z$71+B351*AA$71+C351*AB$71+D351*AC$71)+F351/100*$B$7*AE$71-$C$71</f>
        <v/>
      </c>
      <c r="L351" s="13">
        <f>$B$7*(A351*AG$71+B351*AH$71+C351*AI$71+D351*AJ$71)+F351/100*$B$7*AL$71-$C$71</f>
        <v/>
      </c>
      <c r="M351" s="13">
        <f>$B$7*(A351*AN$71+B351*AO$71+C351*AP$71+D351*AQ$71)+F351/100*$B$7*AS$71-$C$71</f>
        <v/>
      </c>
      <c r="N351" s="13">
        <f>SUMPRODUCT($H$24:$M$24,H351:M351)</f>
        <v/>
      </c>
      <c r="O351" s="14">
        <f>SQRT(SUMPRODUCT($H$24:$M$24,(H351:M351-N351)^2))</f>
        <v/>
      </c>
      <c r="P351" s="13">
        <f>MIN(H351:M351)</f>
        <v/>
      </c>
      <c r="Q351" s="13">
        <f>MAX(H351:M351)</f>
        <v/>
      </c>
      <c r="R351" s="27">
        <f>IF(G351,SUMPRODUCT(($G$76:$G$1505)*($N$76:$N$1505&gt;=N351)*($O$76:$O$1505&lt;=O351))=1,FALSE)</f>
        <v/>
      </c>
      <c r="S351" s="16">
        <f>IF(R351,ABS((O351-$AC$76)/MAX(0.0001,$AC$77-$AC$76)-(N351-$AC$78)/MAX(0.0001,$AC$79-$AC$78)),-1)</f>
        <v/>
      </c>
      <c r="T351" s="14">
        <f>IF(G351,O351,NA())</f>
        <v/>
      </c>
      <c r="U351" s="13">
        <f>IF(G351,N351,NA())</f>
        <v/>
      </c>
      <c r="V351" s="14">
        <f>IF(R351,O351,NA())</f>
        <v/>
      </c>
      <c r="W351" s="13">
        <f>IF(R351,N351,NA())</f>
        <v/>
      </c>
      <c r="X351" s="27">
        <f>IF(G351,P351,"")</f>
        <v/>
      </c>
      <c r="Y351" s="27">
        <f>IF(G351,N351,"")</f>
        <v/>
      </c>
      <c r="Z351" s="27">
        <f>IF(R351,O351,"")</f>
        <v/>
      </c>
      <c r="AA351" s="27">
        <f>IF(R351,N351,"")</f>
        <v/>
      </c>
    </row>
    <row r="352">
      <c r="A352" s="31" t="n">
        <v>0</v>
      </c>
      <c r="B352" s="31" t="n">
        <v>0.6</v>
      </c>
      <c r="C352" s="31" t="n">
        <v>0.4</v>
      </c>
      <c r="D352" s="31" t="n">
        <v>0</v>
      </c>
      <c r="E352" s="27" t="inlineStr">
        <is>
          <t>1M 60%/2M 40%</t>
        </is>
      </c>
      <c r="F352" s="27" t="n">
        <v>25</v>
      </c>
      <c r="G352" s="27">
        <f>A352*$B$7&gt;=$B$9</f>
        <v/>
      </c>
      <c r="H352" s="13">
        <f>$B$7*(A352*E$71+B352*F$71+C352*G$71+D352*H$71)+F352/100*$B$7*J$71-$C$71</f>
        <v/>
      </c>
      <c r="I352" s="13">
        <f>$B$7*(A352*L$71+B352*M$71+C352*N$71+D352*O$71)+F352/100*$B$7*Q$71-$C$71</f>
        <v/>
      </c>
      <c r="J352" s="13">
        <f>$B$7*(A352*S$71+B352*T$71+C352*U$71+D352*V$71)+F352/100*$B$7*X$71-$C$71</f>
        <v/>
      </c>
      <c r="K352" s="13">
        <f>$B$7*(A352*Z$71+B352*AA$71+C352*AB$71+D352*AC$71)+F352/100*$B$7*AE$71-$C$71</f>
        <v/>
      </c>
      <c r="L352" s="13">
        <f>$B$7*(A352*AG$71+B352*AH$71+C352*AI$71+D352*AJ$71)+F352/100*$B$7*AL$71-$C$71</f>
        <v/>
      </c>
      <c r="M352" s="13">
        <f>$B$7*(A352*AN$71+B352*AO$71+C352*AP$71+D352*AQ$71)+F352/100*$B$7*AS$71-$C$71</f>
        <v/>
      </c>
      <c r="N352" s="13">
        <f>SUMPRODUCT($H$24:$M$24,H352:M352)</f>
        <v/>
      </c>
      <c r="O352" s="14">
        <f>SQRT(SUMPRODUCT($H$24:$M$24,(H352:M352-N352)^2))</f>
        <v/>
      </c>
      <c r="P352" s="13">
        <f>MIN(H352:M352)</f>
        <v/>
      </c>
      <c r="Q352" s="13">
        <f>MAX(H352:M352)</f>
        <v/>
      </c>
      <c r="R352" s="27">
        <f>IF(G352,SUMPRODUCT(($G$76:$G$1505)*($N$76:$N$1505&gt;=N352)*($O$76:$O$1505&lt;=O352))=1,FALSE)</f>
        <v/>
      </c>
      <c r="S352" s="16">
        <f>IF(R352,ABS((O352-$AC$76)/MAX(0.0001,$AC$77-$AC$76)-(N352-$AC$78)/MAX(0.0001,$AC$79-$AC$78)),-1)</f>
        <v/>
      </c>
      <c r="T352" s="14">
        <f>IF(G352,O352,NA())</f>
        <v/>
      </c>
      <c r="U352" s="13">
        <f>IF(G352,N352,NA())</f>
        <v/>
      </c>
      <c r="V352" s="14">
        <f>IF(R352,O352,NA())</f>
        <v/>
      </c>
      <c r="W352" s="13">
        <f>IF(R352,N352,NA())</f>
        <v/>
      </c>
      <c r="X352" s="27">
        <f>IF(G352,P352,"")</f>
        <v/>
      </c>
      <c r="Y352" s="27">
        <f>IF(G352,N352,"")</f>
        <v/>
      </c>
      <c r="Z352" s="27">
        <f>IF(R352,O352,"")</f>
        <v/>
      </c>
      <c r="AA352" s="27">
        <f>IF(R352,N352,"")</f>
        <v/>
      </c>
    </row>
    <row r="353">
      <c r="A353" s="31" t="n">
        <v>0</v>
      </c>
      <c r="B353" s="31" t="n">
        <v>0.6</v>
      </c>
      <c r="C353" s="31" t="n">
        <v>0.4</v>
      </c>
      <c r="D353" s="31" t="n">
        <v>0</v>
      </c>
      <c r="E353" s="27" t="inlineStr">
        <is>
          <t>1M 60%/2M 40%</t>
        </is>
      </c>
      <c r="F353" s="27" t="n">
        <v>50</v>
      </c>
      <c r="G353" s="27">
        <f>A353*$B$7&gt;=$B$9</f>
        <v/>
      </c>
      <c r="H353" s="13">
        <f>$B$7*(A353*E$71+B353*F$71+C353*G$71+D353*H$71)+F353/100*$B$7*J$71-$C$71</f>
        <v/>
      </c>
      <c r="I353" s="13">
        <f>$B$7*(A353*L$71+B353*M$71+C353*N$71+D353*O$71)+F353/100*$B$7*Q$71-$C$71</f>
        <v/>
      </c>
      <c r="J353" s="13">
        <f>$B$7*(A353*S$71+B353*T$71+C353*U$71+D353*V$71)+F353/100*$B$7*X$71-$C$71</f>
        <v/>
      </c>
      <c r="K353" s="13">
        <f>$B$7*(A353*Z$71+B353*AA$71+C353*AB$71+D353*AC$71)+F353/100*$B$7*AE$71-$C$71</f>
        <v/>
      </c>
      <c r="L353" s="13">
        <f>$B$7*(A353*AG$71+B353*AH$71+C353*AI$71+D353*AJ$71)+F353/100*$B$7*AL$71-$C$71</f>
        <v/>
      </c>
      <c r="M353" s="13">
        <f>$B$7*(A353*AN$71+B353*AO$71+C353*AP$71+D353*AQ$71)+F353/100*$B$7*AS$71-$C$71</f>
        <v/>
      </c>
      <c r="N353" s="13">
        <f>SUMPRODUCT($H$24:$M$24,H353:M353)</f>
        <v/>
      </c>
      <c r="O353" s="14">
        <f>SQRT(SUMPRODUCT($H$24:$M$24,(H353:M353-N353)^2))</f>
        <v/>
      </c>
      <c r="P353" s="13">
        <f>MIN(H353:M353)</f>
        <v/>
      </c>
      <c r="Q353" s="13">
        <f>MAX(H353:M353)</f>
        <v/>
      </c>
      <c r="R353" s="27">
        <f>IF(G353,SUMPRODUCT(($G$76:$G$1505)*($N$76:$N$1505&gt;=N353)*($O$76:$O$1505&lt;=O353))=1,FALSE)</f>
        <v/>
      </c>
      <c r="S353" s="16">
        <f>IF(R353,ABS((O353-$AC$76)/MAX(0.0001,$AC$77-$AC$76)-(N353-$AC$78)/MAX(0.0001,$AC$79-$AC$78)),-1)</f>
        <v/>
      </c>
      <c r="T353" s="14">
        <f>IF(G353,O353,NA())</f>
        <v/>
      </c>
      <c r="U353" s="13">
        <f>IF(G353,N353,NA())</f>
        <v/>
      </c>
      <c r="V353" s="14">
        <f>IF(R353,O353,NA())</f>
        <v/>
      </c>
      <c r="W353" s="13">
        <f>IF(R353,N353,NA())</f>
        <v/>
      </c>
      <c r="X353" s="27">
        <f>IF(G353,P353,"")</f>
        <v/>
      </c>
      <c r="Y353" s="27">
        <f>IF(G353,N353,"")</f>
        <v/>
      </c>
      <c r="Z353" s="27">
        <f>IF(R353,O353,"")</f>
        <v/>
      </c>
      <c r="AA353" s="27">
        <f>IF(R353,N353,"")</f>
        <v/>
      </c>
    </row>
    <row r="354">
      <c r="A354" s="31" t="n">
        <v>0</v>
      </c>
      <c r="B354" s="31" t="n">
        <v>0.6</v>
      </c>
      <c r="C354" s="31" t="n">
        <v>0.4</v>
      </c>
      <c r="D354" s="31" t="n">
        <v>0</v>
      </c>
      <c r="E354" s="27" t="inlineStr">
        <is>
          <t>1M 60%/2M 40%</t>
        </is>
      </c>
      <c r="F354" s="27" t="n">
        <v>75</v>
      </c>
      <c r="G354" s="27">
        <f>A354*$B$7&gt;=$B$9</f>
        <v/>
      </c>
      <c r="H354" s="13">
        <f>$B$7*(A354*E$71+B354*F$71+C354*G$71+D354*H$71)+F354/100*$B$7*J$71-$C$71</f>
        <v/>
      </c>
      <c r="I354" s="13">
        <f>$B$7*(A354*L$71+B354*M$71+C354*N$71+D354*O$71)+F354/100*$B$7*Q$71-$C$71</f>
        <v/>
      </c>
      <c r="J354" s="13">
        <f>$B$7*(A354*S$71+B354*T$71+C354*U$71+D354*V$71)+F354/100*$B$7*X$71-$C$71</f>
        <v/>
      </c>
      <c r="K354" s="13">
        <f>$B$7*(A354*Z$71+B354*AA$71+C354*AB$71+D354*AC$71)+F354/100*$B$7*AE$71-$C$71</f>
        <v/>
      </c>
      <c r="L354" s="13">
        <f>$B$7*(A354*AG$71+B354*AH$71+C354*AI$71+D354*AJ$71)+F354/100*$B$7*AL$71-$C$71</f>
        <v/>
      </c>
      <c r="M354" s="13">
        <f>$B$7*(A354*AN$71+B354*AO$71+C354*AP$71+D354*AQ$71)+F354/100*$B$7*AS$71-$C$71</f>
        <v/>
      </c>
      <c r="N354" s="13">
        <f>SUMPRODUCT($H$24:$M$24,H354:M354)</f>
        <v/>
      </c>
      <c r="O354" s="14">
        <f>SQRT(SUMPRODUCT($H$24:$M$24,(H354:M354-N354)^2))</f>
        <v/>
      </c>
      <c r="P354" s="13">
        <f>MIN(H354:M354)</f>
        <v/>
      </c>
      <c r="Q354" s="13">
        <f>MAX(H354:M354)</f>
        <v/>
      </c>
      <c r="R354" s="27">
        <f>IF(G354,SUMPRODUCT(($G$76:$G$1505)*($N$76:$N$1505&gt;=N354)*($O$76:$O$1505&lt;=O354))=1,FALSE)</f>
        <v/>
      </c>
      <c r="S354" s="16">
        <f>IF(R354,ABS((O354-$AC$76)/MAX(0.0001,$AC$77-$AC$76)-(N354-$AC$78)/MAX(0.0001,$AC$79-$AC$78)),-1)</f>
        <v/>
      </c>
      <c r="T354" s="14">
        <f>IF(G354,O354,NA())</f>
        <v/>
      </c>
      <c r="U354" s="13">
        <f>IF(G354,N354,NA())</f>
        <v/>
      </c>
      <c r="V354" s="14">
        <f>IF(R354,O354,NA())</f>
        <v/>
      </c>
      <c r="W354" s="13">
        <f>IF(R354,N354,NA())</f>
        <v/>
      </c>
      <c r="X354" s="27">
        <f>IF(G354,P354,"")</f>
        <v/>
      </c>
      <c r="Y354" s="27">
        <f>IF(G354,N354,"")</f>
        <v/>
      </c>
      <c r="Z354" s="27">
        <f>IF(R354,O354,"")</f>
        <v/>
      </c>
      <c r="AA354" s="27">
        <f>IF(R354,N354,"")</f>
        <v/>
      </c>
    </row>
    <row r="355">
      <c r="A355" s="31" t="n">
        <v>0</v>
      </c>
      <c r="B355" s="31" t="n">
        <v>0.6</v>
      </c>
      <c r="C355" s="31" t="n">
        <v>0.4</v>
      </c>
      <c r="D355" s="31" t="n">
        <v>0</v>
      </c>
      <c r="E355" s="27" t="inlineStr">
        <is>
          <t>1M 60%/2M 40%</t>
        </is>
      </c>
      <c r="F355" s="27" t="n">
        <v>100</v>
      </c>
      <c r="G355" s="27">
        <f>A355*$B$7&gt;=$B$9</f>
        <v/>
      </c>
      <c r="H355" s="13">
        <f>$B$7*(A355*E$71+B355*F$71+C355*G$71+D355*H$71)+F355/100*$B$7*J$71-$C$71</f>
        <v/>
      </c>
      <c r="I355" s="13">
        <f>$B$7*(A355*L$71+B355*M$71+C355*N$71+D355*O$71)+F355/100*$B$7*Q$71-$C$71</f>
        <v/>
      </c>
      <c r="J355" s="13">
        <f>$B$7*(A355*S$71+B355*T$71+C355*U$71+D355*V$71)+F355/100*$B$7*X$71-$C$71</f>
        <v/>
      </c>
      <c r="K355" s="13">
        <f>$B$7*(A355*Z$71+B355*AA$71+C355*AB$71+D355*AC$71)+F355/100*$B$7*AE$71-$C$71</f>
        <v/>
      </c>
      <c r="L355" s="13">
        <f>$B$7*(A355*AG$71+B355*AH$71+C355*AI$71+D355*AJ$71)+F355/100*$B$7*AL$71-$C$71</f>
        <v/>
      </c>
      <c r="M355" s="13">
        <f>$B$7*(A355*AN$71+B355*AO$71+C355*AP$71+D355*AQ$71)+F355/100*$B$7*AS$71-$C$71</f>
        <v/>
      </c>
      <c r="N355" s="13">
        <f>SUMPRODUCT($H$24:$M$24,H355:M355)</f>
        <v/>
      </c>
      <c r="O355" s="14">
        <f>SQRT(SUMPRODUCT($H$24:$M$24,(H355:M355-N355)^2))</f>
        <v/>
      </c>
      <c r="P355" s="13">
        <f>MIN(H355:M355)</f>
        <v/>
      </c>
      <c r="Q355" s="13">
        <f>MAX(H355:M355)</f>
        <v/>
      </c>
      <c r="R355" s="27">
        <f>IF(G355,SUMPRODUCT(($G$76:$G$1505)*($N$76:$N$1505&gt;=N355)*($O$76:$O$1505&lt;=O355))=1,FALSE)</f>
        <v/>
      </c>
      <c r="S355" s="16">
        <f>IF(R355,ABS((O355-$AC$76)/MAX(0.0001,$AC$77-$AC$76)-(N355-$AC$78)/MAX(0.0001,$AC$79-$AC$78)),-1)</f>
        <v/>
      </c>
      <c r="T355" s="14">
        <f>IF(G355,O355,NA())</f>
        <v/>
      </c>
      <c r="U355" s="13">
        <f>IF(G355,N355,NA())</f>
        <v/>
      </c>
      <c r="V355" s="14">
        <f>IF(R355,O355,NA())</f>
        <v/>
      </c>
      <c r="W355" s="13">
        <f>IF(R355,N355,NA())</f>
        <v/>
      </c>
      <c r="X355" s="27">
        <f>IF(G355,P355,"")</f>
        <v/>
      </c>
      <c r="Y355" s="27">
        <f>IF(G355,N355,"")</f>
        <v/>
      </c>
      <c r="Z355" s="27">
        <f>IF(R355,O355,"")</f>
        <v/>
      </c>
      <c r="AA355" s="27">
        <f>IF(R355,N355,"")</f>
        <v/>
      </c>
    </row>
    <row r="356">
      <c r="A356" s="31" t="n">
        <v>0</v>
      </c>
      <c r="B356" s="31" t="n">
        <v>0.7</v>
      </c>
      <c r="C356" s="31" t="n">
        <v>0</v>
      </c>
      <c r="D356" s="31" t="n">
        <v>0.3</v>
      </c>
      <c r="E356" s="27" t="inlineStr">
        <is>
          <t>1M 70%/3M 30%</t>
        </is>
      </c>
      <c r="F356" s="27" t="n">
        <v>0</v>
      </c>
      <c r="G356" s="27">
        <f>A356*$B$7&gt;=$B$9</f>
        <v/>
      </c>
      <c r="H356" s="13">
        <f>$B$7*(A356*E$71+B356*F$71+C356*G$71+D356*H$71)+F356/100*$B$7*J$71-$C$71</f>
        <v/>
      </c>
      <c r="I356" s="13">
        <f>$B$7*(A356*L$71+B356*M$71+C356*N$71+D356*O$71)+F356/100*$B$7*Q$71-$C$71</f>
        <v/>
      </c>
      <c r="J356" s="13">
        <f>$B$7*(A356*S$71+B356*T$71+C356*U$71+D356*V$71)+F356/100*$B$7*X$71-$C$71</f>
        <v/>
      </c>
      <c r="K356" s="13">
        <f>$B$7*(A356*Z$71+B356*AA$71+C356*AB$71+D356*AC$71)+F356/100*$B$7*AE$71-$C$71</f>
        <v/>
      </c>
      <c r="L356" s="13">
        <f>$B$7*(A356*AG$71+B356*AH$71+C356*AI$71+D356*AJ$71)+F356/100*$B$7*AL$71-$C$71</f>
        <v/>
      </c>
      <c r="M356" s="13">
        <f>$B$7*(A356*AN$71+B356*AO$71+C356*AP$71+D356*AQ$71)+F356/100*$B$7*AS$71-$C$71</f>
        <v/>
      </c>
      <c r="N356" s="13">
        <f>SUMPRODUCT($H$24:$M$24,H356:M356)</f>
        <v/>
      </c>
      <c r="O356" s="14">
        <f>SQRT(SUMPRODUCT($H$24:$M$24,(H356:M356-N356)^2))</f>
        <v/>
      </c>
      <c r="P356" s="13">
        <f>MIN(H356:M356)</f>
        <v/>
      </c>
      <c r="Q356" s="13">
        <f>MAX(H356:M356)</f>
        <v/>
      </c>
      <c r="R356" s="27">
        <f>IF(G356,SUMPRODUCT(($G$76:$G$1505)*($N$76:$N$1505&gt;=N356)*($O$76:$O$1505&lt;=O356))=1,FALSE)</f>
        <v/>
      </c>
      <c r="S356" s="16">
        <f>IF(R356,ABS((O356-$AC$76)/MAX(0.0001,$AC$77-$AC$76)-(N356-$AC$78)/MAX(0.0001,$AC$79-$AC$78)),-1)</f>
        <v/>
      </c>
      <c r="T356" s="14">
        <f>IF(G356,O356,NA())</f>
        <v/>
      </c>
      <c r="U356" s="13">
        <f>IF(G356,N356,NA())</f>
        <v/>
      </c>
      <c r="V356" s="14">
        <f>IF(R356,O356,NA())</f>
        <v/>
      </c>
      <c r="W356" s="13">
        <f>IF(R356,N356,NA())</f>
        <v/>
      </c>
      <c r="X356" s="27">
        <f>IF(G356,P356,"")</f>
        <v/>
      </c>
      <c r="Y356" s="27">
        <f>IF(G356,N356,"")</f>
        <v/>
      </c>
      <c r="Z356" s="27">
        <f>IF(R356,O356,"")</f>
        <v/>
      </c>
      <c r="AA356" s="27">
        <f>IF(R356,N356,"")</f>
        <v/>
      </c>
    </row>
    <row r="357">
      <c r="A357" s="31" t="n">
        <v>0</v>
      </c>
      <c r="B357" s="31" t="n">
        <v>0.7</v>
      </c>
      <c r="C357" s="31" t="n">
        <v>0</v>
      </c>
      <c r="D357" s="31" t="n">
        <v>0.3</v>
      </c>
      <c r="E357" s="27" t="inlineStr">
        <is>
          <t>1M 70%/3M 30%</t>
        </is>
      </c>
      <c r="F357" s="27" t="n">
        <v>25</v>
      </c>
      <c r="G357" s="27">
        <f>A357*$B$7&gt;=$B$9</f>
        <v/>
      </c>
      <c r="H357" s="13">
        <f>$B$7*(A357*E$71+B357*F$71+C357*G$71+D357*H$71)+F357/100*$B$7*J$71-$C$71</f>
        <v/>
      </c>
      <c r="I357" s="13">
        <f>$B$7*(A357*L$71+B357*M$71+C357*N$71+D357*O$71)+F357/100*$B$7*Q$71-$C$71</f>
        <v/>
      </c>
      <c r="J357" s="13">
        <f>$B$7*(A357*S$71+B357*T$71+C357*U$71+D357*V$71)+F357/100*$B$7*X$71-$C$71</f>
        <v/>
      </c>
      <c r="K357" s="13">
        <f>$B$7*(A357*Z$71+B357*AA$71+C357*AB$71+D357*AC$71)+F357/100*$B$7*AE$71-$C$71</f>
        <v/>
      </c>
      <c r="L357" s="13">
        <f>$B$7*(A357*AG$71+B357*AH$71+C357*AI$71+D357*AJ$71)+F357/100*$B$7*AL$71-$C$71</f>
        <v/>
      </c>
      <c r="M357" s="13">
        <f>$B$7*(A357*AN$71+B357*AO$71+C357*AP$71+D357*AQ$71)+F357/100*$B$7*AS$71-$C$71</f>
        <v/>
      </c>
      <c r="N357" s="13">
        <f>SUMPRODUCT($H$24:$M$24,H357:M357)</f>
        <v/>
      </c>
      <c r="O357" s="14">
        <f>SQRT(SUMPRODUCT($H$24:$M$24,(H357:M357-N357)^2))</f>
        <v/>
      </c>
      <c r="P357" s="13">
        <f>MIN(H357:M357)</f>
        <v/>
      </c>
      <c r="Q357" s="13">
        <f>MAX(H357:M357)</f>
        <v/>
      </c>
      <c r="R357" s="27">
        <f>IF(G357,SUMPRODUCT(($G$76:$G$1505)*($N$76:$N$1505&gt;=N357)*($O$76:$O$1505&lt;=O357))=1,FALSE)</f>
        <v/>
      </c>
      <c r="S357" s="16">
        <f>IF(R357,ABS((O357-$AC$76)/MAX(0.0001,$AC$77-$AC$76)-(N357-$AC$78)/MAX(0.0001,$AC$79-$AC$78)),-1)</f>
        <v/>
      </c>
      <c r="T357" s="14">
        <f>IF(G357,O357,NA())</f>
        <v/>
      </c>
      <c r="U357" s="13">
        <f>IF(G357,N357,NA())</f>
        <v/>
      </c>
      <c r="V357" s="14">
        <f>IF(R357,O357,NA())</f>
        <v/>
      </c>
      <c r="W357" s="13">
        <f>IF(R357,N357,NA())</f>
        <v/>
      </c>
      <c r="X357" s="27">
        <f>IF(G357,P357,"")</f>
        <v/>
      </c>
      <c r="Y357" s="27">
        <f>IF(G357,N357,"")</f>
        <v/>
      </c>
      <c r="Z357" s="27">
        <f>IF(R357,O357,"")</f>
        <v/>
      </c>
      <c r="AA357" s="27">
        <f>IF(R357,N357,"")</f>
        <v/>
      </c>
    </row>
    <row r="358">
      <c r="A358" s="31" t="n">
        <v>0</v>
      </c>
      <c r="B358" s="31" t="n">
        <v>0.7</v>
      </c>
      <c r="C358" s="31" t="n">
        <v>0</v>
      </c>
      <c r="D358" s="31" t="n">
        <v>0.3</v>
      </c>
      <c r="E358" s="27" t="inlineStr">
        <is>
          <t>1M 70%/3M 30%</t>
        </is>
      </c>
      <c r="F358" s="27" t="n">
        <v>50</v>
      </c>
      <c r="G358" s="27">
        <f>A358*$B$7&gt;=$B$9</f>
        <v/>
      </c>
      <c r="H358" s="13">
        <f>$B$7*(A358*E$71+B358*F$71+C358*G$71+D358*H$71)+F358/100*$B$7*J$71-$C$71</f>
        <v/>
      </c>
      <c r="I358" s="13">
        <f>$B$7*(A358*L$71+B358*M$71+C358*N$71+D358*O$71)+F358/100*$B$7*Q$71-$C$71</f>
        <v/>
      </c>
      <c r="J358" s="13">
        <f>$B$7*(A358*S$71+B358*T$71+C358*U$71+D358*V$71)+F358/100*$B$7*X$71-$C$71</f>
        <v/>
      </c>
      <c r="K358" s="13">
        <f>$B$7*(A358*Z$71+B358*AA$71+C358*AB$71+D358*AC$71)+F358/100*$B$7*AE$71-$C$71</f>
        <v/>
      </c>
      <c r="L358" s="13">
        <f>$B$7*(A358*AG$71+B358*AH$71+C358*AI$71+D358*AJ$71)+F358/100*$B$7*AL$71-$C$71</f>
        <v/>
      </c>
      <c r="M358" s="13">
        <f>$B$7*(A358*AN$71+B358*AO$71+C358*AP$71+D358*AQ$71)+F358/100*$B$7*AS$71-$C$71</f>
        <v/>
      </c>
      <c r="N358" s="13">
        <f>SUMPRODUCT($H$24:$M$24,H358:M358)</f>
        <v/>
      </c>
      <c r="O358" s="14">
        <f>SQRT(SUMPRODUCT($H$24:$M$24,(H358:M358-N358)^2))</f>
        <v/>
      </c>
      <c r="P358" s="13">
        <f>MIN(H358:M358)</f>
        <v/>
      </c>
      <c r="Q358" s="13">
        <f>MAX(H358:M358)</f>
        <v/>
      </c>
      <c r="R358" s="27">
        <f>IF(G358,SUMPRODUCT(($G$76:$G$1505)*($N$76:$N$1505&gt;=N358)*($O$76:$O$1505&lt;=O358))=1,FALSE)</f>
        <v/>
      </c>
      <c r="S358" s="16">
        <f>IF(R358,ABS((O358-$AC$76)/MAX(0.0001,$AC$77-$AC$76)-(N358-$AC$78)/MAX(0.0001,$AC$79-$AC$78)),-1)</f>
        <v/>
      </c>
      <c r="T358" s="14">
        <f>IF(G358,O358,NA())</f>
        <v/>
      </c>
      <c r="U358" s="13">
        <f>IF(G358,N358,NA())</f>
        <v/>
      </c>
      <c r="V358" s="14">
        <f>IF(R358,O358,NA())</f>
        <v/>
      </c>
      <c r="W358" s="13">
        <f>IF(R358,N358,NA())</f>
        <v/>
      </c>
      <c r="X358" s="27">
        <f>IF(G358,P358,"")</f>
        <v/>
      </c>
      <c r="Y358" s="27">
        <f>IF(G358,N358,"")</f>
        <v/>
      </c>
      <c r="Z358" s="27">
        <f>IF(R358,O358,"")</f>
        <v/>
      </c>
      <c r="AA358" s="27">
        <f>IF(R358,N358,"")</f>
        <v/>
      </c>
    </row>
    <row r="359">
      <c r="A359" s="31" t="n">
        <v>0</v>
      </c>
      <c r="B359" s="31" t="n">
        <v>0.7</v>
      </c>
      <c r="C359" s="31" t="n">
        <v>0</v>
      </c>
      <c r="D359" s="31" t="n">
        <v>0.3</v>
      </c>
      <c r="E359" s="27" t="inlineStr">
        <is>
          <t>1M 70%/3M 30%</t>
        </is>
      </c>
      <c r="F359" s="27" t="n">
        <v>75</v>
      </c>
      <c r="G359" s="27">
        <f>A359*$B$7&gt;=$B$9</f>
        <v/>
      </c>
      <c r="H359" s="13">
        <f>$B$7*(A359*E$71+B359*F$71+C359*G$71+D359*H$71)+F359/100*$B$7*J$71-$C$71</f>
        <v/>
      </c>
      <c r="I359" s="13">
        <f>$B$7*(A359*L$71+B359*M$71+C359*N$71+D359*O$71)+F359/100*$B$7*Q$71-$C$71</f>
        <v/>
      </c>
      <c r="J359" s="13">
        <f>$B$7*(A359*S$71+B359*T$71+C359*U$71+D359*V$71)+F359/100*$B$7*X$71-$C$71</f>
        <v/>
      </c>
      <c r="K359" s="13">
        <f>$B$7*(A359*Z$71+B359*AA$71+C359*AB$71+D359*AC$71)+F359/100*$B$7*AE$71-$C$71</f>
        <v/>
      </c>
      <c r="L359" s="13">
        <f>$B$7*(A359*AG$71+B359*AH$71+C359*AI$71+D359*AJ$71)+F359/100*$B$7*AL$71-$C$71</f>
        <v/>
      </c>
      <c r="M359" s="13">
        <f>$B$7*(A359*AN$71+B359*AO$71+C359*AP$71+D359*AQ$71)+F359/100*$B$7*AS$71-$C$71</f>
        <v/>
      </c>
      <c r="N359" s="13">
        <f>SUMPRODUCT($H$24:$M$24,H359:M359)</f>
        <v/>
      </c>
      <c r="O359" s="14">
        <f>SQRT(SUMPRODUCT($H$24:$M$24,(H359:M359-N359)^2))</f>
        <v/>
      </c>
      <c r="P359" s="13">
        <f>MIN(H359:M359)</f>
        <v/>
      </c>
      <c r="Q359" s="13">
        <f>MAX(H359:M359)</f>
        <v/>
      </c>
      <c r="R359" s="27">
        <f>IF(G359,SUMPRODUCT(($G$76:$G$1505)*($N$76:$N$1505&gt;=N359)*($O$76:$O$1505&lt;=O359))=1,FALSE)</f>
        <v/>
      </c>
      <c r="S359" s="16">
        <f>IF(R359,ABS((O359-$AC$76)/MAX(0.0001,$AC$77-$AC$76)-(N359-$AC$78)/MAX(0.0001,$AC$79-$AC$78)),-1)</f>
        <v/>
      </c>
      <c r="T359" s="14">
        <f>IF(G359,O359,NA())</f>
        <v/>
      </c>
      <c r="U359" s="13">
        <f>IF(G359,N359,NA())</f>
        <v/>
      </c>
      <c r="V359" s="14">
        <f>IF(R359,O359,NA())</f>
        <v/>
      </c>
      <c r="W359" s="13">
        <f>IF(R359,N359,NA())</f>
        <v/>
      </c>
      <c r="X359" s="27">
        <f>IF(G359,P359,"")</f>
        <v/>
      </c>
      <c r="Y359" s="27">
        <f>IF(G359,N359,"")</f>
        <v/>
      </c>
      <c r="Z359" s="27">
        <f>IF(R359,O359,"")</f>
        <v/>
      </c>
      <c r="AA359" s="27">
        <f>IF(R359,N359,"")</f>
        <v/>
      </c>
    </row>
    <row r="360">
      <c r="A360" s="31" t="n">
        <v>0</v>
      </c>
      <c r="B360" s="31" t="n">
        <v>0.7</v>
      </c>
      <c r="C360" s="31" t="n">
        <v>0</v>
      </c>
      <c r="D360" s="31" t="n">
        <v>0.3</v>
      </c>
      <c r="E360" s="27" t="inlineStr">
        <is>
          <t>1M 70%/3M 30%</t>
        </is>
      </c>
      <c r="F360" s="27" t="n">
        <v>100</v>
      </c>
      <c r="G360" s="27">
        <f>A360*$B$7&gt;=$B$9</f>
        <v/>
      </c>
      <c r="H360" s="13">
        <f>$B$7*(A360*E$71+B360*F$71+C360*G$71+D360*H$71)+F360/100*$B$7*J$71-$C$71</f>
        <v/>
      </c>
      <c r="I360" s="13">
        <f>$B$7*(A360*L$71+B360*M$71+C360*N$71+D360*O$71)+F360/100*$B$7*Q$71-$C$71</f>
        <v/>
      </c>
      <c r="J360" s="13">
        <f>$B$7*(A360*S$71+B360*T$71+C360*U$71+D360*V$71)+F360/100*$B$7*X$71-$C$71</f>
        <v/>
      </c>
      <c r="K360" s="13">
        <f>$B$7*(A360*Z$71+B360*AA$71+C360*AB$71+D360*AC$71)+F360/100*$B$7*AE$71-$C$71</f>
        <v/>
      </c>
      <c r="L360" s="13">
        <f>$B$7*(A360*AG$71+B360*AH$71+C360*AI$71+D360*AJ$71)+F360/100*$B$7*AL$71-$C$71</f>
        <v/>
      </c>
      <c r="M360" s="13">
        <f>$B$7*(A360*AN$71+B360*AO$71+C360*AP$71+D360*AQ$71)+F360/100*$B$7*AS$71-$C$71</f>
        <v/>
      </c>
      <c r="N360" s="13">
        <f>SUMPRODUCT($H$24:$M$24,H360:M360)</f>
        <v/>
      </c>
      <c r="O360" s="14">
        <f>SQRT(SUMPRODUCT($H$24:$M$24,(H360:M360-N360)^2))</f>
        <v/>
      </c>
      <c r="P360" s="13">
        <f>MIN(H360:M360)</f>
        <v/>
      </c>
      <c r="Q360" s="13">
        <f>MAX(H360:M360)</f>
        <v/>
      </c>
      <c r="R360" s="27">
        <f>IF(G360,SUMPRODUCT(($G$76:$G$1505)*($N$76:$N$1505&gt;=N360)*($O$76:$O$1505&lt;=O360))=1,FALSE)</f>
        <v/>
      </c>
      <c r="S360" s="16">
        <f>IF(R360,ABS((O360-$AC$76)/MAX(0.0001,$AC$77-$AC$76)-(N360-$AC$78)/MAX(0.0001,$AC$79-$AC$78)),-1)</f>
        <v/>
      </c>
      <c r="T360" s="14">
        <f>IF(G360,O360,NA())</f>
        <v/>
      </c>
      <c r="U360" s="13">
        <f>IF(G360,N360,NA())</f>
        <v/>
      </c>
      <c r="V360" s="14">
        <f>IF(R360,O360,NA())</f>
        <v/>
      </c>
      <c r="W360" s="13">
        <f>IF(R360,N360,NA())</f>
        <v/>
      </c>
      <c r="X360" s="27">
        <f>IF(G360,P360,"")</f>
        <v/>
      </c>
      <c r="Y360" s="27">
        <f>IF(G360,N360,"")</f>
        <v/>
      </c>
      <c r="Z360" s="27">
        <f>IF(R360,O360,"")</f>
        <v/>
      </c>
      <c r="AA360" s="27">
        <f>IF(R360,N360,"")</f>
        <v/>
      </c>
    </row>
    <row r="361">
      <c r="A361" s="31" t="n">
        <v>0</v>
      </c>
      <c r="B361" s="31" t="n">
        <v>0.7</v>
      </c>
      <c r="C361" s="31" t="n">
        <v>0.1</v>
      </c>
      <c r="D361" s="31" t="n">
        <v>0.2</v>
      </c>
      <c r="E361" s="27" t="inlineStr">
        <is>
          <t>1M 70%/2M 10%/3M 20%</t>
        </is>
      </c>
      <c r="F361" s="27" t="n">
        <v>0</v>
      </c>
      <c r="G361" s="27">
        <f>A361*$B$7&gt;=$B$9</f>
        <v/>
      </c>
      <c r="H361" s="13">
        <f>$B$7*(A361*E$71+B361*F$71+C361*G$71+D361*H$71)+F361/100*$B$7*J$71-$C$71</f>
        <v/>
      </c>
      <c r="I361" s="13">
        <f>$B$7*(A361*L$71+B361*M$71+C361*N$71+D361*O$71)+F361/100*$B$7*Q$71-$C$71</f>
        <v/>
      </c>
      <c r="J361" s="13">
        <f>$B$7*(A361*S$71+B361*T$71+C361*U$71+D361*V$71)+F361/100*$B$7*X$71-$C$71</f>
        <v/>
      </c>
      <c r="K361" s="13">
        <f>$B$7*(A361*Z$71+B361*AA$71+C361*AB$71+D361*AC$71)+F361/100*$B$7*AE$71-$C$71</f>
        <v/>
      </c>
      <c r="L361" s="13">
        <f>$B$7*(A361*AG$71+B361*AH$71+C361*AI$71+D361*AJ$71)+F361/100*$B$7*AL$71-$C$71</f>
        <v/>
      </c>
      <c r="M361" s="13">
        <f>$B$7*(A361*AN$71+B361*AO$71+C361*AP$71+D361*AQ$71)+F361/100*$B$7*AS$71-$C$71</f>
        <v/>
      </c>
      <c r="N361" s="13">
        <f>SUMPRODUCT($H$24:$M$24,H361:M361)</f>
        <v/>
      </c>
      <c r="O361" s="14">
        <f>SQRT(SUMPRODUCT($H$24:$M$24,(H361:M361-N361)^2))</f>
        <v/>
      </c>
      <c r="P361" s="13">
        <f>MIN(H361:M361)</f>
        <v/>
      </c>
      <c r="Q361" s="13">
        <f>MAX(H361:M361)</f>
        <v/>
      </c>
      <c r="R361" s="27">
        <f>IF(G361,SUMPRODUCT(($G$76:$G$1505)*($N$76:$N$1505&gt;=N361)*($O$76:$O$1505&lt;=O361))=1,FALSE)</f>
        <v/>
      </c>
      <c r="S361" s="16">
        <f>IF(R361,ABS((O361-$AC$76)/MAX(0.0001,$AC$77-$AC$76)-(N361-$AC$78)/MAX(0.0001,$AC$79-$AC$78)),-1)</f>
        <v/>
      </c>
      <c r="T361" s="14">
        <f>IF(G361,O361,NA())</f>
        <v/>
      </c>
      <c r="U361" s="13">
        <f>IF(G361,N361,NA())</f>
        <v/>
      </c>
      <c r="V361" s="14">
        <f>IF(R361,O361,NA())</f>
        <v/>
      </c>
      <c r="W361" s="13">
        <f>IF(R361,N361,NA())</f>
        <v/>
      </c>
      <c r="X361" s="27">
        <f>IF(G361,P361,"")</f>
        <v/>
      </c>
      <c r="Y361" s="27">
        <f>IF(G361,N361,"")</f>
        <v/>
      </c>
      <c r="Z361" s="27">
        <f>IF(R361,O361,"")</f>
        <v/>
      </c>
      <c r="AA361" s="27">
        <f>IF(R361,N361,"")</f>
        <v/>
      </c>
    </row>
    <row r="362">
      <c r="A362" s="31" t="n">
        <v>0</v>
      </c>
      <c r="B362" s="31" t="n">
        <v>0.7</v>
      </c>
      <c r="C362" s="31" t="n">
        <v>0.1</v>
      </c>
      <c r="D362" s="31" t="n">
        <v>0.2</v>
      </c>
      <c r="E362" s="27" t="inlineStr">
        <is>
          <t>1M 70%/2M 10%/3M 20%</t>
        </is>
      </c>
      <c r="F362" s="27" t="n">
        <v>25</v>
      </c>
      <c r="G362" s="27">
        <f>A362*$B$7&gt;=$B$9</f>
        <v/>
      </c>
      <c r="H362" s="13">
        <f>$B$7*(A362*E$71+B362*F$71+C362*G$71+D362*H$71)+F362/100*$B$7*J$71-$C$71</f>
        <v/>
      </c>
      <c r="I362" s="13">
        <f>$B$7*(A362*L$71+B362*M$71+C362*N$71+D362*O$71)+F362/100*$B$7*Q$71-$C$71</f>
        <v/>
      </c>
      <c r="J362" s="13">
        <f>$B$7*(A362*S$71+B362*T$71+C362*U$71+D362*V$71)+F362/100*$B$7*X$71-$C$71</f>
        <v/>
      </c>
      <c r="K362" s="13">
        <f>$B$7*(A362*Z$71+B362*AA$71+C362*AB$71+D362*AC$71)+F362/100*$B$7*AE$71-$C$71</f>
        <v/>
      </c>
      <c r="L362" s="13">
        <f>$B$7*(A362*AG$71+B362*AH$71+C362*AI$71+D362*AJ$71)+F362/100*$B$7*AL$71-$C$71</f>
        <v/>
      </c>
      <c r="M362" s="13">
        <f>$B$7*(A362*AN$71+B362*AO$71+C362*AP$71+D362*AQ$71)+F362/100*$B$7*AS$71-$C$71</f>
        <v/>
      </c>
      <c r="N362" s="13">
        <f>SUMPRODUCT($H$24:$M$24,H362:M362)</f>
        <v/>
      </c>
      <c r="O362" s="14">
        <f>SQRT(SUMPRODUCT($H$24:$M$24,(H362:M362-N362)^2))</f>
        <v/>
      </c>
      <c r="P362" s="13">
        <f>MIN(H362:M362)</f>
        <v/>
      </c>
      <c r="Q362" s="13">
        <f>MAX(H362:M362)</f>
        <v/>
      </c>
      <c r="R362" s="27">
        <f>IF(G362,SUMPRODUCT(($G$76:$G$1505)*($N$76:$N$1505&gt;=N362)*($O$76:$O$1505&lt;=O362))=1,FALSE)</f>
        <v/>
      </c>
      <c r="S362" s="16">
        <f>IF(R362,ABS((O362-$AC$76)/MAX(0.0001,$AC$77-$AC$76)-(N362-$AC$78)/MAX(0.0001,$AC$79-$AC$78)),-1)</f>
        <v/>
      </c>
      <c r="T362" s="14">
        <f>IF(G362,O362,NA())</f>
        <v/>
      </c>
      <c r="U362" s="13">
        <f>IF(G362,N362,NA())</f>
        <v/>
      </c>
      <c r="V362" s="14">
        <f>IF(R362,O362,NA())</f>
        <v/>
      </c>
      <c r="W362" s="13">
        <f>IF(R362,N362,NA())</f>
        <v/>
      </c>
      <c r="X362" s="27">
        <f>IF(G362,P362,"")</f>
        <v/>
      </c>
      <c r="Y362" s="27">
        <f>IF(G362,N362,"")</f>
        <v/>
      </c>
      <c r="Z362" s="27">
        <f>IF(R362,O362,"")</f>
        <v/>
      </c>
      <c r="AA362" s="27">
        <f>IF(R362,N362,"")</f>
        <v/>
      </c>
    </row>
    <row r="363">
      <c r="A363" s="31" t="n">
        <v>0</v>
      </c>
      <c r="B363" s="31" t="n">
        <v>0.7</v>
      </c>
      <c r="C363" s="31" t="n">
        <v>0.1</v>
      </c>
      <c r="D363" s="31" t="n">
        <v>0.2</v>
      </c>
      <c r="E363" s="27" t="inlineStr">
        <is>
          <t>1M 70%/2M 10%/3M 20%</t>
        </is>
      </c>
      <c r="F363" s="27" t="n">
        <v>50</v>
      </c>
      <c r="G363" s="27">
        <f>A363*$B$7&gt;=$B$9</f>
        <v/>
      </c>
      <c r="H363" s="13">
        <f>$B$7*(A363*E$71+B363*F$71+C363*G$71+D363*H$71)+F363/100*$B$7*J$71-$C$71</f>
        <v/>
      </c>
      <c r="I363" s="13">
        <f>$B$7*(A363*L$71+B363*M$71+C363*N$71+D363*O$71)+F363/100*$B$7*Q$71-$C$71</f>
        <v/>
      </c>
      <c r="J363" s="13">
        <f>$B$7*(A363*S$71+B363*T$71+C363*U$71+D363*V$71)+F363/100*$B$7*X$71-$C$71</f>
        <v/>
      </c>
      <c r="K363" s="13">
        <f>$B$7*(A363*Z$71+B363*AA$71+C363*AB$71+D363*AC$71)+F363/100*$B$7*AE$71-$C$71</f>
        <v/>
      </c>
      <c r="L363" s="13">
        <f>$B$7*(A363*AG$71+B363*AH$71+C363*AI$71+D363*AJ$71)+F363/100*$B$7*AL$71-$C$71</f>
        <v/>
      </c>
      <c r="M363" s="13">
        <f>$B$7*(A363*AN$71+B363*AO$71+C363*AP$71+D363*AQ$71)+F363/100*$B$7*AS$71-$C$71</f>
        <v/>
      </c>
      <c r="N363" s="13">
        <f>SUMPRODUCT($H$24:$M$24,H363:M363)</f>
        <v/>
      </c>
      <c r="O363" s="14">
        <f>SQRT(SUMPRODUCT($H$24:$M$24,(H363:M363-N363)^2))</f>
        <v/>
      </c>
      <c r="P363" s="13">
        <f>MIN(H363:M363)</f>
        <v/>
      </c>
      <c r="Q363" s="13">
        <f>MAX(H363:M363)</f>
        <v/>
      </c>
      <c r="R363" s="27">
        <f>IF(G363,SUMPRODUCT(($G$76:$G$1505)*($N$76:$N$1505&gt;=N363)*($O$76:$O$1505&lt;=O363))=1,FALSE)</f>
        <v/>
      </c>
      <c r="S363" s="16">
        <f>IF(R363,ABS((O363-$AC$76)/MAX(0.0001,$AC$77-$AC$76)-(N363-$AC$78)/MAX(0.0001,$AC$79-$AC$78)),-1)</f>
        <v/>
      </c>
      <c r="T363" s="14">
        <f>IF(G363,O363,NA())</f>
        <v/>
      </c>
      <c r="U363" s="13">
        <f>IF(G363,N363,NA())</f>
        <v/>
      </c>
      <c r="V363" s="14">
        <f>IF(R363,O363,NA())</f>
        <v/>
      </c>
      <c r="W363" s="13">
        <f>IF(R363,N363,NA())</f>
        <v/>
      </c>
      <c r="X363" s="27">
        <f>IF(G363,P363,"")</f>
        <v/>
      </c>
      <c r="Y363" s="27">
        <f>IF(G363,N363,"")</f>
        <v/>
      </c>
      <c r="Z363" s="27">
        <f>IF(R363,O363,"")</f>
        <v/>
      </c>
      <c r="AA363" s="27">
        <f>IF(R363,N363,"")</f>
        <v/>
      </c>
    </row>
    <row r="364">
      <c r="A364" s="31" t="n">
        <v>0</v>
      </c>
      <c r="B364" s="31" t="n">
        <v>0.7</v>
      </c>
      <c r="C364" s="31" t="n">
        <v>0.1</v>
      </c>
      <c r="D364" s="31" t="n">
        <v>0.2</v>
      </c>
      <c r="E364" s="27" t="inlineStr">
        <is>
          <t>1M 70%/2M 10%/3M 20%</t>
        </is>
      </c>
      <c r="F364" s="27" t="n">
        <v>75</v>
      </c>
      <c r="G364" s="27">
        <f>A364*$B$7&gt;=$B$9</f>
        <v/>
      </c>
      <c r="H364" s="13">
        <f>$B$7*(A364*E$71+B364*F$71+C364*G$71+D364*H$71)+F364/100*$B$7*J$71-$C$71</f>
        <v/>
      </c>
      <c r="I364" s="13">
        <f>$B$7*(A364*L$71+B364*M$71+C364*N$71+D364*O$71)+F364/100*$B$7*Q$71-$C$71</f>
        <v/>
      </c>
      <c r="J364" s="13">
        <f>$B$7*(A364*S$71+B364*T$71+C364*U$71+D364*V$71)+F364/100*$B$7*X$71-$C$71</f>
        <v/>
      </c>
      <c r="K364" s="13">
        <f>$B$7*(A364*Z$71+B364*AA$71+C364*AB$71+D364*AC$71)+F364/100*$B$7*AE$71-$C$71</f>
        <v/>
      </c>
      <c r="L364" s="13">
        <f>$B$7*(A364*AG$71+B364*AH$71+C364*AI$71+D364*AJ$71)+F364/100*$B$7*AL$71-$C$71</f>
        <v/>
      </c>
      <c r="M364" s="13">
        <f>$B$7*(A364*AN$71+B364*AO$71+C364*AP$71+D364*AQ$71)+F364/100*$B$7*AS$71-$C$71</f>
        <v/>
      </c>
      <c r="N364" s="13">
        <f>SUMPRODUCT($H$24:$M$24,H364:M364)</f>
        <v/>
      </c>
      <c r="O364" s="14">
        <f>SQRT(SUMPRODUCT($H$24:$M$24,(H364:M364-N364)^2))</f>
        <v/>
      </c>
      <c r="P364" s="13">
        <f>MIN(H364:M364)</f>
        <v/>
      </c>
      <c r="Q364" s="13">
        <f>MAX(H364:M364)</f>
        <v/>
      </c>
      <c r="R364" s="27">
        <f>IF(G364,SUMPRODUCT(($G$76:$G$1505)*($N$76:$N$1505&gt;=N364)*($O$76:$O$1505&lt;=O364))=1,FALSE)</f>
        <v/>
      </c>
      <c r="S364" s="16">
        <f>IF(R364,ABS((O364-$AC$76)/MAX(0.0001,$AC$77-$AC$76)-(N364-$AC$78)/MAX(0.0001,$AC$79-$AC$78)),-1)</f>
        <v/>
      </c>
      <c r="T364" s="14">
        <f>IF(G364,O364,NA())</f>
        <v/>
      </c>
      <c r="U364" s="13">
        <f>IF(G364,N364,NA())</f>
        <v/>
      </c>
      <c r="V364" s="14">
        <f>IF(R364,O364,NA())</f>
        <v/>
      </c>
      <c r="W364" s="13">
        <f>IF(R364,N364,NA())</f>
        <v/>
      </c>
      <c r="X364" s="27">
        <f>IF(G364,P364,"")</f>
        <v/>
      </c>
      <c r="Y364" s="27">
        <f>IF(G364,N364,"")</f>
        <v/>
      </c>
      <c r="Z364" s="27">
        <f>IF(R364,O364,"")</f>
        <v/>
      </c>
      <c r="AA364" s="27">
        <f>IF(R364,N364,"")</f>
        <v/>
      </c>
    </row>
    <row r="365">
      <c r="A365" s="31" t="n">
        <v>0</v>
      </c>
      <c r="B365" s="31" t="n">
        <v>0.7</v>
      </c>
      <c r="C365" s="31" t="n">
        <v>0.1</v>
      </c>
      <c r="D365" s="31" t="n">
        <v>0.2</v>
      </c>
      <c r="E365" s="27" t="inlineStr">
        <is>
          <t>1M 70%/2M 10%/3M 20%</t>
        </is>
      </c>
      <c r="F365" s="27" t="n">
        <v>100</v>
      </c>
      <c r="G365" s="27">
        <f>A365*$B$7&gt;=$B$9</f>
        <v/>
      </c>
      <c r="H365" s="13">
        <f>$B$7*(A365*E$71+B365*F$71+C365*G$71+D365*H$71)+F365/100*$B$7*J$71-$C$71</f>
        <v/>
      </c>
      <c r="I365" s="13">
        <f>$B$7*(A365*L$71+B365*M$71+C365*N$71+D365*O$71)+F365/100*$B$7*Q$71-$C$71</f>
        <v/>
      </c>
      <c r="J365" s="13">
        <f>$B$7*(A365*S$71+B365*T$71+C365*U$71+D365*V$71)+F365/100*$B$7*X$71-$C$71</f>
        <v/>
      </c>
      <c r="K365" s="13">
        <f>$B$7*(A365*Z$71+B365*AA$71+C365*AB$71+D365*AC$71)+F365/100*$B$7*AE$71-$C$71</f>
        <v/>
      </c>
      <c r="L365" s="13">
        <f>$B$7*(A365*AG$71+B365*AH$71+C365*AI$71+D365*AJ$71)+F365/100*$B$7*AL$71-$C$71</f>
        <v/>
      </c>
      <c r="M365" s="13">
        <f>$B$7*(A365*AN$71+B365*AO$71+C365*AP$71+D365*AQ$71)+F365/100*$B$7*AS$71-$C$71</f>
        <v/>
      </c>
      <c r="N365" s="13">
        <f>SUMPRODUCT($H$24:$M$24,H365:M365)</f>
        <v/>
      </c>
      <c r="O365" s="14">
        <f>SQRT(SUMPRODUCT($H$24:$M$24,(H365:M365-N365)^2))</f>
        <v/>
      </c>
      <c r="P365" s="13">
        <f>MIN(H365:M365)</f>
        <v/>
      </c>
      <c r="Q365" s="13">
        <f>MAX(H365:M365)</f>
        <v/>
      </c>
      <c r="R365" s="27">
        <f>IF(G365,SUMPRODUCT(($G$76:$G$1505)*($N$76:$N$1505&gt;=N365)*($O$76:$O$1505&lt;=O365))=1,FALSE)</f>
        <v/>
      </c>
      <c r="S365" s="16">
        <f>IF(R365,ABS((O365-$AC$76)/MAX(0.0001,$AC$77-$AC$76)-(N365-$AC$78)/MAX(0.0001,$AC$79-$AC$78)),-1)</f>
        <v/>
      </c>
      <c r="T365" s="14">
        <f>IF(G365,O365,NA())</f>
        <v/>
      </c>
      <c r="U365" s="13">
        <f>IF(G365,N365,NA())</f>
        <v/>
      </c>
      <c r="V365" s="14">
        <f>IF(R365,O365,NA())</f>
        <v/>
      </c>
      <c r="W365" s="13">
        <f>IF(R365,N365,NA())</f>
        <v/>
      </c>
      <c r="X365" s="27">
        <f>IF(G365,P365,"")</f>
        <v/>
      </c>
      <c r="Y365" s="27">
        <f>IF(G365,N365,"")</f>
        <v/>
      </c>
      <c r="Z365" s="27">
        <f>IF(R365,O365,"")</f>
        <v/>
      </c>
      <c r="AA365" s="27">
        <f>IF(R365,N365,"")</f>
        <v/>
      </c>
    </row>
    <row r="366">
      <c r="A366" s="31" t="n">
        <v>0</v>
      </c>
      <c r="B366" s="31" t="n">
        <v>0.7</v>
      </c>
      <c r="C366" s="31" t="n">
        <v>0.2</v>
      </c>
      <c r="D366" s="31" t="n">
        <v>0.1</v>
      </c>
      <c r="E366" s="27" t="inlineStr">
        <is>
          <t>1M 70%/2M 20%/3M 10%</t>
        </is>
      </c>
      <c r="F366" s="27" t="n">
        <v>0</v>
      </c>
      <c r="G366" s="27">
        <f>A366*$B$7&gt;=$B$9</f>
        <v/>
      </c>
      <c r="H366" s="13">
        <f>$B$7*(A366*E$71+B366*F$71+C366*G$71+D366*H$71)+F366/100*$B$7*J$71-$C$71</f>
        <v/>
      </c>
      <c r="I366" s="13">
        <f>$B$7*(A366*L$71+B366*M$71+C366*N$71+D366*O$71)+F366/100*$B$7*Q$71-$C$71</f>
        <v/>
      </c>
      <c r="J366" s="13">
        <f>$B$7*(A366*S$71+B366*T$71+C366*U$71+D366*V$71)+F366/100*$B$7*X$71-$C$71</f>
        <v/>
      </c>
      <c r="K366" s="13">
        <f>$B$7*(A366*Z$71+B366*AA$71+C366*AB$71+D366*AC$71)+F366/100*$B$7*AE$71-$C$71</f>
        <v/>
      </c>
      <c r="L366" s="13">
        <f>$B$7*(A366*AG$71+B366*AH$71+C366*AI$71+D366*AJ$71)+F366/100*$B$7*AL$71-$C$71</f>
        <v/>
      </c>
      <c r="M366" s="13">
        <f>$B$7*(A366*AN$71+B366*AO$71+C366*AP$71+D366*AQ$71)+F366/100*$B$7*AS$71-$C$71</f>
        <v/>
      </c>
      <c r="N366" s="13">
        <f>SUMPRODUCT($H$24:$M$24,H366:M366)</f>
        <v/>
      </c>
      <c r="O366" s="14">
        <f>SQRT(SUMPRODUCT($H$24:$M$24,(H366:M366-N366)^2))</f>
        <v/>
      </c>
      <c r="P366" s="13">
        <f>MIN(H366:M366)</f>
        <v/>
      </c>
      <c r="Q366" s="13">
        <f>MAX(H366:M366)</f>
        <v/>
      </c>
      <c r="R366" s="27">
        <f>IF(G366,SUMPRODUCT(($G$76:$G$1505)*($N$76:$N$1505&gt;=N366)*($O$76:$O$1505&lt;=O366))=1,FALSE)</f>
        <v/>
      </c>
      <c r="S366" s="16">
        <f>IF(R366,ABS((O366-$AC$76)/MAX(0.0001,$AC$77-$AC$76)-(N366-$AC$78)/MAX(0.0001,$AC$79-$AC$78)),-1)</f>
        <v/>
      </c>
      <c r="T366" s="14">
        <f>IF(G366,O366,NA())</f>
        <v/>
      </c>
      <c r="U366" s="13">
        <f>IF(G366,N366,NA())</f>
        <v/>
      </c>
      <c r="V366" s="14">
        <f>IF(R366,O366,NA())</f>
        <v/>
      </c>
      <c r="W366" s="13">
        <f>IF(R366,N366,NA())</f>
        <v/>
      </c>
      <c r="X366" s="27">
        <f>IF(G366,P366,"")</f>
        <v/>
      </c>
      <c r="Y366" s="27">
        <f>IF(G366,N366,"")</f>
        <v/>
      </c>
      <c r="Z366" s="27">
        <f>IF(R366,O366,"")</f>
        <v/>
      </c>
      <c r="AA366" s="27">
        <f>IF(R366,N366,"")</f>
        <v/>
      </c>
    </row>
    <row r="367">
      <c r="A367" s="31" t="n">
        <v>0</v>
      </c>
      <c r="B367" s="31" t="n">
        <v>0.7</v>
      </c>
      <c r="C367" s="31" t="n">
        <v>0.2</v>
      </c>
      <c r="D367" s="31" t="n">
        <v>0.1</v>
      </c>
      <c r="E367" s="27" t="inlineStr">
        <is>
          <t>1M 70%/2M 20%/3M 10%</t>
        </is>
      </c>
      <c r="F367" s="27" t="n">
        <v>25</v>
      </c>
      <c r="G367" s="27">
        <f>A367*$B$7&gt;=$B$9</f>
        <v/>
      </c>
      <c r="H367" s="13">
        <f>$B$7*(A367*E$71+B367*F$71+C367*G$71+D367*H$71)+F367/100*$B$7*J$71-$C$71</f>
        <v/>
      </c>
      <c r="I367" s="13">
        <f>$B$7*(A367*L$71+B367*M$71+C367*N$71+D367*O$71)+F367/100*$B$7*Q$71-$C$71</f>
        <v/>
      </c>
      <c r="J367" s="13">
        <f>$B$7*(A367*S$71+B367*T$71+C367*U$71+D367*V$71)+F367/100*$B$7*X$71-$C$71</f>
        <v/>
      </c>
      <c r="K367" s="13">
        <f>$B$7*(A367*Z$71+B367*AA$71+C367*AB$71+D367*AC$71)+F367/100*$B$7*AE$71-$C$71</f>
        <v/>
      </c>
      <c r="L367" s="13">
        <f>$B$7*(A367*AG$71+B367*AH$71+C367*AI$71+D367*AJ$71)+F367/100*$B$7*AL$71-$C$71</f>
        <v/>
      </c>
      <c r="M367" s="13">
        <f>$B$7*(A367*AN$71+B367*AO$71+C367*AP$71+D367*AQ$71)+F367/100*$B$7*AS$71-$C$71</f>
        <v/>
      </c>
      <c r="N367" s="13">
        <f>SUMPRODUCT($H$24:$M$24,H367:M367)</f>
        <v/>
      </c>
      <c r="O367" s="14">
        <f>SQRT(SUMPRODUCT($H$24:$M$24,(H367:M367-N367)^2))</f>
        <v/>
      </c>
      <c r="P367" s="13">
        <f>MIN(H367:M367)</f>
        <v/>
      </c>
      <c r="Q367" s="13">
        <f>MAX(H367:M367)</f>
        <v/>
      </c>
      <c r="R367" s="27">
        <f>IF(G367,SUMPRODUCT(($G$76:$G$1505)*($N$76:$N$1505&gt;=N367)*($O$76:$O$1505&lt;=O367))=1,FALSE)</f>
        <v/>
      </c>
      <c r="S367" s="16">
        <f>IF(R367,ABS((O367-$AC$76)/MAX(0.0001,$AC$77-$AC$76)-(N367-$AC$78)/MAX(0.0001,$AC$79-$AC$78)),-1)</f>
        <v/>
      </c>
      <c r="T367" s="14">
        <f>IF(G367,O367,NA())</f>
        <v/>
      </c>
      <c r="U367" s="13">
        <f>IF(G367,N367,NA())</f>
        <v/>
      </c>
      <c r="V367" s="14">
        <f>IF(R367,O367,NA())</f>
        <v/>
      </c>
      <c r="W367" s="13">
        <f>IF(R367,N367,NA())</f>
        <v/>
      </c>
      <c r="X367" s="27">
        <f>IF(G367,P367,"")</f>
        <v/>
      </c>
      <c r="Y367" s="27">
        <f>IF(G367,N367,"")</f>
        <v/>
      </c>
      <c r="Z367" s="27">
        <f>IF(R367,O367,"")</f>
        <v/>
      </c>
      <c r="AA367" s="27">
        <f>IF(R367,N367,"")</f>
        <v/>
      </c>
    </row>
    <row r="368">
      <c r="A368" s="31" t="n">
        <v>0</v>
      </c>
      <c r="B368" s="31" t="n">
        <v>0.7</v>
      </c>
      <c r="C368" s="31" t="n">
        <v>0.2</v>
      </c>
      <c r="D368" s="31" t="n">
        <v>0.1</v>
      </c>
      <c r="E368" s="27" t="inlineStr">
        <is>
          <t>1M 70%/2M 20%/3M 10%</t>
        </is>
      </c>
      <c r="F368" s="27" t="n">
        <v>50</v>
      </c>
      <c r="G368" s="27">
        <f>A368*$B$7&gt;=$B$9</f>
        <v/>
      </c>
      <c r="H368" s="13">
        <f>$B$7*(A368*E$71+B368*F$71+C368*G$71+D368*H$71)+F368/100*$B$7*J$71-$C$71</f>
        <v/>
      </c>
      <c r="I368" s="13">
        <f>$B$7*(A368*L$71+B368*M$71+C368*N$71+D368*O$71)+F368/100*$B$7*Q$71-$C$71</f>
        <v/>
      </c>
      <c r="J368" s="13">
        <f>$B$7*(A368*S$71+B368*T$71+C368*U$71+D368*V$71)+F368/100*$B$7*X$71-$C$71</f>
        <v/>
      </c>
      <c r="K368" s="13">
        <f>$B$7*(A368*Z$71+B368*AA$71+C368*AB$71+D368*AC$71)+F368/100*$B$7*AE$71-$C$71</f>
        <v/>
      </c>
      <c r="L368" s="13">
        <f>$B$7*(A368*AG$71+B368*AH$71+C368*AI$71+D368*AJ$71)+F368/100*$B$7*AL$71-$C$71</f>
        <v/>
      </c>
      <c r="M368" s="13">
        <f>$B$7*(A368*AN$71+B368*AO$71+C368*AP$71+D368*AQ$71)+F368/100*$B$7*AS$71-$C$71</f>
        <v/>
      </c>
      <c r="N368" s="13">
        <f>SUMPRODUCT($H$24:$M$24,H368:M368)</f>
        <v/>
      </c>
      <c r="O368" s="14">
        <f>SQRT(SUMPRODUCT($H$24:$M$24,(H368:M368-N368)^2))</f>
        <v/>
      </c>
      <c r="P368" s="13">
        <f>MIN(H368:M368)</f>
        <v/>
      </c>
      <c r="Q368" s="13">
        <f>MAX(H368:M368)</f>
        <v/>
      </c>
      <c r="R368" s="27">
        <f>IF(G368,SUMPRODUCT(($G$76:$G$1505)*($N$76:$N$1505&gt;=N368)*($O$76:$O$1505&lt;=O368))=1,FALSE)</f>
        <v/>
      </c>
      <c r="S368" s="16">
        <f>IF(R368,ABS((O368-$AC$76)/MAX(0.0001,$AC$77-$AC$76)-(N368-$AC$78)/MAX(0.0001,$AC$79-$AC$78)),-1)</f>
        <v/>
      </c>
      <c r="T368" s="14">
        <f>IF(G368,O368,NA())</f>
        <v/>
      </c>
      <c r="U368" s="13">
        <f>IF(G368,N368,NA())</f>
        <v/>
      </c>
      <c r="V368" s="14">
        <f>IF(R368,O368,NA())</f>
        <v/>
      </c>
      <c r="W368" s="13">
        <f>IF(R368,N368,NA())</f>
        <v/>
      </c>
      <c r="X368" s="27">
        <f>IF(G368,P368,"")</f>
        <v/>
      </c>
      <c r="Y368" s="27">
        <f>IF(G368,N368,"")</f>
        <v/>
      </c>
      <c r="Z368" s="27">
        <f>IF(R368,O368,"")</f>
        <v/>
      </c>
      <c r="AA368" s="27">
        <f>IF(R368,N368,"")</f>
        <v/>
      </c>
    </row>
    <row r="369">
      <c r="A369" s="31" t="n">
        <v>0</v>
      </c>
      <c r="B369" s="31" t="n">
        <v>0.7</v>
      </c>
      <c r="C369" s="31" t="n">
        <v>0.2</v>
      </c>
      <c r="D369" s="31" t="n">
        <v>0.1</v>
      </c>
      <c r="E369" s="27" t="inlineStr">
        <is>
          <t>1M 70%/2M 20%/3M 10%</t>
        </is>
      </c>
      <c r="F369" s="27" t="n">
        <v>75</v>
      </c>
      <c r="G369" s="27">
        <f>A369*$B$7&gt;=$B$9</f>
        <v/>
      </c>
      <c r="H369" s="13">
        <f>$B$7*(A369*E$71+B369*F$71+C369*G$71+D369*H$71)+F369/100*$B$7*J$71-$C$71</f>
        <v/>
      </c>
      <c r="I369" s="13">
        <f>$B$7*(A369*L$71+B369*M$71+C369*N$71+D369*O$71)+F369/100*$B$7*Q$71-$C$71</f>
        <v/>
      </c>
      <c r="J369" s="13">
        <f>$B$7*(A369*S$71+B369*T$71+C369*U$71+D369*V$71)+F369/100*$B$7*X$71-$C$71</f>
        <v/>
      </c>
      <c r="K369" s="13">
        <f>$B$7*(A369*Z$71+B369*AA$71+C369*AB$71+D369*AC$71)+F369/100*$B$7*AE$71-$C$71</f>
        <v/>
      </c>
      <c r="L369" s="13">
        <f>$B$7*(A369*AG$71+B369*AH$71+C369*AI$71+D369*AJ$71)+F369/100*$B$7*AL$71-$C$71</f>
        <v/>
      </c>
      <c r="M369" s="13">
        <f>$B$7*(A369*AN$71+B369*AO$71+C369*AP$71+D369*AQ$71)+F369/100*$B$7*AS$71-$C$71</f>
        <v/>
      </c>
      <c r="N369" s="13">
        <f>SUMPRODUCT($H$24:$M$24,H369:M369)</f>
        <v/>
      </c>
      <c r="O369" s="14">
        <f>SQRT(SUMPRODUCT($H$24:$M$24,(H369:M369-N369)^2))</f>
        <v/>
      </c>
      <c r="P369" s="13">
        <f>MIN(H369:M369)</f>
        <v/>
      </c>
      <c r="Q369" s="13">
        <f>MAX(H369:M369)</f>
        <v/>
      </c>
      <c r="R369" s="27">
        <f>IF(G369,SUMPRODUCT(($G$76:$G$1505)*($N$76:$N$1505&gt;=N369)*($O$76:$O$1505&lt;=O369))=1,FALSE)</f>
        <v/>
      </c>
      <c r="S369" s="16">
        <f>IF(R369,ABS((O369-$AC$76)/MAX(0.0001,$AC$77-$AC$76)-(N369-$AC$78)/MAX(0.0001,$AC$79-$AC$78)),-1)</f>
        <v/>
      </c>
      <c r="T369" s="14">
        <f>IF(G369,O369,NA())</f>
        <v/>
      </c>
      <c r="U369" s="13">
        <f>IF(G369,N369,NA())</f>
        <v/>
      </c>
      <c r="V369" s="14">
        <f>IF(R369,O369,NA())</f>
        <v/>
      </c>
      <c r="W369" s="13">
        <f>IF(R369,N369,NA())</f>
        <v/>
      </c>
      <c r="X369" s="27">
        <f>IF(G369,P369,"")</f>
        <v/>
      </c>
      <c r="Y369" s="27">
        <f>IF(G369,N369,"")</f>
        <v/>
      </c>
      <c r="Z369" s="27">
        <f>IF(R369,O369,"")</f>
        <v/>
      </c>
      <c r="AA369" s="27">
        <f>IF(R369,N369,"")</f>
        <v/>
      </c>
    </row>
    <row r="370">
      <c r="A370" s="31" t="n">
        <v>0</v>
      </c>
      <c r="B370" s="31" t="n">
        <v>0.7</v>
      </c>
      <c r="C370" s="31" t="n">
        <v>0.2</v>
      </c>
      <c r="D370" s="31" t="n">
        <v>0.1</v>
      </c>
      <c r="E370" s="27" t="inlineStr">
        <is>
          <t>1M 70%/2M 20%/3M 10%</t>
        </is>
      </c>
      <c r="F370" s="27" t="n">
        <v>100</v>
      </c>
      <c r="G370" s="27">
        <f>A370*$B$7&gt;=$B$9</f>
        <v/>
      </c>
      <c r="H370" s="13">
        <f>$B$7*(A370*E$71+B370*F$71+C370*G$71+D370*H$71)+F370/100*$B$7*J$71-$C$71</f>
        <v/>
      </c>
      <c r="I370" s="13">
        <f>$B$7*(A370*L$71+B370*M$71+C370*N$71+D370*O$71)+F370/100*$B$7*Q$71-$C$71</f>
        <v/>
      </c>
      <c r="J370" s="13">
        <f>$B$7*(A370*S$71+B370*T$71+C370*U$71+D370*V$71)+F370/100*$B$7*X$71-$C$71</f>
        <v/>
      </c>
      <c r="K370" s="13">
        <f>$B$7*(A370*Z$71+B370*AA$71+C370*AB$71+D370*AC$71)+F370/100*$B$7*AE$71-$C$71</f>
        <v/>
      </c>
      <c r="L370" s="13">
        <f>$B$7*(A370*AG$71+B370*AH$71+C370*AI$71+D370*AJ$71)+F370/100*$B$7*AL$71-$C$71</f>
        <v/>
      </c>
      <c r="M370" s="13">
        <f>$B$7*(A370*AN$71+B370*AO$71+C370*AP$71+D370*AQ$71)+F370/100*$B$7*AS$71-$C$71</f>
        <v/>
      </c>
      <c r="N370" s="13">
        <f>SUMPRODUCT($H$24:$M$24,H370:M370)</f>
        <v/>
      </c>
      <c r="O370" s="14">
        <f>SQRT(SUMPRODUCT($H$24:$M$24,(H370:M370-N370)^2))</f>
        <v/>
      </c>
      <c r="P370" s="13">
        <f>MIN(H370:M370)</f>
        <v/>
      </c>
      <c r="Q370" s="13">
        <f>MAX(H370:M370)</f>
        <v/>
      </c>
      <c r="R370" s="27">
        <f>IF(G370,SUMPRODUCT(($G$76:$G$1505)*($N$76:$N$1505&gt;=N370)*($O$76:$O$1505&lt;=O370))=1,FALSE)</f>
        <v/>
      </c>
      <c r="S370" s="16">
        <f>IF(R370,ABS((O370-$AC$76)/MAX(0.0001,$AC$77-$AC$76)-(N370-$AC$78)/MAX(0.0001,$AC$79-$AC$78)),-1)</f>
        <v/>
      </c>
      <c r="T370" s="14">
        <f>IF(G370,O370,NA())</f>
        <v/>
      </c>
      <c r="U370" s="13">
        <f>IF(G370,N370,NA())</f>
        <v/>
      </c>
      <c r="V370" s="14">
        <f>IF(R370,O370,NA())</f>
        <v/>
      </c>
      <c r="W370" s="13">
        <f>IF(R370,N370,NA())</f>
        <v/>
      </c>
      <c r="X370" s="27">
        <f>IF(G370,P370,"")</f>
        <v/>
      </c>
      <c r="Y370" s="27">
        <f>IF(G370,N370,"")</f>
        <v/>
      </c>
      <c r="Z370" s="27">
        <f>IF(R370,O370,"")</f>
        <v/>
      </c>
      <c r="AA370" s="27">
        <f>IF(R370,N370,"")</f>
        <v/>
      </c>
    </row>
    <row r="371">
      <c r="A371" s="31" t="n">
        <v>0</v>
      </c>
      <c r="B371" s="31" t="n">
        <v>0.7</v>
      </c>
      <c r="C371" s="31" t="n">
        <v>0.3</v>
      </c>
      <c r="D371" s="31" t="n">
        <v>0</v>
      </c>
      <c r="E371" s="27" t="inlineStr">
        <is>
          <t>1M 70%/2M 30%</t>
        </is>
      </c>
      <c r="F371" s="27" t="n">
        <v>0</v>
      </c>
      <c r="G371" s="27">
        <f>A371*$B$7&gt;=$B$9</f>
        <v/>
      </c>
      <c r="H371" s="13">
        <f>$B$7*(A371*E$71+B371*F$71+C371*G$71+D371*H$71)+F371/100*$B$7*J$71-$C$71</f>
        <v/>
      </c>
      <c r="I371" s="13">
        <f>$B$7*(A371*L$71+B371*M$71+C371*N$71+D371*O$71)+F371/100*$B$7*Q$71-$C$71</f>
        <v/>
      </c>
      <c r="J371" s="13">
        <f>$B$7*(A371*S$71+B371*T$71+C371*U$71+D371*V$71)+F371/100*$B$7*X$71-$C$71</f>
        <v/>
      </c>
      <c r="K371" s="13">
        <f>$B$7*(A371*Z$71+B371*AA$71+C371*AB$71+D371*AC$71)+F371/100*$B$7*AE$71-$C$71</f>
        <v/>
      </c>
      <c r="L371" s="13">
        <f>$B$7*(A371*AG$71+B371*AH$71+C371*AI$71+D371*AJ$71)+F371/100*$B$7*AL$71-$C$71</f>
        <v/>
      </c>
      <c r="M371" s="13">
        <f>$B$7*(A371*AN$71+B371*AO$71+C371*AP$71+D371*AQ$71)+F371/100*$B$7*AS$71-$C$71</f>
        <v/>
      </c>
      <c r="N371" s="13">
        <f>SUMPRODUCT($H$24:$M$24,H371:M371)</f>
        <v/>
      </c>
      <c r="O371" s="14">
        <f>SQRT(SUMPRODUCT($H$24:$M$24,(H371:M371-N371)^2))</f>
        <v/>
      </c>
      <c r="P371" s="13">
        <f>MIN(H371:M371)</f>
        <v/>
      </c>
      <c r="Q371" s="13">
        <f>MAX(H371:M371)</f>
        <v/>
      </c>
      <c r="R371" s="27">
        <f>IF(G371,SUMPRODUCT(($G$76:$G$1505)*($N$76:$N$1505&gt;=N371)*($O$76:$O$1505&lt;=O371))=1,FALSE)</f>
        <v/>
      </c>
      <c r="S371" s="16">
        <f>IF(R371,ABS((O371-$AC$76)/MAX(0.0001,$AC$77-$AC$76)-(N371-$AC$78)/MAX(0.0001,$AC$79-$AC$78)),-1)</f>
        <v/>
      </c>
      <c r="T371" s="14">
        <f>IF(G371,O371,NA())</f>
        <v/>
      </c>
      <c r="U371" s="13">
        <f>IF(G371,N371,NA())</f>
        <v/>
      </c>
      <c r="V371" s="14">
        <f>IF(R371,O371,NA())</f>
        <v/>
      </c>
      <c r="W371" s="13">
        <f>IF(R371,N371,NA())</f>
        <v/>
      </c>
      <c r="X371" s="27">
        <f>IF(G371,P371,"")</f>
        <v/>
      </c>
      <c r="Y371" s="27">
        <f>IF(G371,N371,"")</f>
        <v/>
      </c>
      <c r="Z371" s="27">
        <f>IF(R371,O371,"")</f>
        <v/>
      </c>
      <c r="AA371" s="27">
        <f>IF(R371,N371,"")</f>
        <v/>
      </c>
    </row>
    <row r="372">
      <c r="A372" s="31" t="n">
        <v>0</v>
      </c>
      <c r="B372" s="31" t="n">
        <v>0.7</v>
      </c>
      <c r="C372" s="31" t="n">
        <v>0.3</v>
      </c>
      <c r="D372" s="31" t="n">
        <v>0</v>
      </c>
      <c r="E372" s="27" t="inlineStr">
        <is>
          <t>1M 70%/2M 30%</t>
        </is>
      </c>
      <c r="F372" s="27" t="n">
        <v>25</v>
      </c>
      <c r="G372" s="27">
        <f>A372*$B$7&gt;=$B$9</f>
        <v/>
      </c>
      <c r="H372" s="13">
        <f>$B$7*(A372*E$71+B372*F$71+C372*G$71+D372*H$71)+F372/100*$B$7*J$71-$C$71</f>
        <v/>
      </c>
      <c r="I372" s="13">
        <f>$B$7*(A372*L$71+B372*M$71+C372*N$71+D372*O$71)+F372/100*$B$7*Q$71-$C$71</f>
        <v/>
      </c>
      <c r="J372" s="13">
        <f>$B$7*(A372*S$71+B372*T$71+C372*U$71+D372*V$71)+F372/100*$B$7*X$71-$C$71</f>
        <v/>
      </c>
      <c r="K372" s="13">
        <f>$B$7*(A372*Z$71+B372*AA$71+C372*AB$71+D372*AC$71)+F372/100*$B$7*AE$71-$C$71</f>
        <v/>
      </c>
      <c r="L372" s="13">
        <f>$B$7*(A372*AG$71+B372*AH$71+C372*AI$71+D372*AJ$71)+F372/100*$B$7*AL$71-$C$71</f>
        <v/>
      </c>
      <c r="M372" s="13">
        <f>$B$7*(A372*AN$71+B372*AO$71+C372*AP$71+D372*AQ$71)+F372/100*$B$7*AS$71-$C$71</f>
        <v/>
      </c>
      <c r="N372" s="13">
        <f>SUMPRODUCT($H$24:$M$24,H372:M372)</f>
        <v/>
      </c>
      <c r="O372" s="14">
        <f>SQRT(SUMPRODUCT($H$24:$M$24,(H372:M372-N372)^2))</f>
        <v/>
      </c>
      <c r="P372" s="13">
        <f>MIN(H372:M372)</f>
        <v/>
      </c>
      <c r="Q372" s="13">
        <f>MAX(H372:M372)</f>
        <v/>
      </c>
      <c r="R372" s="27">
        <f>IF(G372,SUMPRODUCT(($G$76:$G$1505)*($N$76:$N$1505&gt;=N372)*($O$76:$O$1505&lt;=O372))=1,FALSE)</f>
        <v/>
      </c>
      <c r="S372" s="16">
        <f>IF(R372,ABS((O372-$AC$76)/MAX(0.0001,$AC$77-$AC$76)-(N372-$AC$78)/MAX(0.0001,$AC$79-$AC$78)),-1)</f>
        <v/>
      </c>
      <c r="T372" s="14">
        <f>IF(G372,O372,NA())</f>
        <v/>
      </c>
      <c r="U372" s="13">
        <f>IF(G372,N372,NA())</f>
        <v/>
      </c>
      <c r="V372" s="14">
        <f>IF(R372,O372,NA())</f>
        <v/>
      </c>
      <c r="W372" s="13">
        <f>IF(R372,N372,NA())</f>
        <v/>
      </c>
      <c r="X372" s="27">
        <f>IF(G372,P372,"")</f>
        <v/>
      </c>
      <c r="Y372" s="27">
        <f>IF(G372,N372,"")</f>
        <v/>
      </c>
      <c r="Z372" s="27">
        <f>IF(R372,O372,"")</f>
        <v/>
      </c>
      <c r="AA372" s="27">
        <f>IF(R372,N372,"")</f>
        <v/>
      </c>
    </row>
    <row r="373">
      <c r="A373" s="31" t="n">
        <v>0</v>
      </c>
      <c r="B373" s="31" t="n">
        <v>0.7</v>
      </c>
      <c r="C373" s="31" t="n">
        <v>0.3</v>
      </c>
      <c r="D373" s="31" t="n">
        <v>0</v>
      </c>
      <c r="E373" s="27" t="inlineStr">
        <is>
          <t>1M 70%/2M 30%</t>
        </is>
      </c>
      <c r="F373" s="27" t="n">
        <v>50</v>
      </c>
      <c r="G373" s="27">
        <f>A373*$B$7&gt;=$B$9</f>
        <v/>
      </c>
      <c r="H373" s="13">
        <f>$B$7*(A373*E$71+B373*F$71+C373*G$71+D373*H$71)+F373/100*$B$7*J$71-$C$71</f>
        <v/>
      </c>
      <c r="I373" s="13">
        <f>$B$7*(A373*L$71+B373*M$71+C373*N$71+D373*O$71)+F373/100*$B$7*Q$71-$C$71</f>
        <v/>
      </c>
      <c r="J373" s="13">
        <f>$B$7*(A373*S$71+B373*T$71+C373*U$71+D373*V$71)+F373/100*$B$7*X$71-$C$71</f>
        <v/>
      </c>
      <c r="K373" s="13">
        <f>$B$7*(A373*Z$71+B373*AA$71+C373*AB$71+D373*AC$71)+F373/100*$B$7*AE$71-$C$71</f>
        <v/>
      </c>
      <c r="L373" s="13">
        <f>$B$7*(A373*AG$71+B373*AH$71+C373*AI$71+D373*AJ$71)+F373/100*$B$7*AL$71-$C$71</f>
        <v/>
      </c>
      <c r="M373" s="13">
        <f>$B$7*(A373*AN$71+B373*AO$71+C373*AP$71+D373*AQ$71)+F373/100*$B$7*AS$71-$C$71</f>
        <v/>
      </c>
      <c r="N373" s="13">
        <f>SUMPRODUCT($H$24:$M$24,H373:M373)</f>
        <v/>
      </c>
      <c r="O373" s="14">
        <f>SQRT(SUMPRODUCT($H$24:$M$24,(H373:M373-N373)^2))</f>
        <v/>
      </c>
      <c r="P373" s="13">
        <f>MIN(H373:M373)</f>
        <v/>
      </c>
      <c r="Q373" s="13">
        <f>MAX(H373:M373)</f>
        <v/>
      </c>
      <c r="R373" s="27">
        <f>IF(G373,SUMPRODUCT(($G$76:$G$1505)*($N$76:$N$1505&gt;=N373)*($O$76:$O$1505&lt;=O373))=1,FALSE)</f>
        <v/>
      </c>
      <c r="S373" s="16">
        <f>IF(R373,ABS((O373-$AC$76)/MAX(0.0001,$AC$77-$AC$76)-(N373-$AC$78)/MAX(0.0001,$AC$79-$AC$78)),-1)</f>
        <v/>
      </c>
      <c r="T373" s="14">
        <f>IF(G373,O373,NA())</f>
        <v/>
      </c>
      <c r="U373" s="13">
        <f>IF(G373,N373,NA())</f>
        <v/>
      </c>
      <c r="V373" s="14">
        <f>IF(R373,O373,NA())</f>
        <v/>
      </c>
      <c r="W373" s="13">
        <f>IF(R373,N373,NA())</f>
        <v/>
      </c>
      <c r="X373" s="27">
        <f>IF(G373,P373,"")</f>
        <v/>
      </c>
      <c r="Y373" s="27">
        <f>IF(G373,N373,"")</f>
        <v/>
      </c>
      <c r="Z373" s="27">
        <f>IF(R373,O373,"")</f>
        <v/>
      </c>
      <c r="AA373" s="27">
        <f>IF(R373,N373,"")</f>
        <v/>
      </c>
    </row>
    <row r="374">
      <c r="A374" s="31" t="n">
        <v>0</v>
      </c>
      <c r="B374" s="31" t="n">
        <v>0.7</v>
      </c>
      <c r="C374" s="31" t="n">
        <v>0.3</v>
      </c>
      <c r="D374" s="31" t="n">
        <v>0</v>
      </c>
      <c r="E374" s="27" t="inlineStr">
        <is>
          <t>1M 70%/2M 30%</t>
        </is>
      </c>
      <c r="F374" s="27" t="n">
        <v>75</v>
      </c>
      <c r="G374" s="27">
        <f>A374*$B$7&gt;=$B$9</f>
        <v/>
      </c>
      <c r="H374" s="13">
        <f>$B$7*(A374*E$71+B374*F$71+C374*G$71+D374*H$71)+F374/100*$B$7*J$71-$C$71</f>
        <v/>
      </c>
      <c r="I374" s="13">
        <f>$B$7*(A374*L$71+B374*M$71+C374*N$71+D374*O$71)+F374/100*$B$7*Q$71-$C$71</f>
        <v/>
      </c>
      <c r="J374" s="13">
        <f>$B$7*(A374*S$71+B374*T$71+C374*U$71+D374*V$71)+F374/100*$B$7*X$71-$C$71</f>
        <v/>
      </c>
      <c r="K374" s="13">
        <f>$B$7*(A374*Z$71+B374*AA$71+C374*AB$71+D374*AC$71)+F374/100*$B$7*AE$71-$C$71</f>
        <v/>
      </c>
      <c r="L374" s="13">
        <f>$B$7*(A374*AG$71+B374*AH$71+C374*AI$71+D374*AJ$71)+F374/100*$B$7*AL$71-$C$71</f>
        <v/>
      </c>
      <c r="M374" s="13">
        <f>$B$7*(A374*AN$71+B374*AO$71+C374*AP$71+D374*AQ$71)+F374/100*$B$7*AS$71-$C$71</f>
        <v/>
      </c>
      <c r="N374" s="13">
        <f>SUMPRODUCT($H$24:$M$24,H374:M374)</f>
        <v/>
      </c>
      <c r="O374" s="14">
        <f>SQRT(SUMPRODUCT($H$24:$M$24,(H374:M374-N374)^2))</f>
        <v/>
      </c>
      <c r="P374" s="13">
        <f>MIN(H374:M374)</f>
        <v/>
      </c>
      <c r="Q374" s="13">
        <f>MAX(H374:M374)</f>
        <v/>
      </c>
      <c r="R374" s="27">
        <f>IF(G374,SUMPRODUCT(($G$76:$G$1505)*($N$76:$N$1505&gt;=N374)*($O$76:$O$1505&lt;=O374))=1,FALSE)</f>
        <v/>
      </c>
      <c r="S374" s="16">
        <f>IF(R374,ABS((O374-$AC$76)/MAX(0.0001,$AC$77-$AC$76)-(N374-$AC$78)/MAX(0.0001,$AC$79-$AC$78)),-1)</f>
        <v/>
      </c>
      <c r="T374" s="14">
        <f>IF(G374,O374,NA())</f>
        <v/>
      </c>
      <c r="U374" s="13">
        <f>IF(G374,N374,NA())</f>
        <v/>
      </c>
      <c r="V374" s="14">
        <f>IF(R374,O374,NA())</f>
        <v/>
      </c>
      <c r="W374" s="13">
        <f>IF(R374,N374,NA())</f>
        <v/>
      </c>
      <c r="X374" s="27">
        <f>IF(G374,P374,"")</f>
        <v/>
      </c>
      <c r="Y374" s="27">
        <f>IF(G374,N374,"")</f>
        <v/>
      </c>
      <c r="Z374" s="27">
        <f>IF(R374,O374,"")</f>
        <v/>
      </c>
      <c r="AA374" s="27">
        <f>IF(R374,N374,"")</f>
        <v/>
      </c>
    </row>
    <row r="375">
      <c r="A375" s="31" t="n">
        <v>0</v>
      </c>
      <c r="B375" s="31" t="n">
        <v>0.7</v>
      </c>
      <c r="C375" s="31" t="n">
        <v>0.3</v>
      </c>
      <c r="D375" s="31" t="n">
        <v>0</v>
      </c>
      <c r="E375" s="27" t="inlineStr">
        <is>
          <t>1M 70%/2M 30%</t>
        </is>
      </c>
      <c r="F375" s="27" t="n">
        <v>100</v>
      </c>
      <c r="G375" s="27">
        <f>A375*$B$7&gt;=$B$9</f>
        <v/>
      </c>
      <c r="H375" s="13">
        <f>$B$7*(A375*E$71+B375*F$71+C375*G$71+D375*H$71)+F375/100*$B$7*J$71-$C$71</f>
        <v/>
      </c>
      <c r="I375" s="13">
        <f>$B$7*(A375*L$71+B375*M$71+C375*N$71+D375*O$71)+F375/100*$B$7*Q$71-$C$71</f>
        <v/>
      </c>
      <c r="J375" s="13">
        <f>$B$7*(A375*S$71+B375*T$71+C375*U$71+D375*V$71)+F375/100*$B$7*X$71-$C$71</f>
        <v/>
      </c>
      <c r="K375" s="13">
        <f>$B$7*(A375*Z$71+B375*AA$71+C375*AB$71+D375*AC$71)+F375/100*$B$7*AE$71-$C$71</f>
        <v/>
      </c>
      <c r="L375" s="13">
        <f>$B$7*(A375*AG$71+B375*AH$71+C375*AI$71+D375*AJ$71)+F375/100*$B$7*AL$71-$C$71</f>
        <v/>
      </c>
      <c r="M375" s="13">
        <f>$B$7*(A375*AN$71+B375*AO$71+C375*AP$71+D375*AQ$71)+F375/100*$B$7*AS$71-$C$71</f>
        <v/>
      </c>
      <c r="N375" s="13">
        <f>SUMPRODUCT($H$24:$M$24,H375:M375)</f>
        <v/>
      </c>
      <c r="O375" s="14">
        <f>SQRT(SUMPRODUCT($H$24:$M$24,(H375:M375-N375)^2))</f>
        <v/>
      </c>
      <c r="P375" s="13">
        <f>MIN(H375:M375)</f>
        <v/>
      </c>
      <c r="Q375" s="13">
        <f>MAX(H375:M375)</f>
        <v/>
      </c>
      <c r="R375" s="27">
        <f>IF(G375,SUMPRODUCT(($G$76:$G$1505)*($N$76:$N$1505&gt;=N375)*($O$76:$O$1505&lt;=O375))=1,FALSE)</f>
        <v/>
      </c>
      <c r="S375" s="16">
        <f>IF(R375,ABS((O375-$AC$76)/MAX(0.0001,$AC$77-$AC$76)-(N375-$AC$78)/MAX(0.0001,$AC$79-$AC$78)),-1)</f>
        <v/>
      </c>
      <c r="T375" s="14">
        <f>IF(G375,O375,NA())</f>
        <v/>
      </c>
      <c r="U375" s="13">
        <f>IF(G375,N375,NA())</f>
        <v/>
      </c>
      <c r="V375" s="14">
        <f>IF(R375,O375,NA())</f>
        <v/>
      </c>
      <c r="W375" s="13">
        <f>IF(R375,N375,NA())</f>
        <v/>
      </c>
      <c r="X375" s="27">
        <f>IF(G375,P375,"")</f>
        <v/>
      </c>
      <c r="Y375" s="27">
        <f>IF(G375,N375,"")</f>
        <v/>
      </c>
      <c r="Z375" s="27">
        <f>IF(R375,O375,"")</f>
        <v/>
      </c>
      <c r="AA375" s="27">
        <f>IF(R375,N375,"")</f>
        <v/>
      </c>
    </row>
    <row r="376">
      <c r="A376" s="31" t="n">
        <v>0</v>
      </c>
      <c r="B376" s="31" t="n">
        <v>0.8</v>
      </c>
      <c r="C376" s="31" t="n">
        <v>0</v>
      </c>
      <c r="D376" s="31" t="n">
        <v>0.2</v>
      </c>
      <c r="E376" s="27" t="inlineStr">
        <is>
          <t>1M 80%/3M 20%</t>
        </is>
      </c>
      <c r="F376" s="27" t="n">
        <v>0</v>
      </c>
      <c r="G376" s="27">
        <f>A376*$B$7&gt;=$B$9</f>
        <v/>
      </c>
      <c r="H376" s="13">
        <f>$B$7*(A376*E$71+B376*F$71+C376*G$71+D376*H$71)+F376/100*$B$7*J$71-$C$71</f>
        <v/>
      </c>
      <c r="I376" s="13">
        <f>$B$7*(A376*L$71+B376*M$71+C376*N$71+D376*O$71)+F376/100*$B$7*Q$71-$C$71</f>
        <v/>
      </c>
      <c r="J376" s="13">
        <f>$B$7*(A376*S$71+B376*T$71+C376*U$71+D376*V$71)+F376/100*$B$7*X$71-$C$71</f>
        <v/>
      </c>
      <c r="K376" s="13">
        <f>$B$7*(A376*Z$71+B376*AA$71+C376*AB$71+D376*AC$71)+F376/100*$B$7*AE$71-$C$71</f>
        <v/>
      </c>
      <c r="L376" s="13">
        <f>$B$7*(A376*AG$71+B376*AH$71+C376*AI$71+D376*AJ$71)+F376/100*$B$7*AL$71-$C$71</f>
        <v/>
      </c>
      <c r="M376" s="13">
        <f>$B$7*(A376*AN$71+B376*AO$71+C376*AP$71+D376*AQ$71)+F376/100*$B$7*AS$71-$C$71</f>
        <v/>
      </c>
      <c r="N376" s="13">
        <f>SUMPRODUCT($H$24:$M$24,H376:M376)</f>
        <v/>
      </c>
      <c r="O376" s="14">
        <f>SQRT(SUMPRODUCT($H$24:$M$24,(H376:M376-N376)^2))</f>
        <v/>
      </c>
      <c r="P376" s="13">
        <f>MIN(H376:M376)</f>
        <v/>
      </c>
      <c r="Q376" s="13">
        <f>MAX(H376:M376)</f>
        <v/>
      </c>
      <c r="R376" s="27">
        <f>IF(G376,SUMPRODUCT(($G$76:$G$1505)*($N$76:$N$1505&gt;=N376)*($O$76:$O$1505&lt;=O376))=1,FALSE)</f>
        <v/>
      </c>
      <c r="S376" s="16">
        <f>IF(R376,ABS((O376-$AC$76)/MAX(0.0001,$AC$77-$AC$76)-(N376-$AC$78)/MAX(0.0001,$AC$79-$AC$78)),-1)</f>
        <v/>
      </c>
      <c r="T376" s="14">
        <f>IF(G376,O376,NA())</f>
        <v/>
      </c>
      <c r="U376" s="13">
        <f>IF(G376,N376,NA())</f>
        <v/>
      </c>
      <c r="V376" s="14">
        <f>IF(R376,O376,NA())</f>
        <v/>
      </c>
      <c r="W376" s="13">
        <f>IF(R376,N376,NA())</f>
        <v/>
      </c>
      <c r="X376" s="27">
        <f>IF(G376,P376,"")</f>
        <v/>
      </c>
      <c r="Y376" s="27">
        <f>IF(G376,N376,"")</f>
        <v/>
      </c>
      <c r="Z376" s="27">
        <f>IF(R376,O376,"")</f>
        <v/>
      </c>
      <c r="AA376" s="27">
        <f>IF(R376,N376,"")</f>
        <v/>
      </c>
    </row>
    <row r="377">
      <c r="A377" s="31" t="n">
        <v>0</v>
      </c>
      <c r="B377" s="31" t="n">
        <v>0.8</v>
      </c>
      <c r="C377" s="31" t="n">
        <v>0</v>
      </c>
      <c r="D377" s="31" t="n">
        <v>0.2</v>
      </c>
      <c r="E377" s="27" t="inlineStr">
        <is>
          <t>1M 80%/3M 20%</t>
        </is>
      </c>
      <c r="F377" s="27" t="n">
        <v>25</v>
      </c>
      <c r="G377" s="27">
        <f>A377*$B$7&gt;=$B$9</f>
        <v/>
      </c>
      <c r="H377" s="13">
        <f>$B$7*(A377*E$71+B377*F$71+C377*G$71+D377*H$71)+F377/100*$B$7*J$71-$C$71</f>
        <v/>
      </c>
      <c r="I377" s="13">
        <f>$B$7*(A377*L$71+B377*M$71+C377*N$71+D377*O$71)+F377/100*$B$7*Q$71-$C$71</f>
        <v/>
      </c>
      <c r="J377" s="13">
        <f>$B$7*(A377*S$71+B377*T$71+C377*U$71+D377*V$71)+F377/100*$B$7*X$71-$C$71</f>
        <v/>
      </c>
      <c r="K377" s="13">
        <f>$B$7*(A377*Z$71+B377*AA$71+C377*AB$71+D377*AC$71)+F377/100*$B$7*AE$71-$C$71</f>
        <v/>
      </c>
      <c r="L377" s="13">
        <f>$B$7*(A377*AG$71+B377*AH$71+C377*AI$71+D377*AJ$71)+F377/100*$B$7*AL$71-$C$71</f>
        <v/>
      </c>
      <c r="M377" s="13">
        <f>$B$7*(A377*AN$71+B377*AO$71+C377*AP$71+D377*AQ$71)+F377/100*$B$7*AS$71-$C$71</f>
        <v/>
      </c>
      <c r="N377" s="13">
        <f>SUMPRODUCT($H$24:$M$24,H377:M377)</f>
        <v/>
      </c>
      <c r="O377" s="14">
        <f>SQRT(SUMPRODUCT($H$24:$M$24,(H377:M377-N377)^2))</f>
        <v/>
      </c>
      <c r="P377" s="13">
        <f>MIN(H377:M377)</f>
        <v/>
      </c>
      <c r="Q377" s="13">
        <f>MAX(H377:M377)</f>
        <v/>
      </c>
      <c r="R377" s="27">
        <f>IF(G377,SUMPRODUCT(($G$76:$G$1505)*($N$76:$N$1505&gt;=N377)*($O$76:$O$1505&lt;=O377))=1,FALSE)</f>
        <v/>
      </c>
      <c r="S377" s="16">
        <f>IF(R377,ABS((O377-$AC$76)/MAX(0.0001,$AC$77-$AC$76)-(N377-$AC$78)/MAX(0.0001,$AC$79-$AC$78)),-1)</f>
        <v/>
      </c>
      <c r="T377" s="14">
        <f>IF(G377,O377,NA())</f>
        <v/>
      </c>
      <c r="U377" s="13">
        <f>IF(G377,N377,NA())</f>
        <v/>
      </c>
      <c r="V377" s="14">
        <f>IF(R377,O377,NA())</f>
        <v/>
      </c>
      <c r="W377" s="13">
        <f>IF(R377,N377,NA())</f>
        <v/>
      </c>
      <c r="X377" s="27">
        <f>IF(G377,P377,"")</f>
        <v/>
      </c>
      <c r="Y377" s="27">
        <f>IF(G377,N377,"")</f>
        <v/>
      </c>
      <c r="Z377" s="27">
        <f>IF(R377,O377,"")</f>
        <v/>
      </c>
      <c r="AA377" s="27">
        <f>IF(R377,N377,"")</f>
        <v/>
      </c>
    </row>
    <row r="378">
      <c r="A378" s="31" t="n">
        <v>0</v>
      </c>
      <c r="B378" s="31" t="n">
        <v>0.8</v>
      </c>
      <c r="C378" s="31" t="n">
        <v>0</v>
      </c>
      <c r="D378" s="31" t="n">
        <v>0.2</v>
      </c>
      <c r="E378" s="27" t="inlineStr">
        <is>
          <t>1M 80%/3M 20%</t>
        </is>
      </c>
      <c r="F378" s="27" t="n">
        <v>50</v>
      </c>
      <c r="G378" s="27">
        <f>A378*$B$7&gt;=$B$9</f>
        <v/>
      </c>
      <c r="H378" s="13">
        <f>$B$7*(A378*E$71+B378*F$71+C378*G$71+D378*H$71)+F378/100*$B$7*J$71-$C$71</f>
        <v/>
      </c>
      <c r="I378" s="13">
        <f>$B$7*(A378*L$71+B378*M$71+C378*N$71+D378*O$71)+F378/100*$B$7*Q$71-$C$71</f>
        <v/>
      </c>
      <c r="J378" s="13">
        <f>$B$7*(A378*S$71+B378*T$71+C378*U$71+D378*V$71)+F378/100*$B$7*X$71-$C$71</f>
        <v/>
      </c>
      <c r="K378" s="13">
        <f>$B$7*(A378*Z$71+B378*AA$71+C378*AB$71+D378*AC$71)+F378/100*$B$7*AE$71-$C$71</f>
        <v/>
      </c>
      <c r="L378" s="13">
        <f>$B$7*(A378*AG$71+B378*AH$71+C378*AI$71+D378*AJ$71)+F378/100*$B$7*AL$71-$C$71</f>
        <v/>
      </c>
      <c r="M378" s="13">
        <f>$B$7*(A378*AN$71+B378*AO$71+C378*AP$71+D378*AQ$71)+F378/100*$B$7*AS$71-$C$71</f>
        <v/>
      </c>
      <c r="N378" s="13">
        <f>SUMPRODUCT($H$24:$M$24,H378:M378)</f>
        <v/>
      </c>
      <c r="O378" s="14">
        <f>SQRT(SUMPRODUCT($H$24:$M$24,(H378:M378-N378)^2))</f>
        <v/>
      </c>
      <c r="P378" s="13">
        <f>MIN(H378:M378)</f>
        <v/>
      </c>
      <c r="Q378" s="13">
        <f>MAX(H378:M378)</f>
        <v/>
      </c>
      <c r="R378" s="27">
        <f>IF(G378,SUMPRODUCT(($G$76:$G$1505)*($N$76:$N$1505&gt;=N378)*($O$76:$O$1505&lt;=O378))=1,FALSE)</f>
        <v/>
      </c>
      <c r="S378" s="16">
        <f>IF(R378,ABS((O378-$AC$76)/MAX(0.0001,$AC$77-$AC$76)-(N378-$AC$78)/MAX(0.0001,$AC$79-$AC$78)),-1)</f>
        <v/>
      </c>
      <c r="T378" s="14">
        <f>IF(G378,O378,NA())</f>
        <v/>
      </c>
      <c r="U378" s="13">
        <f>IF(G378,N378,NA())</f>
        <v/>
      </c>
      <c r="V378" s="14">
        <f>IF(R378,O378,NA())</f>
        <v/>
      </c>
      <c r="W378" s="13">
        <f>IF(R378,N378,NA())</f>
        <v/>
      </c>
      <c r="X378" s="27">
        <f>IF(G378,P378,"")</f>
        <v/>
      </c>
      <c r="Y378" s="27">
        <f>IF(G378,N378,"")</f>
        <v/>
      </c>
      <c r="Z378" s="27">
        <f>IF(R378,O378,"")</f>
        <v/>
      </c>
      <c r="AA378" s="27">
        <f>IF(R378,N378,"")</f>
        <v/>
      </c>
    </row>
    <row r="379">
      <c r="A379" s="31" t="n">
        <v>0</v>
      </c>
      <c r="B379" s="31" t="n">
        <v>0.8</v>
      </c>
      <c r="C379" s="31" t="n">
        <v>0</v>
      </c>
      <c r="D379" s="31" t="n">
        <v>0.2</v>
      </c>
      <c r="E379" s="27" t="inlineStr">
        <is>
          <t>1M 80%/3M 20%</t>
        </is>
      </c>
      <c r="F379" s="27" t="n">
        <v>75</v>
      </c>
      <c r="G379" s="27">
        <f>A379*$B$7&gt;=$B$9</f>
        <v/>
      </c>
      <c r="H379" s="13">
        <f>$B$7*(A379*E$71+B379*F$71+C379*G$71+D379*H$71)+F379/100*$B$7*J$71-$C$71</f>
        <v/>
      </c>
      <c r="I379" s="13">
        <f>$B$7*(A379*L$71+B379*M$71+C379*N$71+D379*O$71)+F379/100*$B$7*Q$71-$C$71</f>
        <v/>
      </c>
      <c r="J379" s="13">
        <f>$B$7*(A379*S$71+B379*T$71+C379*U$71+D379*V$71)+F379/100*$B$7*X$71-$C$71</f>
        <v/>
      </c>
      <c r="K379" s="13">
        <f>$B$7*(A379*Z$71+B379*AA$71+C379*AB$71+D379*AC$71)+F379/100*$B$7*AE$71-$C$71</f>
        <v/>
      </c>
      <c r="L379" s="13">
        <f>$B$7*(A379*AG$71+B379*AH$71+C379*AI$71+D379*AJ$71)+F379/100*$B$7*AL$71-$C$71</f>
        <v/>
      </c>
      <c r="M379" s="13">
        <f>$B$7*(A379*AN$71+B379*AO$71+C379*AP$71+D379*AQ$71)+F379/100*$B$7*AS$71-$C$71</f>
        <v/>
      </c>
      <c r="N379" s="13">
        <f>SUMPRODUCT($H$24:$M$24,H379:M379)</f>
        <v/>
      </c>
      <c r="O379" s="14">
        <f>SQRT(SUMPRODUCT($H$24:$M$24,(H379:M379-N379)^2))</f>
        <v/>
      </c>
      <c r="P379" s="13">
        <f>MIN(H379:M379)</f>
        <v/>
      </c>
      <c r="Q379" s="13">
        <f>MAX(H379:M379)</f>
        <v/>
      </c>
      <c r="R379" s="27">
        <f>IF(G379,SUMPRODUCT(($G$76:$G$1505)*($N$76:$N$1505&gt;=N379)*($O$76:$O$1505&lt;=O379))=1,FALSE)</f>
        <v/>
      </c>
      <c r="S379" s="16">
        <f>IF(R379,ABS((O379-$AC$76)/MAX(0.0001,$AC$77-$AC$76)-(N379-$AC$78)/MAX(0.0001,$AC$79-$AC$78)),-1)</f>
        <v/>
      </c>
      <c r="T379" s="14">
        <f>IF(G379,O379,NA())</f>
        <v/>
      </c>
      <c r="U379" s="13">
        <f>IF(G379,N379,NA())</f>
        <v/>
      </c>
      <c r="V379" s="14">
        <f>IF(R379,O379,NA())</f>
        <v/>
      </c>
      <c r="W379" s="13">
        <f>IF(R379,N379,NA())</f>
        <v/>
      </c>
      <c r="X379" s="27">
        <f>IF(G379,P379,"")</f>
        <v/>
      </c>
      <c r="Y379" s="27">
        <f>IF(G379,N379,"")</f>
        <v/>
      </c>
      <c r="Z379" s="27">
        <f>IF(R379,O379,"")</f>
        <v/>
      </c>
      <c r="AA379" s="27">
        <f>IF(R379,N379,"")</f>
        <v/>
      </c>
    </row>
    <row r="380">
      <c r="A380" s="31" t="n">
        <v>0</v>
      </c>
      <c r="B380" s="31" t="n">
        <v>0.8</v>
      </c>
      <c r="C380" s="31" t="n">
        <v>0</v>
      </c>
      <c r="D380" s="31" t="n">
        <v>0.2</v>
      </c>
      <c r="E380" s="27" t="inlineStr">
        <is>
          <t>1M 80%/3M 20%</t>
        </is>
      </c>
      <c r="F380" s="27" t="n">
        <v>100</v>
      </c>
      <c r="G380" s="27">
        <f>A380*$B$7&gt;=$B$9</f>
        <v/>
      </c>
      <c r="H380" s="13">
        <f>$B$7*(A380*E$71+B380*F$71+C380*G$71+D380*H$71)+F380/100*$B$7*J$71-$C$71</f>
        <v/>
      </c>
      <c r="I380" s="13">
        <f>$B$7*(A380*L$71+B380*M$71+C380*N$71+D380*O$71)+F380/100*$B$7*Q$71-$C$71</f>
        <v/>
      </c>
      <c r="J380" s="13">
        <f>$B$7*(A380*S$71+B380*T$71+C380*U$71+D380*V$71)+F380/100*$B$7*X$71-$C$71</f>
        <v/>
      </c>
      <c r="K380" s="13">
        <f>$B$7*(A380*Z$71+B380*AA$71+C380*AB$71+D380*AC$71)+F380/100*$B$7*AE$71-$C$71</f>
        <v/>
      </c>
      <c r="L380" s="13">
        <f>$B$7*(A380*AG$71+B380*AH$71+C380*AI$71+D380*AJ$71)+F380/100*$B$7*AL$71-$C$71</f>
        <v/>
      </c>
      <c r="M380" s="13">
        <f>$B$7*(A380*AN$71+B380*AO$71+C380*AP$71+D380*AQ$71)+F380/100*$B$7*AS$71-$C$71</f>
        <v/>
      </c>
      <c r="N380" s="13">
        <f>SUMPRODUCT($H$24:$M$24,H380:M380)</f>
        <v/>
      </c>
      <c r="O380" s="14">
        <f>SQRT(SUMPRODUCT($H$24:$M$24,(H380:M380-N380)^2))</f>
        <v/>
      </c>
      <c r="P380" s="13">
        <f>MIN(H380:M380)</f>
        <v/>
      </c>
      <c r="Q380" s="13">
        <f>MAX(H380:M380)</f>
        <v/>
      </c>
      <c r="R380" s="27">
        <f>IF(G380,SUMPRODUCT(($G$76:$G$1505)*($N$76:$N$1505&gt;=N380)*($O$76:$O$1505&lt;=O380))=1,FALSE)</f>
        <v/>
      </c>
      <c r="S380" s="16">
        <f>IF(R380,ABS((O380-$AC$76)/MAX(0.0001,$AC$77-$AC$76)-(N380-$AC$78)/MAX(0.0001,$AC$79-$AC$78)),-1)</f>
        <v/>
      </c>
      <c r="T380" s="14">
        <f>IF(G380,O380,NA())</f>
        <v/>
      </c>
      <c r="U380" s="13">
        <f>IF(G380,N380,NA())</f>
        <v/>
      </c>
      <c r="V380" s="14">
        <f>IF(R380,O380,NA())</f>
        <v/>
      </c>
      <c r="W380" s="13">
        <f>IF(R380,N380,NA())</f>
        <v/>
      </c>
      <c r="X380" s="27">
        <f>IF(G380,P380,"")</f>
        <v/>
      </c>
      <c r="Y380" s="27">
        <f>IF(G380,N380,"")</f>
        <v/>
      </c>
      <c r="Z380" s="27">
        <f>IF(R380,O380,"")</f>
        <v/>
      </c>
      <c r="AA380" s="27">
        <f>IF(R380,N380,"")</f>
        <v/>
      </c>
    </row>
    <row r="381">
      <c r="A381" s="31" t="n">
        <v>0</v>
      </c>
      <c r="B381" s="31" t="n">
        <v>0.8</v>
      </c>
      <c r="C381" s="31" t="n">
        <v>0.1</v>
      </c>
      <c r="D381" s="31" t="n">
        <v>0.1</v>
      </c>
      <c r="E381" s="27" t="inlineStr">
        <is>
          <t>1M 80%/2M 10%/3M 10%</t>
        </is>
      </c>
      <c r="F381" s="27" t="n">
        <v>0</v>
      </c>
      <c r="G381" s="27">
        <f>A381*$B$7&gt;=$B$9</f>
        <v/>
      </c>
      <c r="H381" s="13">
        <f>$B$7*(A381*E$71+B381*F$71+C381*G$71+D381*H$71)+F381/100*$B$7*J$71-$C$71</f>
        <v/>
      </c>
      <c r="I381" s="13">
        <f>$B$7*(A381*L$71+B381*M$71+C381*N$71+D381*O$71)+F381/100*$B$7*Q$71-$C$71</f>
        <v/>
      </c>
      <c r="J381" s="13">
        <f>$B$7*(A381*S$71+B381*T$71+C381*U$71+D381*V$71)+F381/100*$B$7*X$71-$C$71</f>
        <v/>
      </c>
      <c r="K381" s="13">
        <f>$B$7*(A381*Z$71+B381*AA$71+C381*AB$71+D381*AC$71)+F381/100*$B$7*AE$71-$C$71</f>
        <v/>
      </c>
      <c r="L381" s="13">
        <f>$B$7*(A381*AG$71+B381*AH$71+C381*AI$71+D381*AJ$71)+F381/100*$B$7*AL$71-$C$71</f>
        <v/>
      </c>
      <c r="M381" s="13">
        <f>$B$7*(A381*AN$71+B381*AO$71+C381*AP$71+D381*AQ$71)+F381/100*$B$7*AS$71-$C$71</f>
        <v/>
      </c>
      <c r="N381" s="13">
        <f>SUMPRODUCT($H$24:$M$24,H381:M381)</f>
        <v/>
      </c>
      <c r="O381" s="14">
        <f>SQRT(SUMPRODUCT($H$24:$M$24,(H381:M381-N381)^2))</f>
        <v/>
      </c>
      <c r="P381" s="13">
        <f>MIN(H381:M381)</f>
        <v/>
      </c>
      <c r="Q381" s="13">
        <f>MAX(H381:M381)</f>
        <v/>
      </c>
      <c r="R381" s="27">
        <f>IF(G381,SUMPRODUCT(($G$76:$G$1505)*($N$76:$N$1505&gt;=N381)*($O$76:$O$1505&lt;=O381))=1,FALSE)</f>
        <v/>
      </c>
      <c r="S381" s="16">
        <f>IF(R381,ABS((O381-$AC$76)/MAX(0.0001,$AC$77-$AC$76)-(N381-$AC$78)/MAX(0.0001,$AC$79-$AC$78)),-1)</f>
        <v/>
      </c>
      <c r="T381" s="14">
        <f>IF(G381,O381,NA())</f>
        <v/>
      </c>
      <c r="U381" s="13">
        <f>IF(G381,N381,NA())</f>
        <v/>
      </c>
      <c r="V381" s="14">
        <f>IF(R381,O381,NA())</f>
        <v/>
      </c>
      <c r="W381" s="13">
        <f>IF(R381,N381,NA())</f>
        <v/>
      </c>
      <c r="X381" s="27">
        <f>IF(G381,P381,"")</f>
        <v/>
      </c>
      <c r="Y381" s="27">
        <f>IF(G381,N381,"")</f>
        <v/>
      </c>
      <c r="Z381" s="27">
        <f>IF(R381,O381,"")</f>
        <v/>
      </c>
      <c r="AA381" s="27">
        <f>IF(R381,N381,"")</f>
        <v/>
      </c>
    </row>
    <row r="382">
      <c r="A382" s="31" t="n">
        <v>0</v>
      </c>
      <c r="B382" s="31" t="n">
        <v>0.8</v>
      </c>
      <c r="C382" s="31" t="n">
        <v>0.1</v>
      </c>
      <c r="D382" s="31" t="n">
        <v>0.1</v>
      </c>
      <c r="E382" s="27" t="inlineStr">
        <is>
          <t>1M 80%/2M 10%/3M 10%</t>
        </is>
      </c>
      <c r="F382" s="27" t="n">
        <v>25</v>
      </c>
      <c r="G382" s="27">
        <f>A382*$B$7&gt;=$B$9</f>
        <v/>
      </c>
      <c r="H382" s="13">
        <f>$B$7*(A382*E$71+B382*F$71+C382*G$71+D382*H$71)+F382/100*$B$7*J$71-$C$71</f>
        <v/>
      </c>
      <c r="I382" s="13">
        <f>$B$7*(A382*L$71+B382*M$71+C382*N$71+D382*O$71)+F382/100*$B$7*Q$71-$C$71</f>
        <v/>
      </c>
      <c r="J382" s="13">
        <f>$B$7*(A382*S$71+B382*T$71+C382*U$71+D382*V$71)+F382/100*$B$7*X$71-$C$71</f>
        <v/>
      </c>
      <c r="K382" s="13">
        <f>$B$7*(A382*Z$71+B382*AA$71+C382*AB$71+D382*AC$71)+F382/100*$B$7*AE$71-$C$71</f>
        <v/>
      </c>
      <c r="L382" s="13">
        <f>$B$7*(A382*AG$71+B382*AH$71+C382*AI$71+D382*AJ$71)+F382/100*$B$7*AL$71-$C$71</f>
        <v/>
      </c>
      <c r="M382" s="13">
        <f>$B$7*(A382*AN$71+B382*AO$71+C382*AP$71+D382*AQ$71)+F382/100*$B$7*AS$71-$C$71</f>
        <v/>
      </c>
      <c r="N382" s="13">
        <f>SUMPRODUCT($H$24:$M$24,H382:M382)</f>
        <v/>
      </c>
      <c r="O382" s="14">
        <f>SQRT(SUMPRODUCT($H$24:$M$24,(H382:M382-N382)^2))</f>
        <v/>
      </c>
      <c r="P382" s="13">
        <f>MIN(H382:M382)</f>
        <v/>
      </c>
      <c r="Q382" s="13">
        <f>MAX(H382:M382)</f>
        <v/>
      </c>
      <c r="R382" s="27">
        <f>IF(G382,SUMPRODUCT(($G$76:$G$1505)*($N$76:$N$1505&gt;=N382)*($O$76:$O$1505&lt;=O382))=1,FALSE)</f>
        <v/>
      </c>
      <c r="S382" s="16">
        <f>IF(R382,ABS((O382-$AC$76)/MAX(0.0001,$AC$77-$AC$76)-(N382-$AC$78)/MAX(0.0001,$AC$79-$AC$78)),-1)</f>
        <v/>
      </c>
      <c r="T382" s="14">
        <f>IF(G382,O382,NA())</f>
        <v/>
      </c>
      <c r="U382" s="13">
        <f>IF(G382,N382,NA())</f>
        <v/>
      </c>
      <c r="V382" s="14">
        <f>IF(R382,O382,NA())</f>
        <v/>
      </c>
      <c r="W382" s="13">
        <f>IF(R382,N382,NA())</f>
        <v/>
      </c>
      <c r="X382" s="27">
        <f>IF(G382,P382,"")</f>
        <v/>
      </c>
      <c r="Y382" s="27">
        <f>IF(G382,N382,"")</f>
        <v/>
      </c>
      <c r="Z382" s="27">
        <f>IF(R382,O382,"")</f>
        <v/>
      </c>
      <c r="AA382" s="27">
        <f>IF(R382,N382,"")</f>
        <v/>
      </c>
    </row>
    <row r="383">
      <c r="A383" s="31" t="n">
        <v>0</v>
      </c>
      <c r="B383" s="31" t="n">
        <v>0.8</v>
      </c>
      <c r="C383" s="31" t="n">
        <v>0.1</v>
      </c>
      <c r="D383" s="31" t="n">
        <v>0.1</v>
      </c>
      <c r="E383" s="27" t="inlineStr">
        <is>
          <t>1M 80%/2M 10%/3M 10%</t>
        </is>
      </c>
      <c r="F383" s="27" t="n">
        <v>50</v>
      </c>
      <c r="G383" s="27">
        <f>A383*$B$7&gt;=$B$9</f>
        <v/>
      </c>
      <c r="H383" s="13">
        <f>$B$7*(A383*E$71+B383*F$71+C383*G$71+D383*H$71)+F383/100*$B$7*J$71-$C$71</f>
        <v/>
      </c>
      <c r="I383" s="13">
        <f>$B$7*(A383*L$71+B383*M$71+C383*N$71+D383*O$71)+F383/100*$B$7*Q$71-$C$71</f>
        <v/>
      </c>
      <c r="J383" s="13">
        <f>$B$7*(A383*S$71+B383*T$71+C383*U$71+D383*V$71)+F383/100*$B$7*X$71-$C$71</f>
        <v/>
      </c>
      <c r="K383" s="13">
        <f>$B$7*(A383*Z$71+B383*AA$71+C383*AB$71+D383*AC$71)+F383/100*$B$7*AE$71-$C$71</f>
        <v/>
      </c>
      <c r="L383" s="13">
        <f>$B$7*(A383*AG$71+B383*AH$71+C383*AI$71+D383*AJ$71)+F383/100*$B$7*AL$71-$C$71</f>
        <v/>
      </c>
      <c r="M383" s="13">
        <f>$B$7*(A383*AN$71+B383*AO$71+C383*AP$71+D383*AQ$71)+F383/100*$B$7*AS$71-$C$71</f>
        <v/>
      </c>
      <c r="N383" s="13">
        <f>SUMPRODUCT($H$24:$M$24,H383:M383)</f>
        <v/>
      </c>
      <c r="O383" s="14">
        <f>SQRT(SUMPRODUCT($H$24:$M$24,(H383:M383-N383)^2))</f>
        <v/>
      </c>
      <c r="P383" s="13">
        <f>MIN(H383:M383)</f>
        <v/>
      </c>
      <c r="Q383" s="13">
        <f>MAX(H383:M383)</f>
        <v/>
      </c>
      <c r="R383" s="27">
        <f>IF(G383,SUMPRODUCT(($G$76:$G$1505)*($N$76:$N$1505&gt;=N383)*($O$76:$O$1505&lt;=O383))=1,FALSE)</f>
        <v/>
      </c>
      <c r="S383" s="16">
        <f>IF(R383,ABS((O383-$AC$76)/MAX(0.0001,$AC$77-$AC$76)-(N383-$AC$78)/MAX(0.0001,$AC$79-$AC$78)),-1)</f>
        <v/>
      </c>
      <c r="T383" s="14">
        <f>IF(G383,O383,NA())</f>
        <v/>
      </c>
      <c r="U383" s="13">
        <f>IF(G383,N383,NA())</f>
        <v/>
      </c>
      <c r="V383" s="14">
        <f>IF(R383,O383,NA())</f>
        <v/>
      </c>
      <c r="W383" s="13">
        <f>IF(R383,N383,NA())</f>
        <v/>
      </c>
      <c r="X383" s="27">
        <f>IF(G383,P383,"")</f>
        <v/>
      </c>
      <c r="Y383" s="27">
        <f>IF(G383,N383,"")</f>
        <v/>
      </c>
      <c r="Z383" s="27">
        <f>IF(R383,O383,"")</f>
        <v/>
      </c>
      <c r="AA383" s="27">
        <f>IF(R383,N383,"")</f>
        <v/>
      </c>
    </row>
    <row r="384">
      <c r="A384" s="31" t="n">
        <v>0</v>
      </c>
      <c r="B384" s="31" t="n">
        <v>0.8</v>
      </c>
      <c r="C384" s="31" t="n">
        <v>0.1</v>
      </c>
      <c r="D384" s="31" t="n">
        <v>0.1</v>
      </c>
      <c r="E384" s="27" t="inlineStr">
        <is>
          <t>1M 80%/2M 10%/3M 10%</t>
        </is>
      </c>
      <c r="F384" s="27" t="n">
        <v>75</v>
      </c>
      <c r="G384" s="27">
        <f>A384*$B$7&gt;=$B$9</f>
        <v/>
      </c>
      <c r="H384" s="13">
        <f>$B$7*(A384*E$71+B384*F$71+C384*G$71+D384*H$71)+F384/100*$B$7*J$71-$C$71</f>
        <v/>
      </c>
      <c r="I384" s="13">
        <f>$B$7*(A384*L$71+B384*M$71+C384*N$71+D384*O$71)+F384/100*$B$7*Q$71-$C$71</f>
        <v/>
      </c>
      <c r="J384" s="13">
        <f>$B$7*(A384*S$71+B384*T$71+C384*U$71+D384*V$71)+F384/100*$B$7*X$71-$C$71</f>
        <v/>
      </c>
      <c r="K384" s="13">
        <f>$B$7*(A384*Z$71+B384*AA$71+C384*AB$71+D384*AC$71)+F384/100*$B$7*AE$71-$C$71</f>
        <v/>
      </c>
      <c r="L384" s="13">
        <f>$B$7*(A384*AG$71+B384*AH$71+C384*AI$71+D384*AJ$71)+F384/100*$B$7*AL$71-$C$71</f>
        <v/>
      </c>
      <c r="M384" s="13">
        <f>$B$7*(A384*AN$71+B384*AO$71+C384*AP$71+D384*AQ$71)+F384/100*$B$7*AS$71-$C$71</f>
        <v/>
      </c>
      <c r="N384" s="13">
        <f>SUMPRODUCT($H$24:$M$24,H384:M384)</f>
        <v/>
      </c>
      <c r="O384" s="14">
        <f>SQRT(SUMPRODUCT($H$24:$M$24,(H384:M384-N384)^2))</f>
        <v/>
      </c>
      <c r="P384" s="13">
        <f>MIN(H384:M384)</f>
        <v/>
      </c>
      <c r="Q384" s="13">
        <f>MAX(H384:M384)</f>
        <v/>
      </c>
      <c r="R384" s="27">
        <f>IF(G384,SUMPRODUCT(($G$76:$G$1505)*($N$76:$N$1505&gt;=N384)*($O$76:$O$1505&lt;=O384))=1,FALSE)</f>
        <v/>
      </c>
      <c r="S384" s="16">
        <f>IF(R384,ABS((O384-$AC$76)/MAX(0.0001,$AC$77-$AC$76)-(N384-$AC$78)/MAX(0.0001,$AC$79-$AC$78)),-1)</f>
        <v/>
      </c>
      <c r="T384" s="14">
        <f>IF(G384,O384,NA())</f>
        <v/>
      </c>
      <c r="U384" s="13">
        <f>IF(G384,N384,NA())</f>
        <v/>
      </c>
      <c r="V384" s="14">
        <f>IF(R384,O384,NA())</f>
        <v/>
      </c>
      <c r="W384" s="13">
        <f>IF(R384,N384,NA())</f>
        <v/>
      </c>
      <c r="X384" s="27">
        <f>IF(G384,P384,"")</f>
        <v/>
      </c>
      <c r="Y384" s="27">
        <f>IF(G384,N384,"")</f>
        <v/>
      </c>
      <c r="Z384" s="27">
        <f>IF(R384,O384,"")</f>
        <v/>
      </c>
      <c r="AA384" s="27">
        <f>IF(R384,N384,"")</f>
        <v/>
      </c>
    </row>
    <row r="385">
      <c r="A385" s="31" t="n">
        <v>0</v>
      </c>
      <c r="B385" s="31" t="n">
        <v>0.8</v>
      </c>
      <c r="C385" s="31" t="n">
        <v>0.1</v>
      </c>
      <c r="D385" s="31" t="n">
        <v>0.1</v>
      </c>
      <c r="E385" s="27" t="inlineStr">
        <is>
          <t>1M 80%/2M 10%/3M 10%</t>
        </is>
      </c>
      <c r="F385" s="27" t="n">
        <v>100</v>
      </c>
      <c r="G385" s="27">
        <f>A385*$B$7&gt;=$B$9</f>
        <v/>
      </c>
      <c r="H385" s="13">
        <f>$B$7*(A385*E$71+B385*F$71+C385*G$71+D385*H$71)+F385/100*$B$7*J$71-$C$71</f>
        <v/>
      </c>
      <c r="I385" s="13">
        <f>$B$7*(A385*L$71+B385*M$71+C385*N$71+D385*O$71)+F385/100*$B$7*Q$71-$C$71</f>
        <v/>
      </c>
      <c r="J385" s="13">
        <f>$B$7*(A385*S$71+B385*T$71+C385*U$71+D385*V$71)+F385/100*$B$7*X$71-$C$71</f>
        <v/>
      </c>
      <c r="K385" s="13">
        <f>$B$7*(A385*Z$71+B385*AA$71+C385*AB$71+D385*AC$71)+F385/100*$B$7*AE$71-$C$71</f>
        <v/>
      </c>
      <c r="L385" s="13">
        <f>$B$7*(A385*AG$71+B385*AH$71+C385*AI$71+D385*AJ$71)+F385/100*$B$7*AL$71-$C$71</f>
        <v/>
      </c>
      <c r="M385" s="13">
        <f>$B$7*(A385*AN$71+B385*AO$71+C385*AP$71+D385*AQ$71)+F385/100*$B$7*AS$71-$C$71</f>
        <v/>
      </c>
      <c r="N385" s="13">
        <f>SUMPRODUCT($H$24:$M$24,H385:M385)</f>
        <v/>
      </c>
      <c r="O385" s="14">
        <f>SQRT(SUMPRODUCT($H$24:$M$24,(H385:M385-N385)^2))</f>
        <v/>
      </c>
      <c r="P385" s="13">
        <f>MIN(H385:M385)</f>
        <v/>
      </c>
      <c r="Q385" s="13">
        <f>MAX(H385:M385)</f>
        <v/>
      </c>
      <c r="R385" s="27">
        <f>IF(G385,SUMPRODUCT(($G$76:$G$1505)*($N$76:$N$1505&gt;=N385)*($O$76:$O$1505&lt;=O385))=1,FALSE)</f>
        <v/>
      </c>
      <c r="S385" s="16">
        <f>IF(R385,ABS((O385-$AC$76)/MAX(0.0001,$AC$77-$AC$76)-(N385-$AC$78)/MAX(0.0001,$AC$79-$AC$78)),-1)</f>
        <v/>
      </c>
      <c r="T385" s="14">
        <f>IF(G385,O385,NA())</f>
        <v/>
      </c>
      <c r="U385" s="13">
        <f>IF(G385,N385,NA())</f>
        <v/>
      </c>
      <c r="V385" s="14">
        <f>IF(R385,O385,NA())</f>
        <v/>
      </c>
      <c r="W385" s="13">
        <f>IF(R385,N385,NA())</f>
        <v/>
      </c>
      <c r="X385" s="27">
        <f>IF(G385,P385,"")</f>
        <v/>
      </c>
      <c r="Y385" s="27">
        <f>IF(G385,N385,"")</f>
        <v/>
      </c>
      <c r="Z385" s="27">
        <f>IF(R385,O385,"")</f>
        <v/>
      </c>
      <c r="AA385" s="27">
        <f>IF(R385,N385,"")</f>
        <v/>
      </c>
    </row>
    <row r="386">
      <c r="A386" s="31" t="n">
        <v>0</v>
      </c>
      <c r="B386" s="31" t="n">
        <v>0.8</v>
      </c>
      <c r="C386" s="31" t="n">
        <v>0.2</v>
      </c>
      <c r="D386" s="31" t="n">
        <v>0</v>
      </c>
      <c r="E386" s="27" t="inlineStr">
        <is>
          <t>1M 80%/2M 20%</t>
        </is>
      </c>
      <c r="F386" s="27" t="n">
        <v>0</v>
      </c>
      <c r="G386" s="27">
        <f>A386*$B$7&gt;=$B$9</f>
        <v/>
      </c>
      <c r="H386" s="13">
        <f>$B$7*(A386*E$71+B386*F$71+C386*G$71+D386*H$71)+F386/100*$B$7*J$71-$C$71</f>
        <v/>
      </c>
      <c r="I386" s="13">
        <f>$B$7*(A386*L$71+B386*M$71+C386*N$71+D386*O$71)+F386/100*$B$7*Q$71-$C$71</f>
        <v/>
      </c>
      <c r="J386" s="13">
        <f>$B$7*(A386*S$71+B386*T$71+C386*U$71+D386*V$71)+F386/100*$B$7*X$71-$C$71</f>
        <v/>
      </c>
      <c r="K386" s="13">
        <f>$B$7*(A386*Z$71+B386*AA$71+C386*AB$71+D386*AC$71)+F386/100*$B$7*AE$71-$C$71</f>
        <v/>
      </c>
      <c r="L386" s="13">
        <f>$B$7*(A386*AG$71+B386*AH$71+C386*AI$71+D386*AJ$71)+F386/100*$B$7*AL$71-$C$71</f>
        <v/>
      </c>
      <c r="M386" s="13">
        <f>$B$7*(A386*AN$71+B386*AO$71+C386*AP$71+D386*AQ$71)+F386/100*$B$7*AS$71-$C$71</f>
        <v/>
      </c>
      <c r="N386" s="13">
        <f>SUMPRODUCT($H$24:$M$24,H386:M386)</f>
        <v/>
      </c>
      <c r="O386" s="14">
        <f>SQRT(SUMPRODUCT($H$24:$M$24,(H386:M386-N386)^2))</f>
        <v/>
      </c>
      <c r="P386" s="13">
        <f>MIN(H386:M386)</f>
        <v/>
      </c>
      <c r="Q386" s="13">
        <f>MAX(H386:M386)</f>
        <v/>
      </c>
      <c r="R386" s="27">
        <f>IF(G386,SUMPRODUCT(($G$76:$G$1505)*($N$76:$N$1505&gt;=N386)*($O$76:$O$1505&lt;=O386))=1,FALSE)</f>
        <v/>
      </c>
      <c r="S386" s="16">
        <f>IF(R386,ABS((O386-$AC$76)/MAX(0.0001,$AC$77-$AC$76)-(N386-$AC$78)/MAX(0.0001,$AC$79-$AC$78)),-1)</f>
        <v/>
      </c>
      <c r="T386" s="14">
        <f>IF(G386,O386,NA())</f>
        <v/>
      </c>
      <c r="U386" s="13">
        <f>IF(G386,N386,NA())</f>
        <v/>
      </c>
      <c r="V386" s="14">
        <f>IF(R386,O386,NA())</f>
        <v/>
      </c>
      <c r="W386" s="13">
        <f>IF(R386,N386,NA())</f>
        <v/>
      </c>
      <c r="X386" s="27">
        <f>IF(G386,P386,"")</f>
        <v/>
      </c>
      <c r="Y386" s="27">
        <f>IF(G386,N386,"")</f>
        <v/>
      </c>
      <c r="Z386" s="27">
        <f>IF(R386,O386,"")</f>
        <v/>
      </c>
      <c r="AA386" s="27">
        <f>IF(R386,N386,"")</f>
        <v/>
      </c>
    </row>
    <row r="387">
      <c r="A387" s="31" t="n">
        <v>0</v>
      </c>
      <c r="B387" s="31" t="n">
        <v>0.8</v>
      </c>
      <c r="C387" s="31" t="n">
        <v>0.2</v>
      </c>
      <c r="D387" s="31" t="n">
        <v>0</v>
      </c>
      <c r="E387" s="27" t="inlineStr">
        <is>
          <t>1M 80%/2M 20%</t>
        </is>
      </c>
      <c r="F387" s="27" t="n">
        <v>25</v>
      </c>
      <c r="G387" s="27">
        <f>A387*$B$7&gt;=$B$9</f>
        <v/>
      </c>
      <c r="H387" s="13">
        <f>$B$7*(A387*E$71+B387*F$71+C387*G$71+D387*H$71)+F387/100*$B$7*J$71-$C$71</f>
        <v/>
      </c>
      <c r="I387" s="13">
        <f>$B$7*(A387*L$71+B387*M$71+C387*N$71+D387*O$71)+F387/100*$B$7*Q$71-$C$71</f>
        <v/>
      </c>
      <c r="J387" s="13">
        <f>$B$7*(A387*S$71+B387*T$71+C387*U$71+D387*V$71)+F387/100*$B$7*X$71-$C$71</f>
        <v/>
      </c>
      <c r="K387" s="13">
        <f>$B$7*(A387*Z$71+B387*AA$71+C387*AB$71+D387*AC$71)+F387/100*$B$7*AE$71-$C$71</f>
        <v/>
      </c>
      <c r="L387" s="13">
        <f>$B$7*(A387*AG$71+B387*AH$71+C387*AI$71+D387*AJ$71)+F387/100*$B$7*AL$71-$C$71</f>
        <v/>
      </c>
      <c r="M387" s="13">
        <f>$B$7*(A387*AN$71+B387*AO$71+C387*AP$71+D387*AQ$71)+F387/100*$B$7*AS$71-$C$71</f>
        <v/>
      </c>
      <c r="N387" s="13">
        <f>SUMPRODUCT($H$24:$M$24,H387:M387)</f>
        <v/>
      </c>
      <c r="O387" s="14">
        <f>SQRT(SUMPRODUCT($H$24:$M$24,(H387:M387-N387)^2))</f>
        <v/>
      </c>
      <c r="P387" s="13">
        <f>MIN(H387:M387)</f>
        <v/>
      </c>
      <c r="Q387" s="13">
        <f>MAX(H387:M387)</f>
        <v/>
      </c>
      <c r="R387" s="27">
        <f>IF(G387,SUMPRODUCT(($G$76:$G$1505)*($N$76:$N$1505&gt;=N387)*($O$76:$O$1505&lt;=O387))=1,FALSE)</f>
        <v/>
      </c>
      <c r="S387" s="16">
        <f>IF(R387,ABS((O387-$AC$76)/MAX(0.0001,$AC$77-$AC$76)-(N387-$AC$78)/MAX(0.0001,$AC$79-$AC$78)),-1)</f>
        <v/>
      </c>
      <c r="T387" s="14">
        <f>IF(G387,O387,NA())</f>
        <v/>
      </c>
      <c r="U387" s="13">
        <f>IF(G387,N387,NA())</f>
        <v/>
      </c>
      <c r="V387" s="14">
        <f>IF(R387,O387,NA())</f>
        <v/>
      </c>
      <c r="W387" s="13">
        <f>IF(R387,N387,NA())</f>
        <v/>
      </c>
      <c r="X387" s="27">
        <f>IF(G387,P387,"")</f>
        <v/>
      </c>
      <c r="Y387" s="27">
        <f>IF(G387,N387,"")</f>
        <v/>
      </c>
      <c r="Z387" s="27">
        <f>IF(R387,O387,"")</f>
        <v/>
      </c>
      <c r="AA387" s="27">
        <f>IF(R387,N387,"")</f>
        <v/>
      </c>
    </row>
    <row r="388">
      <c r="A388" s="31" t="n">
        <v>0</v>
      </c>
      <c r="B388" s="31" t="n">
        <v>0.8</v>
      </c>
      <c r="C388" s="31" t="n">
        <v>0.2</v>
      </c>
      <c r="D388" s="31" t="n">
        <v>0</v>
      </c>
      <c r="E388" s="27" t="inlineStr">
        <is>
          <t>1M 80%/2M 20%</t>
        </is>
      </c>
      <c r="F388" s="27" t="n">
        <v>50</v>
      </c>
      <c r="G388" s="27">
        <f>A388*$B$7&gt;=$B$9</f>
        <v/>
      </c>
      <c r="H388" s="13">
        <f>$B$7*(A388*E$71+B388*F$71+C388*G$71+D388*H$71)+F388/100*$B$7*J$71-$C$71</f>
        <v/>
      </c>
      <c r="I388" s="13">
        <f>$B$7*(A388*L$71+B388*M$71+C388*N$71+D388*O$71)+F388/100*$B$7*Q$71-$C$71</f>
        <v/>
      </c>
      <c r="J388" s="13">
        <f>$B$7*(A388*S$71+B388*T$71+C388*U$71+D388*V$71)+F388/100*$B$7*X$71-$C$71</f>
        <v/>
      </c>
      <c r="K388" s="13">
        <f>$B$7*(A388*Z$71+B388*AA$71+C388*AB$71+D388*AC$71)+F388/100*$B$7*AE$71-$C$71</f>
        <v/>
      </c>
      <c r="L388" s="13">
        <f>$B$7*(A388*AG$71+B388*AH$71+C388*AI$71+D388*AJ$71)+F388/100*$B$7*AL$71-$C$71</f>
        <v/>
      </c>
      <c r="M388" s="13">
        <f>$B$7*(A388*AN$71+B388*AO$71+C388*AP$71+D388*AQ$71)+F388/100*$B$7*AS$71-$C$71</f>
        <v/>
      </c>
      <c r="N388" s="13">
        <f>SUMPRODUCT($H$24:$M$24,H388:M388)</f>
        <v/>
      </c>
      <c r="O388" s="14">
        <f>SQRT(SUMPRODUCT($H$24:$M$24,(H388:M388-N388)^2))</f>
        <v/>
      </c>
      <c r="P388" s="13">
        <f>MIN(H388:M388)</f>
        <v/>
      </c>
      <c r="Q388" s="13">
        <f>MAX(H388:M388)</f>
        <v/>
      </c>
      <c r="R388" s="27">
        <f>IF(G388,SUMPRODUCT(($G$76:$G$1505)*($N$76:$N$1505&gt;=N388)*($O$76:$O$1505&lt;=O388))=1,FALSE)</f>
        <v/>
      </c>
      <c r="S388" s="16">
        <f>IF(R388,ABS((O388-$AC$76)/MAX(0.0001,$AC$77-$AC$76)-(N388-$AC$78)/MAX(0.0001,$AC$79-$AC$78)),-1)</f>
        <v/>
      </c>
      <c r="T388" s="14">
        <f>IF(G388,O388,NA())</f>
        <v/>
      </c>
      <c r="U388" s="13">
        <f>IF(G388,N388,NA())</f>
        <v/>
      </c>
      <c r="V388" s="14">
        <f>IF(R388,O388,NA())</f>
        <v/>
      </c>
      <c r="W388" s="13">
        <f>IF(R388,N388,NA())</f>
        <v/>
      </c>
      <c r="X388" s="27">
        <f>IF(G388,P388,"")</f>
        <v/>
      </c>
      <c r="Y388" s="27">
        <f>IF(G388,N388,"")</f>
        <v/>
      </c>
      <c r="Z388" s="27">
        <f>IF(R388,O388,"")</f>
        <v/>
      </c>
      <c r="AA388" s="27">
        <f>IF(R388,N388,"")</f>
        <v/>
      </c>
    </row>
    <row r="389">
      <c r="A389" s="31" t="n">
        <v>0</v>
      </c>
      <c r="B389" s="31" t="n">
        <v>0.8</v>
      </c>
      <c r="C389" s="31" t="n">
        <v>0.2</v>
      </c>
      <c r="D389" s="31" t="n">
        <v>0</v>
      </c>
      <c r="E389" s="27" t="inlineStr">
        <is>
          <t>1M 80%/2M 20%</t>
        </is>
      </c>
      <c r="F389" s="27" t="n">
        <v>75</v>
      </c>
      <c r="G389" s="27">
        <f>A389*$B$7&gt;=$B$9</f>
        <v/>
      </c>
      <c r="H389" s="13">
        <f>$B$7*(A389*E$71+B389*F$71+C389*G$71+D389*H$71)+F389/100*$B$7*J$71-$C$71</f>
        <v/>
      </c>
      <c r="I389" s="13">
        <f>$B$7*(A389*L$71+B389*M$71+C389*N$71+D389*O$71)+F389/100*$B$7*Q$71-$C$71</f>
        <v/>
      </c>
      <c r="J389" s="13">
        <f>$B$7*(A389*S$71+B389*T$71+C389*U$71+D389*V$71)+F389/100*$B$7*X$71-$C$71</f>
        <v/>
      </c>
      <c r="K389" s="13">
        <f>$B$7*(A389*Z$71+B389*AA$71+C389*AB$71+D389*AC$71)+F389/100*$B$7*AE$71-$C$71</f>
        <v/>
      </c>
      <c r="L389" s="13">
        <f>$B$7*(A389*AG$71+B389*AH$71+C389*AI$71+D389*AJ$71)+F389/100*$B$7*AL$71-$C$71</f>
        <v/>
      </c>
      <c r="M389" s="13">
        <f>$B$7*(A389*AN$71+B389*AO$71+C389*AP$71+D389*AQ$71)+F389/100*$B$7*AS$71-$C$71</f>
        <v/>
      </c>
      <c r="N389" s="13">
        <f>SUMPRODUCT($H$24:$M$24,H389:M389)</f>
        <v/>
      </c>
      <c r="O389" s="14">
        <f>SQRT(SUMPRODUCT($H$24:$M$24,(H389:M389-N389)^2))</f>
        <v/>
      </c>
      <c r="P389" s="13">
        <f>MIN(H389:M389)</f>
        <v/>
      </c>
      <c r="Q389" s="13">
        <f>MAX(H389:M389)</f>
        <v/>
      </c>
      <c r="R389" s="27">
        <f>IF(G389,SUMPRODUCT(($G$76:$G$1505)*($N$76:$N$1505&gt;=N389)*($O$76:$O$1505&lt;=O389))=1,FALSE)</f>
        <v/>
      </c>
      <c r="S389" s="16">
        <f>IF(R389,ABS((O389-$AC$76)/MAX(0.0001,$AC$77-$AC$76)-(N389-$AC$78)/MAX(0.0001,$AC$79-$AC$78)),-1)</f>
        <v/>
      </c>
      <c r="T389" s="14">
        <f>IF(G389,O389,NA())</f>
        <v/>
      </c>
      <c r="U389" s="13">
        <f>IF(G389,N389,NA())</f>
        <v/>
      </c>
      <c r="V389" s="14">
        <f>IF(R389,O389,NA())</f>
        <v/>
      </c>
      <c r="W389" s="13">
        <f>IF(R389,N389,NA())</f>
        <v/>
      </c>
      <c r="X389" s="27">
        <f>IF(G389,P389,"")</f>
        <v/>
      </c>
      <c r="Y389" s="27">
        <f>IF(G389,N389,"")</f>
        <v/>
      </c>
      <c r="Z389" s="27">
        <f>IF(R389,O389,"")</f>
        <v/>
      </c>
      <c r="AA389" s="27">
        <f>IF(R389,N389,"")</f>
        <v/>
      </c>
    </row>
    <row r="390">
      <c r="A390" s="31" t="n">
        <v>0</v>
      </c>
      <c r="B390" s="31" t="n">
        <v>0.8</v>
      </c>
      <c r="C390" s="31" t="n">
        <v>0.2</v>
      </c>
      <c r="D390" s="31" t="n">
        <v>0</v>
      </c>
      <c r="E390" s="27" t="inlineStr">
        <is>
          <t>1M 80%/2M 20%</t>
        </is>
      </c>
      <c r="F390" s="27" t="n">
        <v>100</v>
      </c>
      <c r="G390" s="27">
        <f>A390*$B$7&gt;=$B$9</f>
        <v/>
      </c>
      <c r="H390" s="13">
        <f>$B$7*(A390*E$71+B390*F$71+C390*G$71+D390*H$71)+F390/100*$B$7*J$71-$C$71</f>
        <v/>
      </c>
      <c r="I390" s="13">
        <f>$B$7*(A390*L$71+B390*M$71+C390*N$71+D390*O$71)+F390/100*$B$7*Q$71-$C$71</f>
        <v/>
      </c>
      <c r="J390" s="13">
        <f>$B$7*(A390*S$71+B390*T$71+C390*U$71+D390*V$71)+F390/100*$B$7*X$71-$C$71</f>
        <v/>
      </c>
      <c r="K390" s="13">
        <f>$B$7*(A390*Z$71+B390*AA$71+C390*AB$71+D390*AC$71)+F390/100*$B$7*AE$71-$C$71</f>
        <v/>
      </c>
      <c r="L390" s="13">
        <f>$B$7*(A390*AG$71+B390*AH$71+C390*AI$71+D390*AJ$71)+F390/100*$B$7*AL$71-$C$71</f>
        <v/>
      </c>
      <c r="M390" s="13">
        <f>$B$7*(A390*AN$71+B390*AO$71+C390*AP$71+D390*AQ$71)+F390/100*$B$7*AS$71-$C$71</f>
        <v/>
      </c>
      <c r="N390" s="13">
        <f>SUMPRODUCT($H$24:$M$24,H390:M390)</f>
        <v/>
      </c>
      <c r="O390" s="14">
        <f>SQRT(SUMPRODUCT($H$24:$M$24,(H390:M390-N390)^2))</f>
        <v/>
      </c>
      <c r="P390" s="13">
        <f>MIN(H390:M390)</f>
        <v/>
      </c>
      <c r="Q390" s="13">
        <f>MAX(H390:M390)</f>
        <v/>
      </c>
      <c r="R390" s="27">
        <f>IF(G390,SUMPRODUCT(($G$76:$G$1505)*($N$76:$N$1505&gt;=N390)*($O$76:$O$1505&lt;=O390))=1,FALSE)</f>
        <v/>
      </c>
      <c r="S390" s="16">
        <f>IF(R390,ABS((O390-$AC$76)/MAX(0.0001,$AC$77-$AC$76)-(N390-$AC$78)/MAX(0.0001,$AC$79-$AC$78)),-1)</f>
        <v/>
      </c>
      <c r="T390" s="14">
        <f>IF(G390,O390,NA())</f>
        <v/>
      </c>
      <c r="U390" s="13">
        <f>IF(G390,N390,NA())</f>
        <v/>
      </c>
      <c r="V390" s="14">
        <f>IF(R390,O390,NA())</f>
        <v/>
      </c>
      <c r="W390" s="13">
        <f>IF(R390,N390,NA())</f>
        <v/>
      </c>
      <c r="X390" s="27">
        <f>IF(G390,P390,"")</f>
        <v/>
      </c>
      <c r="Y390" s="27">
        <f>IF(G390,N390,"")</f>
        <v/>
      </c>
      <c r="Z390" s="27">
        <f>IF(R390,O390,"")</f>
        <v/>
      </c>
      <c r="AA390" s="27">
        <f>IF(R390,N390,"")</f>
        <v/>
      </c>
    </row>
    <row r="391">
      <c r="A391" s="31" t="n">
        <v>0</v>
      </c>
      <c r="B391" s="31" t="n">
        <v>0.9</v>
      </c>
      <c r="C391" s="31" t="n">
        <v>0</v>
      </c>
      <c r="D391" s="31" t="n">
        <v>0.1</v>
      </c>
      <c r="E391" s="27" t="inlineStr">
        <is>
          <t>1M 90%/3M 10%</t>
        </is>
      </c>
      <c r="F391" s="27" t="n">
        <v>0</v>
      </c>
      <c r="G391" s="27">
        <f>A391*$B$7&gt;=$B$9</f>
        <v/>
      </c>
      <c r="H391" s="13">
        <f>$B$7*(A391*E$71+B391*F$71+C391*G$71+D391*H$71)+F391/100*$B$7*J$71-$C$71</f>
        <v/>
      </c>
      <c r="I391" s="13">
        <f>$B$7*(A391*L$71+B391*M$71+C391*N$71+D391*O$71)+F391/100*$B$7*Q$71-$C$71</f>
        <v/>
      </c>
      <c r="J391" s="13">
        <f>$B$7*(A391*S$71+B391*T$71+C391*U$71+D391*V$71)+F391/100*$B$7*X$71-$C$71</f>
        <v/>
      </c>
      <c r="K391" s="13">
        <f>$B$7*(A391*Z$71+B391*AA$71+C391*AB$71+D391*AC$71)+F391/100*$B$7*AE$71-$C$71</f>
        <v/>
      </c>
      <c r="L391" s="13">
        <f>$B$7*(A391*AG$71+B391*AH$71+C391*AI$71+D391*AJ$71)+F391/100*$B$7*AL$71-$C$71</f>
        <v/>
      </c>
      <c r="M391" s="13">
        <f>$B$7*(A391*AN$71+B391*AO$71+C391*AP$71+D391*AQ$71)+F391/100*$B$7*AS$71-$C$71</f>
        <v/>
      </c>
      <c r="N391" s="13">
        <f>SUMPRODUCT($H$24:$M$24,H391:M391)</f>
        <v/>
      </c>
      <c r="O391" s="14">
        <f>SQRT(SUMPRODUCT($H$24:$M$24,(H391:M391-N391)^2))</f>
        <v/>
      </c>
      <c r="P391" s="13">
        <f>MIN(H391:M391)</f>
        <v/>
      </c>
      <c r="Q391" s="13">
        <f>MAX(H391:M391)</f>
        <v/>
      </c>
      <c r="R391" s="27">
        <f>IF(G391,SUMPRODUCT(($G$76:$G$1505)*($N$76:$N$1505&gt;=N391)*($O$76:$O$1505&lt;=O391))=1,FALSE)</f>
        <v/>
      </c>
      <c r="S391" s="16">
        <f>IF(R391,ABS((O391-$AC$76)/MAX(0.0001,$AC$77-$AC$76)-(N391-$AC$78)/MAX(0.0001,$AC$79-$AC$78)),-1)</f>
        <v/>
      </c>
      <c r="T391" s="14">
        <f>IF(G391,O391,NA())</f>
        <v/>
      </c>
      <c r="U391" s="13">
        <f>IF(G391,N391,NA())</f>
        <v/>
      </c>
      <c r="V391" s="14">
        <f>IF(R391,O391,NA())</f>
        <v/>
      </c>
      <c r="W391" s="13">
        <f>IF(R391,N391,NA())</f>
        <v/>
      </c>
      <c r="X391" s="27">
        <f>IF(G391,P391,"")</f>
        <v/>
      </c>
      <c r="Y391" s="27">
        <f>IF(G391,N391,"")</f>
        <v/>
      </c>
      <c r="Z391" s="27">
        <f>IF(R391,O391,"")</f>
        <v/>
      </c>
      <c r="AA391" s="27">
        <f>IF(R391,N391,"")</f>
        <v/>
      </c>
    </row>
    <row r="392">
      <c r="A392" s="31" t="n">
        <v>0</v>
      </c>
      <c r="B392" s="31" t="n">
        <v>0.9</v>
      </c>
      <c r="C392" s="31" t="n">
        <v>0</v>
      </c>
      <c r="D392" s="31" t="n">
        <v>0.1</v>
      </c>
      <c r="E392" s="27" t="inlineStr">
        <is>
          <t>1M 90%/3M 10%</t>
        </is>
      </c>
      <c r="F392" s="27" t="n">
        <v>25</v>
      </c>
      <c r="G392" s="27">
        <f>A392*$B$7&gt;=$B$9</f>
        <v/>
      </c>
      <c r="H392" s="13">
        <f>$B$7*(A392*E$71+B392*F$71+C392*G$71+D392*H$71)+F392/100*$B$7*J$71-$C$71</f>
        <v/>
      </c>
      <c r="I392" s="13">
        <f>$B$7*(A392*L$71+B392*M$71+C392*N$71+D392*O$71)+F392/100*$B$7*Q$71-$C$71</f>
        <v/>
      </c>
      <c r="J392" s="13">
        <f>$B$7*(A392*S$71+B392*T$71+C392*U$71+D392*V$71)+F392/100*$B$7*X$71-$C$71</f>
        <v/>
      </c>
      <c r="K392" s="13">
        <f>$B$7*(A392*Z$71+B392*AA$71+C392*AB$71+D392*AC$71)+F392/100*$B$7*AE$71-$C$71</f>
        <v/>
      </c>
      <c r="L392" s="13">
        <f>$B$7*(A392*AG$71+B392*AH$71+C392*AI$71+D392*AJ$71)+F392/100*$B$7*AL$71-$C$71</f>
        <v/>
      </c>
      <c r="M392" s="13">
        <f>$B$7*(A392*AN$71+B392*AO$71+C392*AP$71+D392*AQ$71)+F392/100*$B$7*AS$71-$C$71</f>
        <v/>
      </c>
      <c r="N392" s="13">
        <f>SUMPRODUCT($H$24:$M$24,H392:M392)</f>
        <v/>
      </c>
      <c r="O392" s="14">
        <f>SQRT(SUMPRODUCT($H$24:$M$24,(H392:M392-N392)^2))</f>
        <v/>
      </c>
      <c r="P392" s="13">
        <f>MIN(H392:M392)</f>
        <v/>
      </c>
      <c r="Q392" s="13">
        <f>MAX(H392:M392)</f>
        <v/>
      </c>
      <c r="R392" s="27">
        <f>IF(G392,SUMPRODUCT(($G$76:$G$1505)*($N$76:$N$1505&gt;=N392)*($O$76:$O$1505&lt;=O392))=1,FALSE)</f>
        <v/>
      </c>
      <c r="S392" s="16">
        <f>IF(R392,ABS((O392-$AC$76)/MAX(0.0001,$AC$77-$AC$76)-(N392-$AC$78)/MAX(0.0001,$AC$79-$AC$78)),-1)</f>
        <v/>
      </c>
      <c r="T392" s="14">
        <f>IF(G392,O392,NA())</f>
        <v/>
      </c>
      <c r="U392" s="13">
        <f>IF(G392,N392,NA())</f>
        <v/>
      </c>
      <c r="V392" s="14">
        <f>IF(R392,O392,NA())</f>
        <v/>
      </c>
      <c r="W392" s="13">
        <f>IF(R392,N392,NA())</f>
        <v/>
      </c>
      <c r="X392" s="27">
        <f>IF(G392,P392,"")</f>
        <v/>
      </c>
      <c r="Y392" s="27">
        <f>IF(G392,N392,"")</f>
        <v/>
      </c>
      <c r="Z392" s="27">
        <f>IF(R392,O392,"")</f>
        <v/>
      </c>
      <c r="AA392" s="27">
        <f>IF(R392,N392,"")</f>
        <v/>
      </c>
    </row>
    <row r="393">
      <c r="A393" s="31" t="n">
        <v>0</v>
      </c>
      <c r="B393" s="31" t="n">
        <v>0.9</v>
      </c>
      <c r="C393" s="31" t="n">
        <v>0</v>
      </c>
      <c r="D393" s="31" t="n">
        <v>0.1</v>
      </c>
      <c r="E393" s="27" t="inlineStr">
        <is>
          <t>1M 90%/3M 10%</t>
        </is>
      </c>
      <c r="F393" s="27" t="n">
        <v>50</v>
      </c>
      <c r="G393" s="27">
        <f>A393*$B$7&gt;=$B$9</f>
        <v/>
      </c>
      <c r="H393" s="13">
        <f>$B$7*(A393*E$71+B393*F$71+C393*G$71+D393*H$71)+F393/100*$B$7*J$71-$C$71</f>
        <v/>
      </c>
      <c r="I393" s="13">
        <f>$B$7*(A393*L$71+B393*M$71+C393*N$71+D393*O$71)+F393/100*$B$7*Q$71-$C$71</f>
        <v/>
      </c>
      <c r="J393" s="13">
        <f>$B$7*(A393*S$71+B393*T$71+C393*U$71+D393*V$71)+F393/100*$B$7*X$71-$C$71</f>
        <v/>
      </c>
      <c r="K393" s="13">
        <f>$B$7*(A393*Z$71+B393*AA$71+C393*AB$71+D393*AC$71)+F393/100*$B$7*AE$71-$C$71</f>
        <v/>
      </c>
      <c r="L393" s="13">
        <f>$B$7*(A393*AG$71+B393*AH$71+C393*AI$71+D393*AJ$71)+F393/100*$B$7*AL$71-$C$71</f>
        <v/>
      </c>
      <c r="M393" s="13">
        <f>$B$7*(A393*AN$71+B393*AO$71+C393*AP$71+D393*AQ$71)+F393/100*$B$7*AS$71-$C$71</f>
        <v/>
      </c>
      <c r="N393" s="13">
        <f>SUMPRODUCT($H$24:$M$24,H393:M393)</f>
        <v/>
      </c>
      <c r="O393" s="14">
        <f>SQRT(SUMPRODUCT($H$24:$M$24,(H393:M393-N393)^2))</f>
        <v/>
      </c>
      <c r="P393" s="13">
        <f>MIN(H393:M393)</f>
        <v/>
      </c>
      <c r="Q393" s="13">
        <f>MAX(H393:M393)</f>
        <v/>
      </c>
      <c r="R393" s="27">
        <f>IF(G393,SUMPRODUCT(($G$76:$G$1505)*($N$76:$N$1505&gt;=N393)*($O$76:$O$1505&lt;=O393))=1,FALSE)</f>
        <v/>
      </c>
      <c r="S393" s="16">
        <f>IF(R393,ABS((O393-$AC$76)/MAX(0.0001,$AC$77-$AC$76)-(N393-$AC$78)/MAX(0.0001,$AC$79-$AC$78)),-1)</f>
        <v/>
      </c>
      <c r="T393" s="14">
        <f>IF(G393,O393,NA())</f>
        <v/>
      </c>
      <c r="U393" s="13">
        <f>IF(G393,N393,NA())</f>
        <v/>
      </c>
      <c r="V393" s="14">
        <f>IF(R393,O393,NA())</f>
        <v/>
      </c>
      <c r="W393" s="13">
        <f>IF(R393,N393,NA())</f>
        <v/>
      </c>
      <c r="X393" s="27">
        <f>IF(G393,P393,"")</f>
        <v/>
      </c>
      <c r="Y393" s="27">
        <f>IF(G393,N393,"")</f>
        <v/>
      </c>
      <c r="Z393" s="27">
        <f>IF(R393,O393,"")</f>
        <v/>
      </c>
      <c r="AA393" s="27">
        <f>IF(R393,N393,"")</f>
        <v/>
      </c>
    </row>
    <row r="394">
      <c r="A394" s="31" t="n">
        <v>0</v>
      </c>
      <c r="B394" s="31" t="n">
        <v>0.9</v>
      </c>
      <c r="C394" s="31" t="n">
        <v>0</v>
      </c>
      <c r="D394" s="31" t="n">
        <v>0.1</v>
      </c>
      <c r="E394" s="27" t="inlineStr">
        <is>
          <t>1M 90%/3M 10%</t>
        </is>
      </c>
      <c r="F394" s="27" t="n">
        <v>75</v>
      </c>
      <c r="G394" s="27">
        <f>A394*$B$7&gt;=$B$9</f>
        <v/>
      </c>
      <c r="H394" s="13">
        <f>$B$7*(A394*E$71+B394*F$71+C394*G$71+D394*H$71)+F394/100*$B$7*J$71-$C$71</f>
        <v/>
      </c>
      <c r="I394" s="13">
        <f>$B$7*(A394*L$71+B394*M$71+C394*N$71+D394*O$71)+F394/100*$B$7*Q$71-$C$71</f>
        <v/>
      </c>
      <c r="J394" s="13">
        <f>$B$7*(A394*S$71+B394*T$71+C394*U$71+D394*V$71)+F394/100*$B$7*X$71-$C$71</f>
        <v/>
      </c>
      <c r="K394" s="13">
        <f>$B$7*(A394*Z$71+B394*AA$71+C394*AB$71+D394*AC$71)+F394/100*$B$7*AE$71-$C$71</f>
        <v/>
      </c>
      <c r="L394" s="13">
        <f>$B$7*(A394*AG$71+B394*AH$71+C394*AI$71+D394*AJ$71)+F394/100*$B$7*AL$71-$C$71</f>
        <v/>
      </c>
      <c r="M394" s="13">
        <f>$B$7*(A394*AN$71+B394*AO$71+C394*AP$71+D394*AQ$71)+F394/100*$B$7*AS$71-$C$71</f>
        <v/>
      </c>
      <c r="N394" s="13">
        <f>SUMPRODUCT($H$24:$M$24,H394:M394)</f>
        <v/>
      </c>
      <c r="O394" s="14">
        <f>SQRT(SUMPRODUCT($H$24:$M$24,(H394:M394-N394)^2))</f>
        <v/>
      </c>
      <c r="P394" s="13">
        <f>MIN(H394:M394)</f>
        <v/>
      </c>
      <c r="Q394" s="13">
        <f>MAX(H394:M394)</f>
        <v/>
      </c>
      <c r="R394" s="27">
        <f>IF(G394,SUMPRODUCT(($G$76:$G$1505)*($N$76:$N$1505&gt;=N394)*($O$76:$O$1505&lt;=O394))=1,FALSE)</f>
        <v/>
      </c>
      <c r="S394" s="16">
        <f>IF(R394,ABS((O394-$AC$76)/MAX(0.0001,$AC$77-$AC$76)-(N394-$AC$78)/MAX(0.0001,$AC$79-$AC$78)),-1)</f>
        <v/>
      </c>
      <c r="T394" s="14">
        <f>IF(G394,O394,NA())</f>
        <v/>
      </c>
      <c r="U394" s="13">
        <f>IF(G394,N394,NA())</f>
        <v/>
      </c>
      <c r="V394" s="14">
        <f>IF(R394,O394,NA())</f>
        <v/>
      </c>
      <c r="W394" s="13">
        <f>IF(R394,N394,NA())</f>
        <v/>
      </c>
      <c r="X394" s="27">
        <f>IF(G394,P394,"")</f>
        <v/>
      </c>
      <c r="Y394" s="27">
        <f>IF(G394,N394,"")</f>
        <v/>
      </c>
      <c r="Z394" s="27">
        <f>IF(R394,O394,"")</f>
        <v/>
      </c>
      <c r="AA394" s="27">
        <f>IF(R394,N394,"")</f>
        <v/>
      </c>
    </row>
    <row r="395">
      <c r="A395" s="31" t="n">
        <v>0</v>
      </c>
      <c r="B395" s="31" t="n">
        <v>0.9</v>
      </c>
      <c r="C395" s="31" t="n">
        <v>0</v>
      </c>
      <c r="D395" s="31" t="n">
        <v>0.1</v>
      </c>
      <c r="E395" s="27" t="inlineStr">
        <is>
          <t>1M 90%/3M 10%</t>
        </is>
      </c>
      <c r="F395" s="27" t="n">
        <v>100</v>
      </c>
      <c r="G395" s="27">
        <f>A395*$B$7&gt;=$B$9</f>
        <v/>
      </c>
      <c r="H395" s="13">
        <f>$B$7*(A395*E$71+B395*F$71+C395*G$71+D395*H$71)+F395/100*$B$7*J$71-$C$71</f>
        <v/>
      </c>
      <c r="I395" s="13">
        <f>$B$7*(A395*L$71+B395*M$71+C395*N$71+D395*O$71)+F395/100*$B$7*Q$71-$C$71</f>
        <v/>
      </c>
      <c r="J395" s="13">
        <f>$B$7*(A395*S$71+B395*T$71+C395*U$71+D395*V$71)+F395/100*$B$7*X$71-$C$71</f>
        <v/>
      </c>
      <c r="K395" s="13">
        <f>$B$7*(A395*Z$71+B395*AA$71+C395*AB$71+D395*AC$71)+F395/100*$B$7*AE$71-$C$71</f>
        <v/>
      </c>
      <c r="L395" s="13">
        <f>$B$7*(A395*AG$71+B395*AH$71+C395*AI$71+D395*AJ$71)+F395/100*$B$7*AL$71-$C$71</f>
        <v/>
      </c>
      <c r="M395" s="13">
        <f>$B$7*(A395*AN$71+B395*AO$71+C395*AP$71+D395*AQ$71)+F395/100*$B$7*AS$71-$C$71</f>
        <v/>
      </c>
      <c r="N395" s="13">
        <f>SUMPRODUCT($H$24:$M$24,H395:M395)</f>
        <v/>
      </c>
      <c r="O395" s="14">
        <f>SQRT(SUMPRODUCT($H$24:$M$24,(H395:M395-N395)^2))</f>
        <v/>
      </c>
      <c r="P395" s="13">
        <f>MIN(H395:M395)</f>
        <v/>
      </c>
      <c r="Q395" s="13">
        <f>MAX(H395:M395)</f>
        <v/>
      </c>
      <c r="R395" s="27">
        <f>IF(G395,SUMPRODUCT(($G$76:$G$1505)*($N$76:$N$1505&gt;=N395)*($O$76:$O$1505&lt;=O395))=1,FALSE)</f>
        <v/>
      </c>
      <c r="S395" s="16">
        <f>IF(R395,ABS((O395-$AC$76)/MAX(0.0001,$AC$77-$AC$76)-(N395-$AC$78)/MAX(0.0001,$AC$79-$AC$78)),-1)</f>
        <v/>
      </c>
      <c r="T395" s="14">
        <f>IF(G395,O395,NA())</f>
        <v/>
      </c>
      <c r="U395" s="13">
        <f>IF(G395,N395,NA())</f>
        <v/>
      </c>
      <c r="V395" s="14">
        <f>IF(R395,O395,NA())</f>
        <v/>
      </c>
      <c r="W395" s="13">
        <f>IF(R395,N395,NA())</f>
        <v/>
      </c>
      <c r="X395" s="27">
        <f>IF(G395,P395,"")</f>
        <v/>
      </c>
      <c r="Y395" s="27">
        <f>IF(G395,N395,"")</f>
        <v/>
      </c>
      <c r="Z395" s="27">
        <f>IF(R395,O395,"")</f>
        <v/>
      </c>
      <c r="AA395" s="27">
        <f>IF(R395,N395,"")</f>
        <v/>
      </c>
    </row>
    <row r="396">
      <c r="A396" s="31" t="n">
        <v>0</v>
      </c>
      <c r="B396" s="31" t="n">
        <v>0.9</v>
      </c>
      <c r="C396" s="31" t="n">
        <v>0.1</v>
      </c>
      <c r="D396" s="31" t="n">
        <v>0</v>
      </c>
      <c r="E396" s="27" t="inlineStr">
        <is>
          <t>1M 90%/2M 10%</t>
        </is>
      </c>
      <c r="F396" s="27" t="n">
        <v>0</v>
      </c>
      <c r="G396" s="27">
        <f>A396*$B$7&gt;=$B$9</f>
        <v/>
      </c>
      <c r="H396" s="13">
        <f>$B$7*(A396*E$71+B396*F$71+C396*G$71+D396*H$71)+F396/100*$B$7*J$71-$C$71</f>
        <v/>
      </c>
      <c r="I396" s="13">
        <f>$B$7*(A396*L$71+B396*M$71+C396*N$71+D396*O$71)+F396/100*$B$7*Q$71-$C$71</f>
        <v/>
      </c>
      <c r="J396" s="13">
        <f>$B$7*(A396*S$71+B396*T$71+C396*U$71+D396*V$71)+F396/100*$B$7*X$71-$C$71</f>
        <v/>
      </c>
      <c r="K396" s="13">
        <f>$B$7*(A396*Z$71+B396*AA$71+C396*AB$71+D396*AC$71)+F396/100*$B$7*AE$71-$C$71</f>
        <v/>
      </c>
      <c r="L396" s="13">
        <f>$B$7*(A396*AG$71+B396*AH$71+C396*AI$71+D396*AJ$71)+F396/100*$B$7*AL$71-$C$71</f>
        <v/>
      </c>
      <c r="M396" s="13">
        <f>$B$7*(A396*AN$71+B396*AO$71+C396*AP$71+D396*AQ$71)+F396/100*$B$7*AS$71-$C$71</f>
        <v/>
      </c>
      <c r="N396" s="13">
        <f>SUMPRODUCT($H$24:$M$24,H396:M396)</f>
        <v/>
      </c>
      <c r="O396" s="14">
        <f>SQRT(SUMPRODUCT($H$24:$M$24,(H396:M396-N396)^2))</f>
        <v/>
      </c>
      <c r="P396" s="13">
        <f>MIN(H396:M396)</f>
        <v/>
      </c>
      <c r="Q396" s="13">
        <f>MAX(H396:M396)</f>
        <v/>
      </c>
      <c r="R396" s="27">
        <f>IF(G396,SUMPRODUCT(($G$76:$G$1505)*($N$76:$N$1505&gt;=N396)*($O$76:$O$1505&lt;=O396))=1,FALSE)</f>
        <v/>
      </c>
      <c r="S396" s="16">
        <f>IF(R396,ABS((O396-$AC$76)/MAX(0.0001,$AC$77-$AC$76)-(N396-$AC$78)/MAX(0.0001,$AC$79-$AC$78)),-1)</f>
        <v/>
      </c>
      <c r="T396" s="14">
        <f>IF(G396,O396,NA())</f>
        <v/>
      </c>
      <c r="U396" s="13">
        <f>IF(G396,N396,NA())</f>
        <v/>
      </c>
      <c r="V396" s="14">
        <f>IF(R396,O396,NA())</f>
        <v/>
      </c>
      <c r="W396" s="13">
        <f>IF(R396,N396,NA())</f>
        <v/>
      </c>
      <c r="X396" s="27">
        <f>IF(G396,P396,"")</f>
        <v/>
      </c>
      <c r="Y396" s="27">
        <f>IF(G396,N396,"")</f>
        <v/>
      </c>
      <c r="Z396" s="27">
        <f>IF(R396,O396,"")</f>
        <v/>
      </c>
      <c r="AA396" s="27">
        <f>IF(R396,N396,"")</f>
        <v/>
      </c>
    </row>
    <row r="397">
      <c r="A397" s="31" t="n">
        <v>0</v>
      </c>
      <c r="B397" s="31" t="n">
        <v>0.9</v>
      </c>
      <c r="C397" s="31" t="n">
        <v>0.1</v>
      </c>
      <c r="D397" s="31" t="n">
        <v>0</v>
      </c>
      <c r="E397" s="27" t="inlineStr">
        <is>
          <t>1M 90%/2M 10%</t>
        </is>
      </c>
      <c r="F397" s="27" t="n">
        <v>25</v>
      </c>
      <c r="G397" s="27">
        <f>A397*$B$7&gt;=$B$9</f>
        <v/>
      </c>
      <c r="H397" s="13">
        <f>$B$7*(A397*E$71+B397*F$71+C397*G$71+D397*H$71)+F397/100*$B$7*J$71-$C$71</f>
        <v/>
      </c>
      <c r="I397" s="13">
        <f>$B$7*(A397*L$71+B397*M$71+C397*N$71+D397*O$71)+F397/100*$B$7*Q$71-$C$71</f>
        <v/>
      </c>
      <c r="J397" s="13">
        <f>$B$7*(A397*S$71+B397*T$71+C397*U$71+D397*V$71)+F397/100*$B$7*X$71-$C$71</f>
        <v/>
      </c>
      <c r="K397" s="13">
        <f>$B$7*(A397*Z$71+B397*AA$71+C397*AB$71+D397*AC$71)+F397/100*$B$7*AE$71-$C$71</f>
        <v/>
      </c>
      <c r="L397" s="13">
        <f>$B$7*(A397*AG$71+B397*AH$71+C397*AI$71+D397*AJ$71)+F397/100*$B$7*AL$71-$C$71</f>
        <v/>
      </c>
      <c r="M397" s="13">
        <f>$B$7*(A397*AN$71+B397*AO$71+C397*AP$71+D397*AQ$71)+F397/100*$B$7*AS$71-$C$71</f>
        <v/>
      </c>
      <c r="N397" s="13">
        <f>SUMPRODUCT($H$24:$M$24,H397:M397)</f>
        <v/>
      </c>
      <c r="O397" s="14">
        <f>SQRT(SUMPRODUCT($H$24:$M$24,(H397:M397-N397)^2))</f>
        <v/>
      </c>
      <c r="P397" s="13">
        <f>MIN(H397:M397)</f>
        <v/>
      </c>
      <c r="Q397" s="13">
        <f>MAX(H397:M397)</f>
        <v/>
      </c>
      <c r="R397" s="27">
        <f>IF(G397,SUMPRODUCT(($G$76:$G$1505)*($N$76:$N$1505&gt;=N397)*($O$76:$O$1505&lt;=O397))=1,FALSE)</f>
        <v/>
      </c>
      <c r="S397" s="16">
        <f>IF(R397,ABS((O397-$AC$76)/MAX(0.0001,$AC$77-$AC$76)-(N397-$AC$78)/MAX(0.0001,$AC$79-$AC$78)),-1)</f>
        <v/>
      </c>
      <c r="T397" s="14">
        <f>IF(G397,O397,NA())</f>
        <v/>
      </c>
      <c r="U397" s="13">
        <f>IF(G397,N397,NA())</f>
        <v/>
      </c>
      <c r="V397" s="14">
        <f>IF(R397,O397,NA())</f>
        <v/>
      </c>
      <c r="W397" s="13">
        <f>IF(R397,N397,NA())</f>
        <v/>
      </c>
      <c r="X397" s="27">
        <f>IF(G397,P397,"")</f>
        <v/>
      </c>
      <c r="Y397" s="27">
        <f>IF(G397,N397,"")</f>
        <v/>
      </c>
      <c r="Z397" s="27">
        <f>IF(R397,O397,"")</f>
        <v/>
      </c>
      <c r="AA397" s="27">
        <f>IF(R397,N397,"")</f>
        <v/>
      </c>
    </row>
    <row r="398">
      <c r="A398" s="31" t="n">
        <v>0</v>
      </c>
      <c r="B398" s="31" t="n">
        <v>0.9</v>
      </c>
      <c r="C398" s="31" t="n">
        <v>0.1</v>
      </c>
      <c r="D398" s="31" t="n">
        <v>0</v>
      </c>
      <c r="E398" s="27" t="inlineStr">
        <is>
          <t>1M 90%/2M 10%</t>
        </is>
      </c>
      <c r="F398" s="27" t="n">
        <v>50</v>
      </c>
      <c r="G398" s="27">
        <f>A398*$B$7&gt;=$B$9</f>
        <v/>
      </c>
      <c r="H398" s="13">
        <f>$B$7*(A398*E$71+B398*F$71+C398*G$71+D398*H$71)+F398/100*$B$7*J$71-$C$71</f>
        <v/>
      </c>
      <c r="I398" s="13">
        <f>$B$7*(A398*L$71+B398*M$71+C398*N$71+D398*O$71)+F398/100*$B$7*Q$71-$C$71</f>
        <v/>
      </c>
      <c r="J398" s="13">
        <f>$B$7*(A398*S$71+B398*T$71+C398*U$71+D398*V$71)+F398/100*$B$7*X$71-$C$71</f>
        <v/>
      </c>
      <c r="K398" s="13">
        <f>$B$7*(A398*Z$71+B398*AA$71+C398*AB$71+D398*AC$71)+F398/100*$B$7*AE$71-$C$71</f>
        <v/>
      </c>
      <c r="L398" s="13">
        <f>$B$7*(A398*AG$71+B398*AH$71+C398*AI$71+D398*AJ$71)+F398/100*$B$7*AL$71-$C$71</f>
        <v/>
      </c>
      <c r="M398" s="13">
        <f>$B$7*(A398*AN$71+B398*AO$71+C398*AP$71+D398*AQ$71)+F398/100*$B$7*AS$71-$C$71</f>
        <v/>
      </c>
      <c r="N398" s="13">
        <f>SUMPRODUCT($H$24:$M$24,H398:M398)</f>
        <v/>
      </c>
      <c r="O398" s="14">
        <f>SQRT(SUMPRODUCT($H$24:$M$24,(H398:M398-N398)^2))</f>
        <v/>
      </c>
      <c r="P398" s="13">
        <f>MIN(H398:M398)</f>
        <v/>
      </c>
      <c r="Q398" s="13">
        <f>MAX(H398:M398)</f>
        <v/>
      </c>
      <c r="R398" s="27">
        <f>IF(G398,SUMPRODUCT(($G$76:$G$1505)*($N$76:$N$1505&gt;=N398)*($O$76:$O$1505&lt;=O398))=1,FALSE)</f>
        <v/>
      </c>
      <c r="S398" s="16">
        <f>IF(R398,ABS((O398-$AC$76)/MAX(0.0001,$AC$77-$AC$76)-(N398-$AC$78)/MAX(0.0001,$AC$79-$AC$78)),-1)</f>
        <v/>
      </c>
      <c r="T398" s="14">
        <f>IF(G398,O398,NA())</f>
        <v/>
      </c>
      <c r="U398" s="13">
        <f>IF(G398,N398,NA())</f>
        <v/>
      </c>
      <c r="V398" s="14">
        <f>IF(R398,O398,NA())</f>
        <v/>
      </c>
      <c r="W398" s="13">
        <f>IF(R398,N398,NA())</f>
        <v/>
      </c>
      <c r="X398" s="27">
        <f>IF(G398,P398,"")</f>
        <v/>
      </c>
      <c r="Y398" s="27">
        <f>IF(G398,N398,"")</f>
        <v/>
      </c>
      <c r="Z398" s="27">
        <f>IF(R398,O398,"")</f>
        <v/>
      </c>
      <c r="AA398" s="27">
        <f>IF(R398,N398,"")</f>
        <v/>
      </c>
    </row>
    <row r="399">
      <c r="A399" s="31" t="n">
        <v>0</v>
      </c>
      <c r="B399" s="31" t="n">
        <v>0.9</v>
      </c>
      <c r="C399" s="31" t="n">
        <v>0.1</v>
      </c>
      <c r="D399" s="31" t="n">
        <v>0</v>
      </c>
      <c r="E399" s="27" t="inlineStr">
        <is>
          <t>1M 90%/2M 10%</t>
        </is>
      </c>
      <c r="F399" s="27" t="n">
        <v>75</v>
      </c>
      <c r="G399" s="27">
        <f>A399*$B$7&gt;=$B$9</f>
        <v/>
      </c>
      <c r="H399" s="13">
        <f>$B$7*(A399*E$71+B399*F$71+C399*G$71+D399*H$71)+F399/100*$B$7*J$71-$C$71</f>
        <v/>
      </c>
      <c r="I399" s="13">
        <f>$B$7*(A399*L$71+B399*M$71+C399*N$71+D399*O$71)+F399/100*$B$7*Q$71-$C$71</f>
        <v/>
      </c>
      <c r="J399" s="13">
        <f>$B$7*(A399*S$71+B399*T$71+C399*U$71+D399*V$71)+F399/100*$B$7*X$71-$C$71</f>
        <v/>
      </c>
      <c r="K399" s="13">
        <f>$B$7*(A399*Z$71+B399*AA$71+C399*AB$71+D399*AC$71)+F399/100*$B$7*AE$71-$C$71</f>
        <v/>
      </c>
      <c r="L399" s="13">
        <f>$B$7*(A399*AG$71+B399*AH$71+C399*AI$71+D399*AJ$71)+F399/100*$B$7*AL$71-$C$71</f>
        <v/>
      </c>
      <c r="M399" s="13">
        <f>$B$7*(A399*AN$71+B399*AO$71+C399*AP$71+D399*AQ$71)+F399/100*$B$7*AS$71-$C$71</f>
        <v/>
      </c>
      <c r="N399" s="13">
        <f>SUMPRODUCT($H$24:$M$24,H399:M399)</f>
        <v/>
      </c>
      <c r="O399" s="14">
        <f>SQRT(SUMPRODUCT($H$24:$M$24,(H399:M399-N399)^2))</f>
        <v/>
      </c>
      <c r="P399" s="13">
        <f>MIN(H399:M399)</f>
        <v/>
      </c>
      <c r="Q399" s="13">
        <f>MAX(H399:M399)</f>
        <v/>
      </c>
      <c r="R399" s="27">
        <f>IF(G399,SUMPRODUCT(($G$76:$G$1505)*($N$76:$N$1505&gt;=N399)*($O$76:$O$1505&lt;=O399))=1,FALSE)</f>
        <v/>
      </c>
      <c r="S399" s="16">
        <f>IF(R399,ABS((O399-$AC$76)/MAX(0.0001,$AC$77-$AC$76)-(N399-$AC$78)/MAX(0.0001,$AC$79-$AC$78)),-1)</f>
        <v/>
      </c>
      <c r="T399" s="14">
        <f>IF(G399,O399,NA())</f>
        <v/>
      </c>
      <c r="U399" s="13">
        <f>IF(G399,N399,NA())</f>
        <v/>
      </c>
      <c r="V399" s="14">
        <f>IF(R399,O399,NA())</f>
        <v/>
      </c>
      <c r="W399" s="13">
        <f>IF(R399,N399,NA())</f>
        <v/>
      </c>
      <c r="X399" s="27">
        <f>IF(G399,P399,"")</f>
        <v/>
      </c>
      <c r="Y399" s="27">
        <f>IF(G399,N399,"")</f>
        <v/>
      </c>
      <c r="Z399" s="27">
        <f>IF(R399,O399,"")</f>
        <v/>
      </c>
      <c r="AA399" s="27">
        <f>IF(R399,N399,"")</f>
        <v/>
      </c>
    </row>
    <row r="400">
      <c r="A400" s="31" t="n">
        <v>0</v>
      </c>
      <c r="B400" s="31" t="n">
        <v>0.9</v>
      </c>
      <c r="C400" s="31" t="n">
        <v>0.1</v>
      </c>
      <c r="D400" s="31" t="n">
        <v>0</v>
      </c>
      <c r="E400" s="27" t="inlineStr">
        <is>
          <t>1M 90%/2M 10%</t>
        </is>
      </c>
      <c r="F400" s="27" t="n">
        <v>100</v>
      </c>
      <c r="G400" s="27">
        <f>A400*$B$7&gt;=$B$9</f>
        <v/>
      </c>
      <c r="H400" s="13">
        <f>$B$7*(A400*E$71+B400*F$71+C400*G$71+D400*H$71)+F400/100*$B$7*J$71-$C$71</f>
        <v/>
      </c>
      <c r="I400" s="13">
        <f>$B$7*(A400*L$71+B400*M$71+C400*N$71+D400*O$71)+F400/100*$B$7*Q$71-$C$71</f>
        <v/>
      </c>
      <c r="J400" s="13">
        <f>$B$7*(A400*S$71+B400*T$71+C400*U$71+D400*V$71)+F400/100*$B$7*X$71-$C$71</f>
        <v/>
      </c>
      <c r="K400" s="13">
        <f>$B$7*(A400*Z$71+B400*AA$71+C400*AB$71+D400*AC$71)+F400/100*$B$7*AE$71-$C$71</f>
        <v/>
      </c>
      <c r="L400" s="13">
        <f>$B$7*(A400*AG$71+B400*AH$71+C400*AI$71+D400*AJ$71)+F400/100*$B$7*AL$71-$C$71</f>
        <v/>
      </c>
      <c r="M400" s="13">
        <f>$B$7*(A400*AN$71+B400*AO$71+C400*AP$71+D400*AQ$71)+F400/100*$B$7*AS$71-$C$71</f>
        <v/>
      </c>
      <c r="N400" s="13">
        <f>SUMPRODUCT($H$24:$M$24,H400:M400)</f>
        <v/>
      </c>
      <c r="O400" s="14">
        <f>SQRT(SUMPRODUCT($H$24:$M$24,(H400:M400-N400)^2))</f>
        <v/>
      </c>
      <c r="P400" s="13">
        <f>MIN(H400:M400)</f>
        <v/>
      </c>
      <c r="Q400" s="13">
        <f>MAX(H400:M400)</f>
        <v/>
      </c>
      <c r="R400" s="27">
        <f>IF(G400,SUMPRODUCT(($G$76:$G$1505)*($N$76:$N$1505&gt;=N400)*($O$76:$O$1505&lt;=O400))=1,FALSE)</f>
        <v/>
      </c>
      <c r="S400" s="16">
        <f>IF(R400,ABS((O400-$AC$76)/MAX(0.0001,$AC$77-$AC$76)-(N400-$AC$78)/MAX(0.0001,$AC$79-$AC$78)),-1)</f>
        <v/>
      </c>
      <c r="T400" s="14">
        <f>IF(G400,O400,NA())</f>
        <v/>
      </c>
      <c r="U400" s="13">
        <f>IF(G400,N400,NA())</f>
        <v/>
      </c>
      <c r="V400" s="14">
        <f>IF(R400,O400,NA())</f>
        <v/>
      </c>
      <c r="W400" s="13">
        <f>IF(R400,N400,NA())</f>
        <v/>
      </c>
      <c r="X400" s="27">
        <f>IF(G400,P400,"")</f>
        <v/>
      </c>
      <c r="Y400" s="27">
        <f>IF(G400,N400,"")</f>
        <v/>
      </c>
      <c r="Z400" s="27">
        <f>IF(R400,O400,"")</f>
        <v/>
      </c>
      <c r="AA400" s="27">
        <f>IF(R400,N400,"")</f>
        <v/>
      </c>
    </row>
    <row r="401">
      <c r="A401" s="31" t="n">
        <v>0</v>
      </c>
      <c r="B401" s="31" t="n">
        <v>1</v>
      </c>
      <c r="C401" s="31" t="n">
        <v>0</v>
      </c>
      <c r="D401" s="31" t="n">
        <v>0</v>
      </c>
      <c r="E401" s="27" t="inlineStr">
        <is>
          <t>1M 100%</t>
        </is>
      </c>
      <c r="F401" s="27" t="n">
        <v>0</v>
      </c>
      <c r="G401" s="27">
        <f>A401*$B$7&gt;=$B$9</f>
        <v/>
      </c>
      <c r="H401" s="13">
        <f>$B$7*(A401*E$71+B401*F$71+C401*G$71+D401*H$71)+F401/100*$B$7*J$71-$C$71</f>
        <v/>
      </c>
      <c r="I401" s="13">
        <f>$B$7*(A401*L$71+B401*M$71+C401*N$71+D401*O$71)+F401/100*$B$7*Q$71-$C$71</f>
        <v/>
      </c>
      <c r="J401" s="13">
        <f>$B$7*(A401*S$71+B401*T$71+C401*U$71+D401*V$71)+F401/100*$B$7*X$71-$C$71</f>
        <v/>
      </c>
      <c r="K401" s="13">
        <f>$B$7*(A401*Z$71+B401*AA$71+C401*AB$71+D401*AC$71)+F401/100*$B$7*AE$71-$C$71</f>
        <v/>
      </c>
      <c r="L401" s="13">
        <f>$B$7*(A401*AG$71+B401*AH$71+C401*AI$71+D401*AJ$71)+F401/100*$B$7*AL$71-$C$71</f>
        <v/>
      </c>
      <c r="M401" s="13">
        <f>$B$7*(A401*AN$71+B401*AO$71+C401*AP$71+D401*AQ$71)+F401/100*$B$7*AS$71-$C$71</f>
        <v/>
      </c>
      <c r="N401" s="13">
        <f>SUMPRODUCT($H$24:$M$24,H401:M401)</f>
        <v/>
      </c>
      <c r="O401" s="14">
        <f>SQRT(SUMPRODUCT($H$24:$M$24,(H401:M401-N401)^2))</f>
        <v/>
      </c>
      <c r="P401" s="13">
        <f>MIN(H401:M401)</f>
        <v/>
      </c>
      <c r="Q401" s="13">
        <f>MAX(H401:M401)</f>
        <v/>
      </c>
      <c r="R401" s="27">
        <f>IF(G401,SUMPRODUCT(($G$76:$G$1505)*($N$76:$N$1505&gt;=N401)*($O$76:$O$1505&lt;=O401))=1,FALSE)</f>
        <v/>
      </c>
      <c r="S401" s="16">
        <f>IF(R401,ABS((O401-$AC$76)/MAX(0.0001,$AC$77-$AC$76)-(N401-$AC$78)/MAX(0.0001,$AC$79-$AC$78)),-1)</f>
        <v/>
      </c>
      <c r="T401" s="14">
        <f>IF(G401,O401,NA())</f>
        <v/>
      </c>
      <c r="U401" s="13">
        <f>IF(G401,N401,NA())</f>
        <v/>
      </c>
      <c r="V401" s="14">
        <f>IF(R401,O401,NA())</f>
        <v/>
      </c>
      <c r="W401" s="13">
        <f>IF(R401,N401,NA())</f>
        <v/>
      </c>
      <c r="X401" s="27">
        <f>IF(G401,P401,"")</f>
        <v/>
      </c>
      <c r="Y401" s="27">
        <f>IF(G401,N401,"")</f>
        <v/>
      </c>
      <c r="Z401" s="27">
        <f>IF(R401,O401,"")</f>
        <v/>
      </c>
      <c r="AA401" s="27">
        <f>IF(R401,N401,"")</f>
        <v/>
      </c>
    </row>
    <row r="402">
      <c r="A402" s="31" t="n">
        <v>0</v>
      </c>
      <c r="B402" s="31" t="n">
        <v>1</v>
      </c>
      <c r="C402" s="31" t="n">
        <v>0</v>
      </c>
      <c r="D402" s="31" t="n">
        <v>0</v>
      </c>
      <c r="E402" s="27" t="inlineStr">
        <is>
          <t>1M 100%</t>
        </is>
      </c>
      <c r="F402" s="27" t="n">
        <v>25</v>
      </c>
      <c r="G402" s="27">
        <f>A402*$B$7&gt;=$B$9</f>
        <v/>
      </c>
      <c r="H402" s="13">
        <f>$B$7*(A402*E$71+B402*F$71+C402*G$71+D402*H$71)+F402/100*$B$7*J$71-$C$71</f>
        <v/>
      </c>
      <c r="I402" s="13">
        <f>$B$7*(A402*L$71+B402*M$71+C402*N$71+D402*O$71)+F402/100*$B$7*Q$71-$C$71</f>
        <v/>
      </c>
      <c r="J402" s="13">
        <f>$B$7*(A402*S$71+B402*T$71+C402*U$71+D402*V$71)+F402/100*$B$7*X$71-$C$71</f>
        <v/>
      </c>
      <c r="K402" s="13">
        <f>$B$7*(A402*Z$71+B402*AA$71+C402*AB$71+D402*AC$71)+F402/100*$B$7*AE$71-$C$71</f>
        <v/>
      </c>
      <c r="L402" s="13">
        <f>$B$7*(A402*AG$71+B402*AH$71+C402*AI$71+D402*AJ$71)+F402/100*$B$7*AL$71-$C$71</f>
        <v/>
      </c>
      <c r="M402" s="13">
        <f>$B$7*(A402*AN$71+B402*AO$71+C402*AP$71+D402*AQ$71)+F402/100*$B$7*AS$71-$C$71</f>
        <v/>
      </c>
      <c r="N402" s="13">
        <f>SUMPRODUCT($H$24:$M$24,H402:M402)</f>
        <v/>
      </c>
      <c r="O402" s="14">
        <f>SQRT(SUMPRODUCT($H$24:$M$24,(H402:M402-N402)^2))</f>
        <v/>
      </c>
      <c r="P402" s="13">
        <f>MIN(H402:M402)</f>
        <v/>
      </c>
      <c r="Q402" s="13">
        <f>MAX(H402:M402)</f>
        <v/>
      </c>
      <c r="R402" s="27">
        <f>IF(G402,SUMPRODUCT(($G$76:$G$1505)*($N$76:$N$1505&gt;=N402)*($O$76:$O$1505&lt;=O402))=1,FALSE)</f>
        <v/>
      </c>
      <c r="S402" s="16">
        <f>IF(R402,ABS((O402-$AC$76)/MAX(0.0001,$AC$77-$AC$76)-(N402-$AC$78)/MAX(0.0001,$AC$79-$AC$78)),-1)</f>
        <v/>
      </c>
      <c r="T402" s="14">
        <f>IF(G402,O402,NA())</f>
        <v/>
      </c>
      <c r="U402" s="13">
        <f>IF(G402,N402,NA())</f>
        <v/>
      </c>
      <c r="V402" s="14">
        <f>IF(R402,O402,NA())</f>
        <v/>
      </c>
      <c r="W402" s="13">
        <f>IF(R402,N402,NA())</f>
        <v/>
      </c>
      <c r="X402" s="27">
        <f>IF(G402,P402,"")</f>
        <v/>
      </c>
      <c r="Y402" s="27">
        <f>IF(G402,N402,"")</f>
        <v/>
      </c>
      <c r="Z402" s="27">
        <f>IF(R402,O402,"")</f>
        <v/>
      </c>
      <c r="AA402" s="27">
        <f>IF(R402,N402,"")</f>
        <v/>
      </c>
    </row>
    <row r="403">
      <c r="A403" s="31" t="n">
        <v>0</v>
      </c>
      <c r="B403" s="31" t="n">
        <v>1</v>
      </c>
      <c r="C403" s="31" t="n">
        <v>0</v>
      </c>
      <c r="D403" s="31" t="n">
        <v>0</v>
      </c>
      <c r="E403" s="27" t="inlineStr">
        <is>
          <t>1M 100%</t>
        </is>
      </c>
      <c r="F403" s="27" t="n">
        <v>50</v>
      </c>
      <c r="G403" s="27">
        <f>A403*$B$7&gt;=$B$9</f>
        <v/>
      </c>
      <c r="H403" s="13">
        <f>$B$7*(A403*E$71+B403*F$71+C403*G$71+D403*H$71)+F403/100*$B$7*J$71-$C$71</f>
        <v/>
      </c>
      <c r="I403" s="13">
        <f>$B$7*(A403*L$71+B403*M$71+C403*N$71+D403*O$71)+F403/100*$B$7*Q$71-$C$71</f>
        <v/>
      </c>
      <c r="J403" s="13">
        <f>$B$7*(A403*S$71+B403*T$71+C403*U$71+D403*V$71)+F403/100*$B$7*X$71-$C$71</f>
        <v/>
      </c>
      <c r="K403" s="13">
        <f>$B$7*(A403*Z$71+B403*AA$71+C403*AB$71+D403*AC$71)+F403/100*$B$7*AE$71-$C$71</f>
        <v/>
      </c>
      <c r="L403" s="13">
        <f>$B$7*(A403*AG$71+B403*AH$71+C403*AI$71+D403*AJ$71)+F403/100*$B$7*AL$71-$C$71</f>
        <v/>
      </c>
      <c r="M403" s="13">
        <f>$B$7*(A403*AN$71+B403*AO$71+C403*AP$71+D403*AQ$71)+F403/100*$B$7*AS$71-$C$71</f>
        <v/>
      </c>
      <c r="N403" s="13">
        <f>SUMPRODUCT($H$24:$M$24,H403:M403)</f>
        <v/>
      </c>
      <c r="O403" s="14">
        <f>SQRT(SUMPRODUCT($H$24:$M$24,(H403:M403-N403)^2))</f>
        <v/>
      </c>
      <c r="P403" s="13">
        <f>MIN(H403:M403)</f>
        <v/>
      </c>
      <c r="Q403" s="13">
        <f>MAX(H403:M403)</f>
        <v/>
      </c>
      <c r="R403" s="27">
        <f>IF(G403,SUMPRODUCT(($G$76:$G$1505)*($N$76:$N$1505&gt;=N403)*($O$76:$O$1505&lt;=O403))=1,FALSE)</f>
        <v/>
      </c>
      <c r="S403" s="16">
        <f>IF(R403,ABS((O403-$AC$76)/MAX(0.0001,$AC$77-$AC$76)-(N403-$AC$78)/MAX(0.0001,$AC$79-$AC$78)),-1)</f>
        <v/>
      </c>
      <c r="T403" s="14">
        <f>IF(G403,O403,NA())</f>
        <v/>
      </c>
      <c r="U403" s="13">
        <f>IF(G403,N403,NA())</f>
        <v/>
      </c>
      <c r="V403" s="14">
        <f>IF(R403,O403,NA())</f>
        <v/>
      </c>
      <c r="W403" s="13">
        <f>IF(R403,N403,NA())</f>
        <v/>
      </c>
      <c r="X403" s="27">
        <f>IF(G403,P403,"")</f>
        <v/>
      </c>
      <c r="Y403" s="27">
        <f>IF(G403,N403,"")</f>
        <v/>
      </c>
      <c r="Z403" s="27">
        <f>IF(R403,O403,"")</f>
        <v/>
      </c>
      <c r="AA403" s="27">
        <f>IF(R403,N403,"")</f>
        <v/>
      </c>
    </row>
    <row r="404">
      <c r="A404" s="31" t="n">
        <v>0</v>
      </c>
      <c r="B404" s="31" t="n">
        <v>1</v>
      </c>
      <c r="C404" s="31" t="n">
        <v>0</v>
      </c>
      <c r="D404" s="31" t="n">
        <v>0</v>
      </c>
      <c r="E404" s="27" t="inlineStr">
        <is>
          <t>1M 100%</t>
        </is>
      </c>
      <c r="F404" s="27" t="n">
        <v>75</v>
      </c>
      <c r="G404" s="27">
        <f>A404*$B$7&gt;=$B$9</f>
        <v/>
      </c>
      <c r="H404" s="13">
        <f>$B$7*(A404*E$71+B404*F$71+C404*G$71+D404*H$71)+F404/100*$B$7*J$71-$C$71</f>
        <v/>
      </c>
      <c r="I404" s="13">
        <f>$B$7*(A404*L$71+B404*M$71+C404*N$71+D404*O$71)+F404/100*$B$7*Q$71-$C$71</f>
        <v/>
      </c>
      <c r="J404" s="13">
        <f>$B$7*(A404*S$71+B404*T$71+C404*U$71+D404*V$71)+F404/100*$B$7*X$71-$C$71</f>
        <v/>
      </c>
      <c r="K404" s="13">
        <f>$B$7*(A404*Z$71+B404*AA$71+C404*AB$71+D404*AC$71)+F404/100*$B$7*AE$71-$C$71</f>
        <v/>
      </c>
      <c r="L404" s="13">
        <f>$B$7*(A404*AG$71+B404*AH$71+C404*AI$71+D404*AJ$71)+F404/100*$B$7*AL$71-$C$71</f>
        <v/>
      </c>
      <c r="M404" s="13">
        <f>$B$7*(A404*AN$71+B404*AO$71+C404*AP$71+D404*AQ$71)+F404/100*$B$7*AS$71-$C$71</f>
        <v/>
      </c>
      <c r="N404" s="13">
        <f>SUMPRODUCT($H$24:$M$24,H404:M404)</f>
        <v/>
      </c>
      <c r="O404" s="14">
        <f>SQRT(SUMPRODUCT($H$24:$M$24,(H404:M404-N404)^2))</f>
        <v/>
      </c>
      <c r="P404" s="13">
        <f>MIN(H404:M404)</f>
        <v/>
      </c>
      <c r="Q404" s="13">
        <f>MAX(H404:M404)</f>
        <v/>
      </c>
      <c r="R404" s="27">
        <f>IF(G404,SUMPRODUCT(($G$76:$G$1505)*($N$76:$N$1505&gt;=N404)*($O$76:$O$1505&lt;=O404))=1,FALSE)</f>
        <v/>
      </c>
      <c r="S404" s="16">
        <f>IF(R404,ABS((O404-$AC$76)/MAX(0.0001,$AC$77-$AC$76)-(N404-$AC$78)/MAX(0.0001,$AC$79-$AC$78)),-1)</f>
        <v/>
      </c>
      <c r="T404" s="14">
        <f>IF(G404,O404,NA())</f>
        <v/>
      </c>
      <c r="U404" s="13">
        <f>IF(G404,N404,NA())</f>
        <v/>
      </c>
      <c r="V404" s="14">
        <f>IF(R404,O404,NA())</f>
        <v/>
      </c>
      <c r="W404" s="13">
        <f>IF(R404,N404,NA())</f>
        <v/>
      </c>
      <c r="X404" s="27">
        <f>IF(G404,P404,"")</f>
        <v/>
      </c>
      <c r="Y404" s="27">
        <f>IF(G404,N404,"")</f>
        <v/>
      </c>
      <c r="Z404" s="27">
        <f>IF(R404,O404,"")</f>
        <v/>
      </c>
      <c r="AA404" s="27">
        <f>IF(R404,N404,"")</f>
        <v/>
      </c>
    </row>
    <row r="405">
      <c r="A405" s="31" t="n">
        <v>0</v>
      </c>
      <c r="B405" s="31" t="n">
        <v>1</v>
      </c>
      <c r="C405" s="31" t="n">
        <v>0</v>
      </c>
      <c r="D405" s="31" t="n">
        <v>0</v>
      </c>
      <c r="E405" s="27" t="inlineStr">
        <is>
          <t>1M 100%</t>
        </is>
      </c>
      <c r="F405" s="27" t="n">
        <v>100</v>
      </c>
      <c r="G405" s="27">
        <f>A405*$B$7&gt;=$B$9</f>
        <v/>
      </c>
      <c r="H405" s="13">
        <f>$B$7*(A405*E$71+B405*F$71+C405*G$71+D405*H$71)+F405/100*$B$7*J$71-$C$71</f>
        <v/>
      </c>
      <c r="I405" s="13">
        <f>$B$7*(A405*L$71+B405*M$71+C405*N$71+D405*O$71)+F405/100*$B$7*Q$71-$C$71</f>
        <v/>
      </c>
      <c r="J405" s="13">
        <f>$B$7*(A405*S$71+B405*T$71+C405*U$71+D405*V$71)+F405/100*$B$7*X$71-$C$71</f>
        <v/>
      </c>
      <c r="K405" s="13">
        <f>$B$7*(A405*Z$71+B405*AA$71+C405*AB$71+D405*AC$71)+F405/100*$B$7*AE$71-$C$71</f>
        <v/>
      </c>
      <c r="L405" s="13">
        <f>$B$7*(A405*AG$71+B405*AH$71+C405*AI$71+D405*AJ$71)+F405/100*$B$7*AL$71-$C$71</f>
        <v/>
      </c>
      <c r="M405" s="13">
        <f>$B$7*(A405*AN$71+B405*AO$71+C405*AP$71+D405*AQ$71)+F405/100*$B$7*AS$71-$C$71</f>
        <v/>
      </c>
      <c r="N405" s="13">
        <f>SUMPRODUCT($H$24:$M$24,H405:M405)</f>
        <v/>
      </c>
      <c r="O405" s="14">
        <f>SQRT(SUMPRODUCT($H$24:$M$24,(H405:M405-N405)^2))</f>
        <v/>
      </c>
      <c r="P405" s="13">
        <f>MIN(H405:M405)</f>
        <v/>
      </c>
      <c r="Q405" s="13">
        <f>MAX(H405:M405)</f>
        <v/>
      </c>
      <c r="R405" s="27">
        <f>IF(G405,SUMPRODUCT(($G$76:$G$1505)*($N$76:$N$1505&gt;=N405)*($O$76:$O$1505&lt;=O405))=1,FALSE)</f>
        <v/>
      </c>
      <c r="S405" s="16">
        <f>IF(R405,ABS((O405-$AC$76)/MAX(0.0001,$AC$77-$AC$76)-(N405-$AC$78)/MAX(0.0001,$AC$79-$AC$78)),-1)</f>
        <v/>
      </c>
      <c r="T405" s="14">
        <f>IF(G405,O405,NA())</f>
        <v/>
      </c>
      <c r="U405" s="13">
        <f>IF(G405,N405,NA())</f>
        <v/>
      </c>
      <c r="V405" s="14">
        <f>IF(R405,O405,NA())</f>
        <v/>
      </c>
      <c r="W405" s="13">
        <f>IF(R405,N405,NA())</f>
        <v/>
      </c>
      <c r="X405" s="27">
        <f>IF(G405,P405,"")</f>
        <v/>
      </c>
      <c r="Y405" s="27">
        <f>IF(G405,N405,"")</f>
        <v/>
      </c>
      <c r="Z405" s="27">
        <f>IF(R405,O405,"")</f>
        <v/>
      </c>
      <c r="AA405" s="27">
        <f>IF(R405,N405,"")</f>
        <v/>
      </c>
    </row>
    <row r="406">
      <c r="A406" s="31" t="n">
        <v>0.1</v>
      </c>
      <c r="B406" s="31" t="n">
        <v>0</v>
      </c>
      <c r="C406" s="31" t="n">
        <v>0</v>
      </c>
      <c r="D406" s="31" t="n">
        <v>0.9</v>
      </c>
      <c r="E406" s="27" t="inlineStr">
        <is>
          <t>ON 10%/3M 90%</t>
        </is>
      </c>
      <c r="F406" s="27" t="n">
        <v>0</v>
      </c>
      <c r="G406" s="27">
        <f>A406*$B$7&gt;=$B$9</f>
        <v/>
      </c>
      <c r="H406" s="13">
        <f>$B$7*(A406*E$71+B406*F$71+C406*G$71+D406*H$71)+F406/100*$B$7*J$71-$C$71</f>
        <v/>
      </c>
      <c r="I406" s="13">
        <f>$B$7*(A406*L$71+B406*M$71+C406*N$71+D406*O$71)+F406/100*$B$7*Q$71-$C$71</f>
        <v/>
      </c>
      <c r="J406" s="13">
        <f>$B$7*(A406*S$71+B406*T$71+C406*U$71+D406*V$71)+F406/100*$B$7*X$71-$C$71</f>
        <v/>
      </c>
      <c r="K406" s="13">
        <f>$B$7*(A406*Z$71+B406*AA$71+C406*AB$71+D406*AC$71)+F406/100*$B$7*AE$71-$C$71</f>
        <v/>
      </c>
      <c r="L406" s="13">
        <f>$B$7*(A406*AG$71+B406*AH$71+C406*AI$71+D406*AJ$71)+F406/100*$B$7*AL$71-$C$71</f>
        <v/>
      </c>
      <c r="M406" s="13">
        <f>$B$7*(A406*AN$71+B406*AO$71+C406*AP$71+D406*AQ$71)+F406/100*$B$7*AS$71-$C$71</f>
        <v/>
      </c>
      <c r="N406" s="13">
        <f>SUMPRODUCT($H$24:$M$24,H406:M406)</f>
        <v/>
      </c>
      <c r="O406" s="14">
        <f>SQRT(SUMPRODUCT($H$24:$M$24,(H406:M406-N406)^2))</f>
        <v/>
      </c>
      <c r="P406" s="13">
        <f>MIN(H406:M406)</f>
        <v/>
      </c>
      <c r="Q406" s="13">
        <f>MAX(H406:M406)</f>
        <v/>
      </c>
      <c r="R406" s="27">
        <f>IF(G406,SUMPRODUCT(($G$76:$G$1505)*($N$76:$N$1505&gt;=N406)*($O$76:$O$1505&lt;=O406))=1,FALSE)</f>
        <v/>
      </c>
      <c r="S406" s="16">
        <f>IF(R406,ABS((O406-$AC$76)/MAX(0.0001,$AC$77-$AC$76)-(N406-$AC$78)/MAX(0.0001,$AC$79-$AC$78)),-1)</f>
        <v/>
      </c>
      <c r="T406" s="14">
        <f>IF(G406,O406,NA())</f>
        <v/>
      </c>
      <c r="U406" s="13">
        <f>IF(G406,N406,NA())</f>
        <v/>
      </c>
      <c r="V406" s="14">
        <f>IF(R406,O406,NA())</f>
        <v/>
      </c>
      <c r="W406" s="13">
        <f>IF(R406,N406,NA())</f>
        <v/>
      </c>
      <c r="X406" s="27">
        <f>IF(G406,P406,"")</f>
        <v/>
      </c>
      <c r="Y406" s="27">
        <f>IF(G406,N406,"")</f>
        <v/>
      </c>
      <c r="Z406" s="27">
        <f>IF(R406,O406,"")</f>
        <v/>
      </c>
      <c r="AA406" s="27">
        <f>IF(R406,N406,"")</f>
        <v/>
      </c>
    </row>
    <row r="407">
      <c r="A407" s="31" t="n">
        <v>0.1</v>
      </c>
      <c r="B407" s="31" t="n">
        <v>0</v>
      </c>
      <c r="C407" s="31" t="n">
        <v>0</v>
      </c>
      <c r="D407" s="31" t="n">
        <v>0.9</v>
      </c>
      <c r="E407" s="27" t="inlineStr">
        <is>
          <t>ON 10%/3M 90%</t>
        </is>
      </c>
      <c r="F407" s="27" t="n">
        <v>25</v>
      </c>
      <c r="G407" s="27">
        <f>A407*$B$7&gt;=$B$9</f>
        <v/>
      </c>
      <c r="H407" s="13">
        <f>$B$7*(A407*E$71+B407*F$71+C407*G$71+D407*H$71)+F407/100*$B$7*J$71-$C$71</f>
        <v/>
      </c>
      <c r="I407" s="13">
        <f>$B$7*(A407*L$71+B407*M$71+C407*N$71+D407*O$71)+F407/100*$B$7*Q$71-$C$71</f>
        <v/>
      </c>
      <c r="J407" s="13">
        <f>$B$7*(A407*S$71+B407*T$71+C407*U$71+D407*V$71)+F407/100*$B$7*X$71-$C$71</f>
        <v/>
      </c>
      <c r="K407" s="13">
        <f>$B$7*(A407*Z$71+B407*AA$71+C407*AB$71+D407*AC$71)+F407/100*$B$7*AE$71-$C$71</f>
        <v/>
      </c>
      <c r="L407" s="13">
        <f>$B$7*(A407*AG$71+B407*AH$71+C407*AI$71+D407*AJ$71)+F407/100*$B$7*AL$71-$C$71</f>
        <v/>
      </c>
      <c r="M407" s="13">
        <f>$B$7*(A407*AN$71+B407*AO$71+C407*AP$71+D407*AQ$71)+F407/100*$B$7*AS$71-$C$71</f>
        <v/>
      </c>
      <c r="N407" s="13">
        <f>SUMPRODUCT($H$24:$M$24,H407:M407)</f>
        <v/>
      </c>
      <c r="O407" s="14">
        <f>SQRT(SUMPRODUCT($H$24:$M$24,(H407:M407-N407)^2))</f>
        <v/>
      </c>
      <c r="P407" s="13">
        <f>MIN(H407:M407)</f>
        <v/>
      </c>
      <c r="Q407" s="13">
        <f>MAX(H407:M407)</f>
        <v/>
      </c>
      <c r="R407" s="27">
        <f>IF(G407,SUMPRODUCT(($G$76:$G$1505)*($N$76:$N$1505&gt;=N407)*($O$76:$O$1505&lt;=O407))=1,FALSE)</f>
        <v/>
      </c>
      <c r="S407" s="16">
        <f>IF(R407,ABS((O407-$AC$76)/MAX(0.0001,$AC$77-$AC$76)-(N407-$AC$78)/MAX(0.0001,$AC$79-$AC$78)),-1)</f>
        <v/>
      </c>
      <c r="T407" s="14">
        <f>IF(G407,O407,NA())</f>
        <v/>
      </c>
      <c r="U407" s="13">
        <f>IF(G407,N407,NA())</f>
        <v/>
      </c>
      <c r="V407" s="14">
        <f>IF(R407,O407,NA())</f>
        <v/>
      </c>
      <c r="W407" s="13">
        <f>IF(R407,N407,NA())</f>
        <v/>
      </c>
      <c r="X407" s="27">
        <f>IF(G407,P407,"")</f>
        <v/>
      </c>
      <c r="Y407" s="27">
        <f>IF(G407,N407,"")</f>
        <v/>
      </c>
      <c r="Z407" s="27">
        <f>IF(R407,O407,"")</f>
        <v/>
      </c>
      <c r="AA407" s="27">
        <f>IF(R407,N407,"")</f>
        <v/>
      </c>
    </row>
    <row r="408">
      <c r="A408" s="31" t="n">
        <v>0.1</v>
      </c>
      <c r="B408" s="31" t="n">
        <v>0</v>
      </c>
      <c r="C408" s="31" t="n">
        <v>0</v>
      </c>
      <c r="D408" s="31" t="n">
        <v>0.9</v>
      </c>
      <c r="E408" s="27" t="inlineStr">
        <is>
          <t>ON 10%/3M 90%</t>
        </is>
      </c>
      <c r="F408" s="27" t="n">
        <v>50</v>
      </c>
      <c r="G408" s="27">
        <f>A408*$B$7&gt;=$B$9</f>
        <v/>
      </c>
      <c r="H408" s="13">
        <f>$B$7*(A408*E$71+B408*F$71+C408*G$71+D408*H$71)+F408/100*$B$7*J$71-$C$71</f>
        <v/>
      </c>
      <c r="I408" s="13">
        <f>$B$7*(A408*L$71+B408*M$71+C408*N$71+D408*O$71)+F408/100*$B$7*Q$71-$C$71</f>
        <v/>
      </c>
      <c r="J408" s="13">
        <f>$B$7*(A408*S$71+B408*T$71+C408*U$71+D408*V$71)+F408/100*$B$7*X$71-$C$71</f>
        <v/>
      </c>
      <c r="K408" s="13">
        <f>$B$7*(A408*Z$71+B408*AA$71+C408*AB$71+D408*AC$71)+F408/100*$B$7*AE$71-$C$71</f>
        <v/>
      </c>
      <c r="L408" s="13">
        <f>$B$7*(A408*AG$71+B408*AH$71+C408*AI$71+D408*AJ$71)+F408/100*$B$7*AL$71-$C$71</f>
        <v/>
      </c>
      <c r="M408" s="13">
        <f>$B$7*(A408*AN$71+B408*AO$71+C408*AP$71+D408*AQ$71)+F408/100*$B$7*AS$71-$C$71</f>
        <v/>
      </c>
      <c r="N408" s="13">
        <f>SUMPRODUCT($H$24:$M$24,H408:M408)</f>
        <v/>
      </c>
      <c r="O408" s="14">
        <f>SQRT(SUMPRODUCT($H$24:$M$24,(H408:M408-N408)^2))</f>
        <v/>
      </c>
      <c r="P408" s="13">
        <f>MIN(H408:M408)</f>
        <v/>
      </c>
      <c r="Q408" s="13">
        <f>MAX(H408:M408)</f>
        <v/>
      </c>
      <c r="R408" s="27">
        <f>IF(G408,SUMPRODUCT(($G$76:$G$1505)*($N$76:$N$1505&gt;=N408)*($O$76:$O$1505&lt;=O408))=1,FALSE)</f>
        <v/>
      </c>
      <c r="S408" s="16">
        <f>IF(R408,ABS((O408-$AC$76)/MAX(0.0001,$AC$77-$AC$76)-(N408-$AC$78)/MAX(0.0001,$AC$79-$AC$78)),-1)</f>
        <v/>
      </c>
      <c r="T408" s="14">
        <f>IF(G408,O408,NA())</f>
        <v/>
      </c>
      <c r="U408" s="13">
        <f>IF(G408,N408,NA())</f>
        <v/>
      </c>
      <c r="V408" s="14">
        <f>IF(R408,O408,NA())</f>
        <v/>
      </c>
      <c r="W408" s="13">
        <f>IF(R408,N408,NA())</f>
        <v/>
      </c>
      <c r="X408" s="27">
        <f>IF(G408,P408,"")</f>
        <v/>
      </c>
      <c r="Y408" s="27">
        <f>IF(G408,N408,"")</f>
        <v/>
      </c>
      <c r="Z408" s="27">
        <f>IF(R408,O408,"")</f>
        <v/>
      </c>
      <c r="AA408" s="27">
        <f>IF(R408,N408,"")</f>
        <v/>
      </c>
    </row>
    <row r="409">
      <c r="A409" s="31" t="n">
        <v>0.1</v>
      </c>
      <c r="B409" s="31" t="n">
        <v>0</v>
      </c>
      <c r="C409" s="31" t="n">
        <v>0</v>
      </c>
      <c r="D409" s="31" t="n">
        <v>0.9</v>
      </c>
      <c r="E409" s="27" t="inlineStr">
        <is>
          <t>ON 10%/3M 90%</t>
        </is>
      </c>
      <c r="F409" s="27" t="n">
        <v>75</v>
      </c>
      <c r="G409" s="27">
        <f>A409*$B$7&gt;=$B$9</f>
        <v/>
      </c>
      <c r="H409" s="13">
        <f>$B$7*(A409*E$71+B409*F$71+C409*G$71+D409*H$71)+F409/100*$B$7*J$71-$C$71</f>
        <v/>
      </c>
      <c r="I409" s="13">
        <f>$B$7*(A409*L$71+B409*M$71+C409*N$71+D409*O$71)+F409/100*$B$7*Q$71-$C$71</f>
        <v/>
      </c>
      <c r="J409" s="13">
        <f>$B$7*(A409*S$71+B409*T$71+C409*U$71+D409*V$71)+F409/100*$B$7*X$71-$C$71</f>
        <v/>
      </c>
      <c r="K409" s="13">
        <f>$B$7*(A409*Z$71+B409*AA$71+C409*AB$71+D409*AC$71)+F409/100*$B$7*AE$71-$C$71</f>
        <v/>
      </c>
      <c r="L409" s="13">
        <f>$B$7*(A409*AG$71+B409*AH$71+C409*AI$71+D409*AJ$71)+F409/100*$B$7*AL$71-$C$71</f>
        <v/>
      </c>
      <c r="M409" s="13">
        <f>$B$7*(A409*AN$71+B409*AO$71+C409*AP$71+D409*AQ$71)+F409/100*$B$7*AS$71-$C$71</f>
        <v/>
      </c>
      <c r="N409" s="13">
        <f>SUMPRODUCT($H$24:$M$24,H409:M409)</f>
        <v/>
      </c>
      <c r="O409" s="14">
        <f>SQRT(SUMPRODUCT($H$24:$M$24,(H409:M409-N409)^2))</f>
        <v/>
      </c>
      <c r="P409" s="13">
        <f>MIN(H409:M409)</f>
        <v/>
      </c>
      <c r="Q409" s="13">
        <f>MAX(H409:M409)</f>
        <v/>
      </c>
      <c r="R409" s="27">
        <f>IF(G409,SUMPRODUCT(($G$76:$G$1505)*($N$76:$N$1505&gt;=N409)*($O$76:$O$1505&lt;=O409))=1,FALSE)</f>
        <v/>
      </c>
      <c r="S409" s="16">
        <f>IF(R409,ABS((O409-$AC$76)/MAX(0.0001,$AC$77-$AC$76)-(N409-$AC$78)/MAX(0.0001,$AC$79-$AC$78)),-1)</f>
        <v/>
      </c>
      <c r="T409" s="14">
        <f>IF(G409,O409,NA())</f>
        <v/>
      </c>
      <c r="U409" s="13">
        <f>IF(G409,N409,NA())</f>
        <v/>
      </c>
      <c r="V409" s="14">
        <f>IF(R409,O409,NA())</f>
        <v/>
      </c>
      <c r="W409" s="13">
        <f>IF(R409,N409,NA())</f>
        <v/>
      </c>
      <c r="X409" s="27">
        <f>IF(G409,P409,"")</f>
        <v/>
      </c>
      <c r="Y409" s="27">
        <f>IF(G409,N409,"")</f>
        <v/>
      </c>
      <c r="Z409" s="27">
        <f>IF(R409,O409,"")</f>
        <v/>
      </c>
      <c r="AA409" s="27">
        <f>IF(R409,N409,"")</f>
        <v/>
      </c>
    </row>
    <row r="410">
      <c r="A410" s="31" t="n">
        <v>0.1</v>
      </c>
      <c r="B410" s="31" t="n">
        <v>0</v>
      </c>
      <c r="C410" s="31" t="n">
        <v>0</v>
      </c>
      <c r="D410" s="31" t="n">
        <v>0.9</v>
      </c>
      <c r="E410" s="27" t="inlineStr">
        <is>
          <t>ON 10%/3M 90%</t>
        </is>
      </c>
      <c r="F410" s="27" t="n">
        <v>100</v>
      </c>
      <c r="G410" s="27">
        <f>A410*$B$7&gt;=$B$9</f>
        <v/>
      </c>
      <c r="H410" s="13">
        <f>$B$7*(A410*E$71+B410*F$71+C410*G$71+D410*H$71)+F410/100*$B$7*J$71-$C$71</f>
        <v/>
      </c>
      <c r="I410" s="13">
        <f>$B$7*(A410*L$71+B410*M$71+C410*N$71+D410*O$71)+F410/100*$B$7*Q$71-$C$71</f>
        <v/>
      </c>
      <c r="J410" s="13">
        <f>$B$7*(A410*S$71+B410*T$71+C410*U$71+D410*V$71)+F410/100*$B$7*X$71-$C$71</f>
        <v/>
      </c>
      <c r="K410" s="13">
        <f>$B$7*(A410*Z$71+B410*AA$71+C410*AB$71+D410*AC$71)+F410/100*$B$7*AE$71-$C$71</f>
        <v/>
      </c>
      <c r="L410" s="13">
        <f>$B$7*(A410*AG$71+B410*AH$71+C410*AI$71+D410*AJ$71)+F410/100*$B$7*AL$71-$C$71</f>
        <v/>
      </c>
      <c r="M410" s="13">
        <f>$B$7*(A410*AN$71+B410*AO$71+C410*AP$71+D410*AQ$71)+F410/100*$B$7*AS$71-$C$71</f>
        <v/>
      </c>
      <c r="N410" s="13">
        <f>SUMPRODUCT($H$24:$M$24,H410:M410)</f>
        <v/>
      </c>
      <c r="O410" s="14">
        <f>SQRT(SUMPRODUCT($H$24:$M$24,(H410:M410-N410)^2))</f>
        <v/>
      </c>
      <c r="P410" s="13">
        <f>MIN(H410:M410)</f>
        <v/>
      </c>
      <c r="Q410" s="13">
        <f>MAX(H410:M410)</f>
        <v/>
      </c>
      <c r="R410" s="27">
        <f>IF(G410,SUMPRODUCT(($G$76:$G$1505)*($N$76:$N$1505&gt;=N410)*($O$76:$O$1505&lt;=O410))=1,FALSE)</f>
        <v/>
      </c>
      <c r="S410" s="16">
        <f>IF(R410,ABS((O410-$AC$76)/MAX(0.0001,$AC$77-$AC$76)-(N410-$AC$78)/MAX(0.0001,$AC$79-$AC$78)),-1)</f>
        <v/>
      </c>
      <c r="T410" s="14">
        <f>IF(G410,O410,NA())</f>
        <v/>
      </c>
      <c r="U410" s="13">
        <f>IF(G410,N410,NA())</f>
        <v/>
      </c>
      <c r="V410" s="14">
        <f>IF(R410,O410,NA())</f>
        <v/>
      </c>
      <c r="W410" s="13">
        <f>IF(R410,N410,NA())</f>
        <v/>
      </c>
      <c r="X410" s="27">
        <f>IF(G410,P410,"")</f>
        <v/>
      </c>
      <c r="Y410" s="27">
        <f>IF(G410,N410,"")</f>
        <v/>
      </c>
      <c r="Z410" s="27">
        <f>IF(R410,O410,"")</f>
        <v/>
      </c>
      <c r="AA410" s="27">
        <f>IF(R410,N410,"")</f>
        <v/>
      </c>
    </row>
    <row r="411">
      <c r="A411" s="31" t="n">
        <v>0.1</v>
      </c>
      <c r="B411" s="31" t="n">
        <v>0</v>
      </c>
      <c r="C411" s="31" t="n">
        <v>0.1</v>
      </c>
      <c r="D411" s="31" t="n">
        <v>0.8</v>
      </c>
      <c r="E411" s="27" t="inlineStr">
        <is>
          <t>ON 10%/2M 10%/3M 80%</t>
        </is>
      </c>
      <c r="F411" s="27" t="n">
        <v>0</v>
      </c>
      <c r="G411" s="27">
        <f>A411*$B$7&gt;=$B$9</f>
        <v/>
      </c>
      <c r="H411" s="13">
        <f>$B$7*(A411*E$71+B411*F$71+C411*G$71+D411*H$71)+F411/100*$B$7*J$71-$C$71</f>
        <v/>
      </c>
      <c r="I411" s="13">
        <f>$B$7*(A411*L$71+B411*M$71+C411*N$71+D411*O$71)+F411/100*$B$7*Q$71-$C$71</f>
        <v/>
      </c>
      <c r="J411" s="13">
        <f>$B$7*(A411*S$71+B411*T$71+C411*U$71+D411*V$71)+F411/100*$B$7*X$71-$C$71</f>
        <v/>
      </c>
      <c r="K411" s="13">
        <f>$B$7*(A411*Z$71+B411*AA$71+C411*AB$71+D411*AC$71)+F411/100*$B$7*AE$71-$C$71</f>
        <v/>
      </c>
      <c r="L411" s="13">
        <f>$B$7*(A411*AG$71+B411*AH$71+C411*AI$71+D411*AJ$71)+F411/100*$B$7*AL$71-$C$71</f>
        <v/>
      </c>
      <c r="M411" s="13">
        <f>$B$7*(A411*AN$71+B411*AO$71+C411*AP$71+D411*AQ$71)+F411/100*$B$7*AS$71-$C$71</f>
        <v/>
      </c>
      <c r="N411" s="13">
        <f>SUMPRODUCT($H$24:$M$24,H411:M411)</f>
        <v/>
      </c>
      <c r="O411" s="14">
        <f>SQRT(SUMPRODUCT($H$24:$M$24,(H411:M411-N411)^2))</f>
        <v/>
      </c>
      <c r="P411" s="13">
        <f>MIN(H411:M411)</f>
        <v/>
      </c>
      <c r="Q411" s="13">
        <f>MAX(H411:M411)</f>
        <v/>
      </c>
      <c r="R411" s="27">
        <f>IF(G411,SUMPRODUCT(($G$76:$G$1505)*($N$76:$N$1505&gt;=N411)*($O$76:$O$1505&lt;=O411))=1,FALSE)</f>
        <v/>
      </c>
      <c r="S411" s="16">
        <f>IF(R411,ABS((O411-$AC$76)/MAX(0.0001,$AC$77-$AC$76)-(N411-$AC$78)/MAX(0.0001,$AC$79-$AC$78)),-1)</f>
        <v/>
      </c>
      <c r="T411" s="14">
        <f>IF(G411,O411,NA())</f>
        <v/>
      </c>
      <c r="U411" s="13">
        <f>IF(G411,N411,NA())</f>
        <v/>
      </c>
      <c r="V411" s="14">
        <f>IF(R411,O411,NA())</f>
        <v/>
      </c>
      <c r="W411" s="13">
        <f>IF(R411,N411,NA())</f>
        <v/>
      </c>
      <c r="X411" s="27">
        <f>IF(G411,P411,"")</f>
        <v/>
      </c>
      <c r="Y411" s="27">
        <f>IF(G411,N411,"")</f>
        <v/>
      </c>
      <c r="Z411" s="27">
        <f>IF(R411,O411,"")</f>
        <v/>
      </c>
      <c r="AA411" s="27">
        <f>IF(R411,N411,"")</f>
        <v/>
      </c>
    </row>
    <row r="412">
      <c r="A412" s="31" t="n">
        <v>0.1</v>
      </c>
      <c r="B412" s="31" t="n">
        <v>0</v>
      </c>
      <c r="C412" s="31" t="n">
        <v>0.1</v>
      </c>
      <c r="D412" s="31" t="n">
        <v>0.8</v>
      </c>
      <c r="E412" s="27" t="inlineStr">
        <is>
          <t>ON 10%/2M 10%/3M 80%</t>
        </is>
      </c>
      <c r="F412" s="27" t="n">
        <v>25</v>
      </c>
      <c r="G412" s="27">
        <f>A412*$B$7&gt;=$B$9</f>
        <v/>
      </c>
      <c r="H412" s="13">
        <f>$B$7*(A412*E$71+B412*F$71+C412*G$71+D412*H$71)+F412/100*$B$7*J$71-$C$71</f>
        <v/>
      </c>
      <c r="I412" s="13">
        <f>$B$7*(A412*L$71+B412*M$71+C412*N$71+D412*O$71)+F412/100*$B$7*Q$71-$C$71</f>
        <v/>
      </c>
      <c r="J412" s="13">
        <f>$B$7*(A412*S$71+B412*T$71+C412*U$71+D412*V$71)+F412/100*$B$7*X$71-$C$71</f>
        <v/>
      </c>
      <c r="K412" s="13">
        <f>$B$7*(A412*Z$71+B412*AA$71+C412*AB$71+D412*AC$71)+F412/100*$B$7*AE$71-$C$71</f>
        <v/>
      </c>
      <c r="L412" s="13">
        <f>$B$7*(A412*AG$71+B412*AH$71+C412*AI$71+D412*AJ$71)+F412/100*$B$7*AL$71-$C$71</f>
        <v/>
      </c>
      <c r="M412" s="13">
        <f>$B$7*(A412*AN$71+B412*AO$71+C412*AP$71+D412*AQ$71)+F412/100*$B$7*AS$71-$C$71</f>
        <v/>
      </c>
      <c r="N412" s="13">
        <f>SUMPRODUCT($H$24:$M$24,H412:M412)</f>
        <v/>
      </c>
      <c r="O412" s="14">
        <f>SQRT(SUMPRODUCT($H$24:$M$24,(H412:M412-N412)^2))</f>
        <v/>
      </c>
      <c r="P412" s="13">
        <f>MIN(H412:M412)</f>
        <v/>
      </c>
      <c r="Q412" s="13">
        <f>MAX(H412:M412)</f>
        <v/>
      </c>
      <c r="R412" s="27">
        <f>IF(G412,SUMPRODUCT(($G$76:$G$1505)*($N$76:$N$1505&gt;=N412)*($O$76:$O$1505&lt;=O412))=1,FALSE)</f>
        <v/>
      </c>
      <c r="S412" s="16">
        <f>IF(R412,ABS((O412-$AC$76)/MAX(0.0001,$AC$77-$AC$76)-(N412-$AC$78)/MAX(0.0001,$AC$79-$AC$78)),-1)</f>
        <v/>
      </c>
      <c r="T412" s="14">
        <f>IF(G412,O412,NA())</f>
        <v/>
      </c>
      <c r="U412" s="13">
        <f>IF(G412,N412,NA())</f>
        <v/>
      </c>
      <c r="V412" s="14">
        <f>IF(R412,O412,NA())</f>
        <v/>
      </c>
      <c r="W412" s="13">
        <f>IF(R412,N412,NA())</f>
        <v/>
      </c>
      <c r="X412" s="27">
        <f>IF(G412,P412,"")</f>
        <v/>
      </c>
      <c r="Y412" s="27">
        <f>IF(G412,N412,"")</f>
        <v/>
      </c>
      <c r="Z412" s="27">
        <f>IF(R412,O412,"")</f>
        <v/>
      </c>
      <c r="AA412" s="27">
        <f>IF(R412,N412,"")</f>
        <v/>
      </c>
    </row>
    <row r="413">
      <c r="A413" s="31" t="n">
        <v>0.1</v>
      </c>
      <c r="B413" s="31" t="n">
        <v>0</v>
      </c>
      <c r="C413" s="31" t="n">
        <v>0.1</v>
      </c>
      <c r="D413" s="31" t="n">
        <v>0.8</v>
      </c>
      <c r="E413" s="27" t="inlineStr">
        <is>
          <t>ON 10%/2M 10%/3M 80%</t>
        </is>
      </c>
      <c r="F413" s="27" t="n">
        <v>50</v>
      </c>
      <c r="G413" s="27">
        <f>A413*$B$7&gt;=$B$9</f>
        <v/>
      </c>
      <c r="H413" s="13">
        <f>$B$7*(A413*E$71+B413*F$71+C413*G$71+D413*H$71)+F413/100*$B$7*J$71-$C$71</f>
        <v/>
      </c>
      <c r="I413" s="13">
        <f>$B$7*(A413*L$71+B413*M$71+C413*N$71+D413*O$71)+F413/100*$B$7*Q$71-$C$71</f>
        <v/>
      </c>
      <c r="J413" s="13">
        <f>$B$7*(A413*S$71+B413*T$71+C413*U$71+D413*V$71)+F413/100*$B$7*X$71-$C$71</f>
        <v/>
      </c>
      <c r="K413" s="13">
        <f>$B$7*(A413*Z$71+B413*AA$71+C413*AB$71+D413*AC$71)+F413/100*$B$7*AE$71-$C$71</f>
        <v/>
      </c>
      <c r="L413" s="13">
        <f>$B$7*(A413*AG$71+B413*AH$71+C413*AI$71+D413*AJ$71)+F413/100*$B$7*AL$71-$C$71</f>
        <v/>
      </c>
      <c r="M413" s="13">
        <f>$B$7*(A413*AN$71+B413*AO$71+C413*AP$71+D413*AQ$71)+F413/100*$B$7*AS$71-$C$71</f>
        <v/>
      </c>
      <c r="N413" s="13">
        <f>SUMPRODUCT($H$24:$M$24,H413:M413)</f>
        <v/>
      </c>
      <c r="O413" s="14">
        <f>SQRT(SUMPRODUCT($H$24:$M$24,(H413:M413-N413)^2))</f>
        <v/>
      </c>
      <c r="P413" s="13">
        <f>MIN(H413:M413)</f>
        <v/>
      </c>
      <c r="Q413" s="13">
        <f>MAX(H413:M413)</f>
        <v/>
      </c>
      <c r="R413" s="27">
        <f>IF(G413,SUMPRODUCT(($G$76:$G$1505)*($N$76:$N$1505&gt;=N413)*($O$76:$O$1505&lt;=O413))=1,FALSE)</f>
        <v/>
      </c>
      <c r="S413" s="16">
        <f>IF(R413,ABS((O413-$AC$76)/MAX(0.0001,$AC$77-$AC$76)-(N413-$AC$78)/MAX(0.0001,$AC$79-$AC$78)),-1)</f>
        <v/>
      </c>
      <c r="T413" s="14">
        <f>IF(G413,O413,NA())</f>
        <v/>
      </c>
      <c r="U413" s="13">
        <f>IF(G413,N413,NA())</f>
        <v/>
      </c>
      <c r="V413" s="14">
        <f>IF(R413,O413,NA())</f>
        <v/>
      </c>
      <c r="W413" s="13">
        <f>IF(R413,N413,NA())</f>
        <v/>
      </c>
      <c r="X413" s="27">
        <f>IF(G413,P413,"")</f>
        <v/>
      </c>
      <c r="Y413" s="27">
        <f>IF(G413,N413,"")</f>
        <v/>
      </c>
      <c r="Z413" s="27">
        <f>IF(R413,O413,"")</f>
        <v/>
      </c>
      <c r="AA413" s="27">
        <f>IF(R413,N413,"")</f>
        <v/>
      </c>
    </row>
    <row r="414">
      <c r="A414" s="31" t="n">
        <v>0.1</v>
      </c>
      <c r="B414" s="31" t="n">
        <v>0</v>
      </c>
      <c r="C414" s="31" t="n">
        <v>0.1</v>
      </c>
      <c r="D414" s="31" t="n">
        <v>0.8</v>
      </c>
      <c r="E414" s="27" t="inlineStr">
        <is>
          <t>ON 10%/2M 10%/3M 80%</t>
        </is>
      </c>
      <c r="F414" s="27" t="n">
        <v>75</v>
      </c>
      <c r="G414" s="27">
        <f>A414*$B$7&gt;=$B$9</f>
        <v/>
      </c>
      <c r="H414" s="13">
        <f>$B$7*(A414*E$71+B414*F$71+C414*G$71+D414*H$71)+F414/100*$B$7*J$71-$C$71</f>
        <v/>
      </c>
      <c r="I414" s="13">
        <f>$B$7*(A414*L$71+B414*M$71+C414*N$71+D414*O$71)+F414/100*$B$7*Q$71-$C$71</f>
        <v/>
      </c>
      <c r="J414" s="13">
        <f>$B$7*(A414*S$71+B414*T$71+C414*U$71+D414*V$71)+F414/100*$B$7*X$71-$C$71</f>
        <v/>
      </c>
      <c r="K414" s="13">
        <f>$B$7*(A414*Z$71+B414*AA$71+C414*AB$71+D414*AC$71)+F414/100*$B$7*AE$71-$C$71</f>
        <v/>
      </c>
      <c r="L414" s="13">
        <f>$B$7*(A414*AG$71+B414*AH$71+C414*AI$71+D414*AJ$71)+F414/100*$B$7*AL$71-$C$71</f>
        <v/>
      </c>
      <c r="M414" s="13">
        <f>$B$7*(A414*AN$71+B414*AO$71+C414*AP$71+D414*AQ$71)+F414/100*$B$7*AS$71-$C$71</f>
        <v/>
      </c>
      <c r="N414" s="13">
        <f>SUMPRODUCT($H$24:$M$24,H414:M414)</f>
        <v/>
      </c>
      <c r="O414" s="14">
        <f>SQRT(SUMPRODUCT($H$24:$M$24,(H414:M414-N414)^2))</f>
        <v/>
      </c>
      <c r="P414" s="13">
        <f>MIN(H414:M414)</f>
        <v/>
      </c>
      <c r="Q414" s="13">
        <f>MAX(H414:M414)</f>
        <v/>
      </c>
      <c r="R414" s="27">
        <f>IF(G414,SUMPRODUCT(($G$76:$G$1505)*($N$76:$N$1505&gt;=N414)*($O$76:$O$1505&lt;=O414))=1,FALSE)</f>
        <v/>
      </c>
      <c r="S414" s="16">
        <f>IF(R414,ABS((O414-$AC$76)/MAX(0.0001,$AC$77-$AC$76)-(N414-$AC$78)/MAX(0.0001,$AC$79-$AC$78)),-1)</f>
        <v/>
      </c>
      <c r="T414" s="14">
        <f>IF(G414,O414,NA())</f>
        <v/>
      </c>
      <c r="U414" s="13">
        <f>IF(G414,N414,NA())</f>
        <v/>
      </c>
      <c r="V414" s="14">
        <f>IF(R414,O414,NA())</f>
        <v/>
      </c>
      <c r="W414" s="13">
        <f>IF(R414,N414,NA())</f>
        <v/>
      </c>
      <c r="X414" s="27">
        <f>IF(G414,P414,"")</f>
        <v/>
      </c>
      <c r="Y414" s="27">
        <f>IF(G414,N414,"")</f>
        <v/>
      </c>
      <c r="Z414" s="27">
        <f>IF(R414,O414,"")</f>
        <v/>
      </c>
      <c r="AA414" s="27">
        <f>IF(R414,N414,"")</f>
        <v/>
      </c>
    </row>
    <row r="415">
      <c r="A415" s="31" t="n">
        <v>0.1</v>
      </c>
      <c r="B415" s="31" t="n">
        <v>0</v>
      </c>
      <c r="C415" s="31" t="n">
        <v>0.1</v>
      </c>
      <c r="D415" s="31" t="n">
        <v>0.8</v>
      </c>
      <c r="E415" s="27" t="inlineStr">
        <is>
          <t>ON 10%/2M 10%/3M 80%</t>
        </is>
      </c>
      <c r="F415" s="27" t="n">
        <v>100</v>
      </c>
      <c r="G415" s="27">
        <f>A415*$B$7&gt;=$B$9</f>
        <v/>
      </c>
      <c r="H415" s="13">
        <f>$B$7*(A415*E$71+B415*F$71+C415*G$71+D415*H$71)+F415/100*$B$7*J$71-$C$71</f>
        <v/>
      </c>
      <c r="I415" s="13">
        <f>$B$7*(A415*L$71+B415*M$71+C415*N$71+D415*O$71)+F415/100*$B$7*Q$71-$C$71</f>
        <v/>
      </c>
      <c r="J415" s="13">
        <f>$B$7*(A415*S$71+B415*T$71+C415*U$71+D415*V$71)+F415/100*$B$7*X$71-$C$71</f>
        <v/>
      </c>
      <c r="K415" s="13">
        <f>$B$7*(A415*Z$71+B415*AA$71+C415*AB$71+D415*AC$71)+F415/100*$B$7*AE$71-$C$71</f>
        <v/>
      </c>
      <c r="L415" s="13">
        <f>$B$7*(A415*AG$71+B415*AH$71+C415*AI$71+D415*AJ$71)+F415/100*$B$7*AL$71-$C$71</f>
        <v/>
      </c>
      <c r="M415" s="13">
        <f>$B$7*(A415*AN$71+B415*AO$71+C415*AP$71+D415*AQ$71)+F415/100*$B$7*AS$71-$C$71</f>
        <v/>
      </c>
      <c r="N415" s="13">
        <f>SUMPRODUCT($H$24:$M$24,H415:M415)</f>
        <v/>
      </c>
      <c r="O415" s="14">
        <f>SQRT(SUMPRODUCT($H$24:$M$24,(H415:M415-N415)^2))</f>
        <v/>
      </c>
      <c r="P415" s="13">
        <f>MIN(H415:M415)</f>
        <v/>
      </c>
      <c r="Q415" s="13">
        <f>MAX(H415:M415)</f>
        <v/>
      </c>
      <c r="R415" s="27">
        <f>IF(G415,SUMPRODUCT(($G$76:$G$1505)*($N$76:$N$1505&gt;=N415)*($O$76:$O$1505&lt;=O415))=1,FALSE)</f>
        <v/>
      </c>
      <c r="S415" s="16">
        <f>IF(R415,ABS((O415-$AC$76)/MAX(0.0001,$AC$77-$AC$76)-(N415-$AC$78)/MAX(0.0001,$AC$79-$AC$78)),-1)</f>
        <v/>
      </c>
      <c r="T415" s="14">
        <f>IF(G415,O415,NA())</f>
        <v/>
      </c>
      <c r="U415" s="13">
        <f>IF(G415,N415,NA())</f>
        <v/>
      </c>
      <c r="V415" s="14">
        <f>IF(R415,O415,NA())</f>
        <v/>
      </c>
      <c r="W415" s="13">
        <f>IF(R415,N415,NA())</f>
        <v/>
      </c>
      <c r="X415" s="27">
        <f>IF(G415,P415,"")</f>
        <v/>
      </c>
      <c r="Y415" s="27">
        <f>IF(G415,N415,"")</f>
        <v/>
      </c>
      <c r="Z415" s="27">
        <f>IF(R415,O415,"")</f>
        <v/>
      </c>
      <c r="AA415" s="27">
        <f>IF(R415,N415,"")</f>
        <v/>
      </c>
    </row>
    <row r="416">
      <c r="A416" s="31" t="n">
        <v>0.1</v>
      </c>
      <c r="B416" s="31" t="n">
        <v>0</v>
      </c>
      <c r="C416" s="31" t="n">
        <v>0.2</v>
      </c>
      <c r="D416" s="31" t="n">
        <v>0.7</v>
      </c>
      <c r="E416" s="27" t="inlineStr">
        <is>
          <t>ON 10%/2M 20%/3M 70%</t>
        </is>
      </c>
      <c r="F416" s="27" t="n">
        <v>0</v>
      </c>
      <c r="G416" s="27">
        <f>A416*$B$7&gt;=$B$9</f>
        <v/>
      </c>
      <c r="H416" s="13">
        <f>$B$7*(A416*E$71+B416*F$71+C416*G$71+D416*H$71)+F416/100*$B$7*J$71-$C$71</f>
        <v/>
      </c>
      <c r="I416" s="13">
        <f>$B$7*(A416*L$71+B416*M$71+C416*N$71+D416*O$71)+F416/100*$B$7*Q$71-$C$71</f>
        <v/>
      </c>
      <c r="J416" s="13">
        <f>$B$7*(A416*S$71+B416*T$71+C416*U$71+D416*V$71)+F416/100*$B$7*X$71-$C$71</f>
        <v/>
      </c>
      <c r="K416" s="13">
        <f>$B$7*(A416*Z$71+B416*AA$71+C416*AB$71+D416*AC$71)+F416/100*$B$7*AE$71-$C$71</f>
        <v/>
      </c>
      <c r="L416" s="13">
        <f>$B$7*(A416*AG$71+B416*AH$71+C416*AI$71+D416*AJ$71)+F416/100*$B$7*AL$71-$C$71</f>
        <v/>
      </c>
      <c r="M416" s="13">
        <f>$B$7*(A416*AN$71+B416*AO$71+C416*AP$71+D416*AQ$71)+F416/100*$B$7*AS$71-$C$71</f>
        <v/>
      </c>
      <c r="N416" s="13">
        <f>SUMPRODUCT($H$24:$M$24,H416:M416)</f>
        <v/>
      </c>
      <c r="O416" s="14">
        <f>SQRT(SUMPRODUCT($H$24:$M$24,(H416:M416-N416)^2))</f>
        <v/>
      </c>
      <c r="P416" s="13">
        <f>MIN(H416:M416)</f>
        <v/>
      </c>
      <c r="Q416" s="13">
        <f>MAX(H416:M416)</f>
        <v/>
      </c>
      <c r="R416" s="27">
        <f>IF(G416,SUMPRODUCT(($G$76:$G$1505)*($N$76:$N$1505&gt;=N416)*($O$76:$O$1505&lt;=O416))=1,FALSE)</f>
        <v/>
      </c>
      <c r="S416" s="16">
        <f>IF(R416,ABS((O416-$AC$76)/MAX(0.0001,$AC$77-$AC$76)-(N416-$AC$78)/MAX(0.0001,$AC$79-$AC$78)),-1)</f>
        <v/>
      </c>
      <c r="T416" s="14">
        <f>IF(G416,O416,NA())</f>
        <v/>
      </c>
      <c r="U416" s="13">
        <f>IF(G416,N416,NA())</f>
        <v/>
      </c>
      <c r="V416" s="14">
        <f>IF(R416,O416,NA())</f>
        <v/>
      </c>
      <c r="W416" s="13">
        <f>IF(R416,N416,NA())</f>
        <v/>
      </c>
      <c r="X416" s="27">
        <f>IF(G416,P416,"")</f>
        <v/>
      </c>
      <c r="Y416" s="27">
        <f>IF(G416,N416,"")</f>
        <v/>
      </c>
      <c r="Z416" s="27">
        <f>IF(R416,O416,"")</f>
        <v/>
      </c>
      <c r="AA416" s="27">
        <f>IF(R416,N416,"")</f>
        <v/>
      </c>
    </row>
    <row r="417">
      <c r="A417" s="31" t="n">
        <v>0.1</v>
      </c>
      <c r="B417" s="31" t="n">
        <v>0</v>
      </c>
      <c r="C417" s="31" t="n">
        <v>0.2</v>
      </c>
      <c r="D417" s="31" t="n">
        <v>0.7</v>
      </c>
      <c r="E417" s="27" t="inlineStr">
        <is>
          <t>ON 10%/2M 20%/3M 70%</t>
        </is>
      </c>
      <c r="F417" s="27" t="n">
        <v>25</v>
      </c>
      <c r="G417" s="27">
        <f>A417*$B$7&gt;=$B$9</f>
        <v/>
      </c>
      <c r="H417" s="13">
        <f>$B$7*(A417*E$71+B417*F$71+C417*G$71+D417*H$71)+F417/100*$B$7*J$71-$C$71</f>
        <v/>
      </c>
      <c r="I417" s="13">
        <f>$B$7*(A417*L$71+B417*M$71+C417*N$71+D417*O$71)+F417/100*$B$7*Q$71-$C$71</f>
        <v/>
      </c>
      <c r="J417" s="13">
        <f>$B$7*(A417*S$71+B417*T$71+C417*U$71+D417*V$71)+F417/100*$B$7*X$71-$C$71</f>
        <v/>
      </c>
      <c r="K417" s="13">
        <f>$B$7*(A417*Z$71+B417*AA$71+C417*AB$71+D417*AC$71)+F417/100*$B$7*AE$71-$C$71</f>
        <v/>
      </c>
      <c r="L417" s="13">
        <f>$B$7*(A417*AG$71+B417*AH$71+C417*AI$71+D417*AJ$71)+F417/100*$B$7*AL$71-$C$71</f>
        <v/>
      </c>
      <c r="M417" s="13">
        <f>$B$7*(A417*AN$71+B417*AO$71+C417*AP$71+D417*AQ$71)+F417/100*$B$7*AS$71-$C$71</f>
        <v/>
      </c>
      <c r="N417" s="13">
        <f>SUMPRODUCT($H$24:$M$24,H417:M417)</f>
        <v/>
      </c>
      <c r="O417" s="14">
        <f>SQRT(SUMPRODUCT($H$24:$M$24,(H417:M417-N417)^2))</f>
        <v/>
      </c>
      <c r="P417" s="13">
        <f>MIN(H417:M417)</f>
        <v/>
      </c>
      <c r="Q417" s="13">
        <f>MAX(H417:M417)</f>
        <v/>
      </c>
      <c r="R417" s="27">
        <f>IF(G417,SUMPRODUCT(($G$76:$G$1505)*($N$76:$N$1505&gt;=N417)*($O$76:$O$1505&lt;=O417))=1,FALSE)</f>
        <v/>
      </c>
      <c r="S417" s="16">
        <f>IF(R417,ABS((O417-$AC$76)/MAX(0.0001,$AC$77-$AC$76)-(N417-$AC$78)/MAX(0.0001,$AC$79-$AC$78)),-1)</f>
        <v/>
      </c>
      <c r="T417" s="14">
        <f>IF(G417,O417,NA())</f>
        <v/>
      </c>
      <c r="U417" s="13">
        <f>IF(G417,N417,NA())</f>
        <v/>
      </c>
      <c r="V417" s="14">
        <f>IF(R417,O417,NA())</f>
        <v/>
      </c>
      <c r="W417" s="13">
        <f>IF(R417,N417,NA())</f>
        <v/>
      </c>
      <c r="X417" s="27">
        <f>IF(G417,P417,"")</f>
        <v/>
      </c>
      <c r="Y417" s="27">
        <f>IF(G417,N417,"")</f>
        <v/>
      </c>
      <c r="Z417" s="27">
        <f>IF(R417,O417,"")</f>
        <v/>
      </c>
      <c r="AA417" s="27">
        <f>IF(R417,N417,"")</f>
        <v/>
      </c>
    </row>
    <row r="418">
      <c r="A418" s="31" t="n">
        <v>0.1</v>
      </c>
      <c r="B418" s="31" t="n">
        <v>0</v>
      </c>
      <c r="C418" s="31" t="n">
        <v>0.2</v>
      </c>
      <c r="D418" s="31" t="n">
        <v>0.7</v>
      </c>
      <c r="E418" s="27" t="inlineStr">
        <is>
          <t>ON 10%/2M 20%/3M 70%</t>
        </is>
      </c>
      <c r="F418" s="27" t="n">
        <v>50</v>
      </c>
      <c r="G418" s="27">
        <f>A418*$B$7&gt;=$B$9</f>
        <v/>
      </c>
      <c r="H418" s="13">
        <f>$B$7*(A418*E$71+B418*F$71+C418*G$71+D418*H$71)+F418/100*$B$7*J$71-$C$71</f>
        <v/>
      </c>
      <c r="I418" s="13">
        <f>$B$7*(A418*L$71+B418*M$71+C418*N$71+D418*O$71)+F418/100*$B$7*Q$71-$C$71</f>
        <v/>
      </c>
      <c r="J418" s="13">
        <f>$B$7*(A418*S$71+B418*T$71+C418*U$71+D418*V$71)+F418/100*$B$7*X$71-$C$71</f>
        <v/>
      </c>
      <c r="K418" s="13">
        <f>$B$7*(A418*Z$71+B418*AA$71+C418*AB$71+D418*AC$71)+F418/100*$B$7*AE$71-$C$71</f>
        <v/>
      </c>
      <c r="L418" s="13">
        <f>$B$7*(A418*AG$71+B418*AH$71+C418*AI$71+D418*AJ$71)+F418/100*$B$7*AL$71-$C$71</f>
        <v/>
      </c>
      <c r="M418" s="13">
        <f>$B$7*(A418*AN$71+B418*AO$71+C418*AP$71+D418*AQ$71)+F418/100*$B$7*AS$71-$C$71</f>
        <v/>
      </c>
      <c r="N418" s="13">
        <f>SUMPRODUCT($H$24:$M$24,H418:M418)</f>
        <v/>
      </c>
      <c r="O418" s="14">
        <f>SQRT(SUMPRODUCT($H$24:$M$24,(H418:M418-N418)^2))</f>
        <v/>
      </c>
      <c r="P418" s="13">
        <f>MIN(H418:M418)</f>
        <v/>
      </c>
      <c r="Q418" s="13">
        <f>MAX(H418:M418)</f>
        <v/>
      </c>
      <c r="R418" s="27">
        <f>IF(G418,SUMPRODUCT(($G$76:$G$1505)*($N$76:$N$1505&gt;=N418)*($O$76:$O$1505&lt;=O418))=1,FALSE)</f>
        <v/>
      </c>
      <c r="S418" s="16">
        <f>IF(R418,ABS((O418-$AC$76)/MAX(0.0001,$AC$77-$AC$76)-(N418-$AC$78)/MAX(0.0001,$AC$79-$AC$78)),-1)</f>
        <v/>
      </c>
      <c r="T418" s="14">
        <f>IF(G418,O418,NA())</f>
        <v/>
      </c>
      <c r="U418" s="13">
        <f>IF(G418,N418,NA())</f>
        <v/>
      </c>
      <c r="V418" s="14">
        <f>IF(R418,O418,NA())</f>
        <v/>
      </c>
      <c r="W418" s="13">
        <f>IF(R418,N418,NA())</f>
        <v/>
      </c>
      <c r="X418" s="27">
        <f>IF(G418,P418,"")</f>
        <v/>
      </c>
      <c r="Y418" s="27">
        <f>IF(G418,N418,"")</f>
        <v/>
      </c>
      <c r="Z418" s="27">
        <f>IF(R418,O418,"")</f>
        <v/>
      </c>
      <c r="AA418" s="27">
        <f>IF(R418,N418,"")</f>
        <v/>
      </c>
    </row>
    <row r="419">
      <c r="A419" s="31" t="n">
        <v>0.1</v>
      </c>
      <c r="B419" s="31" t="n">
        <v>0</v>
      </c>
      <c r="C419" s="31" t="n">
        <v>0.2</v>
      </c>
      <c r="D419" s="31" t="n">
        <v>0.7</v>
      </c>
      <c r="E419" s="27" t="inlineStr">
        <is>
          <t>ON 10%/2M 20%/3M 70%</t>
        </is>
      </c>
      <c r="F419" s="27" t="n">
        <v>75</v>
      </c>
      <c r="G419" s="27">
        <f>A419*$B$7&gt;=$B$9</f>
        <v/>
      </c>
      <c r="H419" s="13">
        <f>$B$7*(A419*E$71+B419*F$71+C419*G$71+D419*H$71)+F419/100*$B$7*J$71-$C$71</f>
        <v/>
      </c>
      <c r="I419" s="13">
        <f>$B$7*(A419*L$71+B419*M$71+C419*N$71+D419*O$71)+F419/100*$B$7*Q$71-$C$71</f>
        <v/>
      </c>
      <c r="J419" s="13">
        <f>$B$7*(A419*S$71+B419*T$71+C419*U$71+D419*V$71)+F419/100*$B$7*X$71-$C$71</f>
        <v/>
      </c>
      <c r="K419" s="13">
        <f>$B$7*(A419*Z$71+B419*AA$71+C419*AB$71+D419*AC$71)+F419/100*$B$7*AE$71-$C$71</f>
        <v/>
      </c>
      <c r="L419" s="13">
        <f>$B$7*(A419*AG$71+B419*AH$71+C419*AI$71+D419*AJ$71)+F419/100*$B$7*AL$71-$C$71</f>
        <v/>
      </c>
      <c r="M419" s="13">
        <f>$B$7*(A419*AN$71+B419*AO$71+C419*AP$71+D419*AQ$71)+F419/100*$B$7*AS$71-$C$71</f>
        <v/>
      </c>
      <c r="N419" s="13">
        <f>SUMPRODUCT($H$24:$M$24,H419:M419)</f>
        <v/>
      </c>
      <c r="O419" s="14">
        <f>SQRT(SUMPRODUCT($H$24:$M$24,(H419:M419-N419)^2))</f>
        <v/>
      </c>
      <c r="P419" s="13">
        <f>MIN(H419:M419)</f>
        <v/>
      </c>
      <c r="Q419" s="13">
        <f>MAX(H419:M419)</f>
        <v/>
      </c>
      <c r="R419" s="27">
        <f>IF(G419,SUMPRODUCT(($G$76:$G$1505)*($N$76:$N$1505&gt;=N419)*($O$76:$O$1505&lt;=O419))=1,FALSE)</f>
        <v/>
      </c>
      <c r="S419" s="16">
        <f>IF(R419,ABS((O419-$AC$76)/MAX(0.0001,$AC$77-$AC$76)-(N419-$AC$78)/MAX(0.0001,$AC$79-$AC$78)),-1)</f>
        <v/>
      </c>
      <c r="T419" s="14">
        <f>IF(G419,O419,NA())</f>
        <v/>
      </c>
      <c r="U419" s="13">
        <f>IF(G419,N419,NA())</f>
        <v/>
      </c>
      <c r="V419" s="14">
        <f>IF(R419,O419,NA())</f>
        <v/>
      </c>
      <c r="W419" s="13">
        <f>IF(R419,N419,NA())</f>
        <v/>
      </c>
      <c r="X419" s="27">
        <f>IF(G419,P419,"")</f>
        <v/>
      </c>
      <c r="Y419" s="27">
        <f>IF(G419,N419,"")</f>
        <v/>
      </c>
      <c r="Z419" s="27">
        <f>IF(R419,O419,"")</f>
        <v/>
      </c>
      <c r="AA419" s="27">
        <f>IF(R419,N419,"")</f>
        <v/>
      </c>
    </row>
    <row r="420">
      <c r="A420" s="31" t="n">
        <v>0.1</v>
      </c>
      <c r="B420" s="31" t="n">
        <v>0</v>
      </c>
      <c r="C420" s="31" t="n">
        <v>0.2</v>
      </c>
      <c r="D420" s="31" t="n">
        <v>0.7</v>
      </c>
      <c r="E420" s="27" t="inlineStr">
        <is>
          <t>ON 10%/2M 20%/3M 70%</t>
        </is>
      </c>
      <c r="F420" s="27" t="n">
        <v>100</v>
      </c>
      <c r="G420" s="27">
        <f>A420*$B$7&gt;=$B$9</f>
        <v/>
      </c>
      <c r="H420" s="13">
        <f>$B$7*(A420*E$71+B420*F$71+C420*G$71+D420*H$71)+F420/100*$B$7*J$71-$C$71</f>
        <v/>
      </c>
      <c r="I420" s="13">
        <f>$B$7*(A420*L$71+B420*M$71+C420*N$71+D420*O$71)+F420/100*$B$7*Q$71-$C$71</f>
        <v/>
      </c>
      <c r="J420" s="13">
        <f>$B$7*(A420*S$71+B420*T$71+C420*U$71+D420*V$71)+F420/100*$B$7*X$71-$C$71</f>
        <v/>
      </c>
      <c r="K420" s="13">
        <f>$B$7*(A420*Z$71+B420*AA$71+C420*AB$71+D420*AC$71)+F420/100*$B$7*AE$71-$C$71</f>
        <v/>
      </c>
      <c r="L420" s="13">
        <f>$B$7*(A420*AG$71+B420*AH$71+C420*AI$71+D420*AJ$71)+F420/100*$B$7*AL$71-$C$71</f>
        <v/>
      </c>
      <c r="M420" s="13">
        <f>$B$7*(A420*AN$71+B420*AO$71+C420*AP$71+D420*AQ$71)+F420/100*$B$7*AS$71-$C$71</f>
        <v/>
      </c>
      <c r="N420" s="13">
        <f>SUMPRODUCT($H$24:$M$24,H420:M420)</f>
        <v/>
      </c>
      <c r="O420" s="14">
        <f>SQRT(SUMPRODUCT($H$24:$M$24,(H420:M420-N420)^2))</f>
        <v/>
      </c>
      <c r="P420" s="13">
        <f>MIN(H420:M420)</f>
        <v/>
      </c>
      <c r="Q420" s="13">
        <f>MAX(H420:M420)</f>
        <v/>
      </c>
      <c r="R420" s="27">
        <f>IF(G420,SUMPRODUCT(($G$76:$G$1505)*($N$76:$N$1505&gt;=N420)*($O$76:$O$1505&lt;=O420))=1,FALSE)</f>
        <v/>
      </c>
      <c r="S420" s="16">
        <f>IF(R420,ABS((O420-$AC$76)/MAX(0.0001,$AC$77-$AC$76)-(N420-$AC$78)/MAX(0.0001,$AC$79-$AC$78)),-1)</f>
        <v/>
      </c>
      <c r="T420" s="14">
        <f>IF(G420,O420,NA())</f>
        <v/>
      </c>
      <c r="U420" s="13">
        <f>IF(G420,N420,NA())</f>
        <v/>
      </c>
      <c r="V420" s="14">
        <f>IF(R420,O420,NA())</f>
        <v/>
      </c>
      <c r="W420" s="13">
        <f>IF(R420,N420,NA())</f>
        <v/>
      </c>
      <c r="X420" s="27">
        <f>IF(G420,P420,"")</f>
        <v/>
      </c>
      <c r="Y420" s="27">
        <f>IF(G420,N420,"")</f>
        <v/>
      </c>
      <c r="Z420" s="27">
        <f>IF(R420,O420,"")</f>
        <v/>
      </c>
      <c r="AA420" s="27">
        <f>IF(R420,N420,"")</f>
        <v/>
      </c>
    </row>
    <row r="421">
      <c r="A421" s="31" t="n">
        <v>0.1</v>
      </c>
      <c r="B421" s="31" t="n">
        <v>0</v>
      </c>
      <c r="C421" s="31" t="n">
        <v>0.3</v>
      </c>
      <c r="D421" s="31" t="n">
        <v>0.6</v>
      </c>
      <c r="E421" s="27" t="inlineStr">
        <is>
          <t>ON 10%/2M 30%/3M 60%</t>
        </is>
      </c>
      <c r="F421" s="27" t="n">
        <v>0</v>
      </c>
      <c r="G421" s="27">
        <f>A421*$B$7&gt;=$B$9</f>
        <v/>
      </c>
      <c r="H421" s="13">
        <f>$B$7*(A421*E$71+B421*F$71+C421*G$71+D421*H$71)+F421/100*$B$7*J$71-$C$71</f>
        <v/>
      </c>
      <c r="I421" s="13">
        <f>$B$7*(A421*L$71+B421*M$71+C421*N$71+D421*O$71)+F421/100*$B$7*Q$71-$C$71</f>
        <v/>
      </c>
      <c r="J421" s="13">
        <f>$B$7*(A421*S$71+B421*T$71+C421*U$71+D421*V$71)+F421/100*$B$7*X$71-$C$71</f>
        <v/>
      </c>
      <c r="K421" s="13">
        <f>$B$7*(A421*Z$71+B421*AA$71+C421*AB$71+D421*AC$71)+F421/100*$B$7*AE$71-$C$71</f>
        <v/>
      </c>
      <c r="L421" s="13">
        <f>$B$7*(A421*AG$71+B421*AH$71+C421*AI$71+D421*AJ$71)+F421/100*$B$7*AL$71-$C$71</f>
        <v/>
      </c>
      <c r="M421" s="13">
        <f>$B$7*(A421*AN$71+B421*AO$71+C421*AP$71+D421*AQ$71)+F421/100*$B$7*AS$71-$C$71</f>
        <v/>
      </c>
      <c r="N421" s="13">
        <f>SUMPRODUCT($H$24:$M$24,H421:M421)</f>
        <v/>
      </c>
      <c r="O421" s="14">
        <f>SQRT(SUMPRODUCT($H$24:$M$24,(H421:M421-N421)^2))</f>
        <v/>
      </c>
      <c r="P421" s="13">
        <f>MIN(H421:M421)</f>
        <v/>
      </c>
      <c r="Q421" s="13">
        <f>MAX(H421:M421)</f>
        <v/>
      </c>
      <c r="R421" s="27">
        <f>IF(G421,SUMPRODUCT(($G$76:$G$1505)*($N$76:$N$1505&gt;=N421)*($O$76:$O$1505&lt;=O421))=1,FALSE)</f>
        <v/>
      </c>
      <c r="S421" s="16">
        <f>IF(R421,ABS((O421-$AC$76)/MAX(0.0001,$AC$77-$AC$76)-(N421-$AC$78)/MAX(0.0001,$AC$79-$AC$78)),-1)</f>
        <v/>
      </c>
      <c r="T421" s="14">
        <f>IF(G421,O421,NA())</f>
        <v/>
      </c>
      <c r="U421" s="13">
        <f>IF(G421,N421,NA())</f>
        <v/>
      </c>
      <c r="V421" s="14">
        <f>IF(R421,O421,NA())</f>
        <v/>
      </c>
      <c r="W421" s="13">
        <f>IF(R421,N421,NA())</f>
        <v/>
      </c>
      <c r="X421" s="27">
        <f>IF(G421,P421,"")</f>
        <v/>
      </c>
      <c r="Y421" s="27">
        <f>IF(G421,N421,"")</f>
        <v/>
      </c>
      <c r="Z421" s="27">
        <f>IF(R421,O421,"")</f>
        <v/>
      </c>
      <c r="AA421" s="27">
        <f>IF(R421,N421,"")</f>
        <v/>
      </c>
    </row>
    <row r="422">
      <c r="A422" s="31" t="n">
        <v>0.1</v>
      </c>
      <c r="B422" s="31" t="n">
        <v>0</v>
      </c>
      <c r="C422" s="31" t="n">
        <v>0.3</v>
      </c>
      <c r="D422" s="31" t="n">
        <v>0.6</v>
      </c>
      <c r="E422" s="27" t="inlineStr">
        <is>
          <t>ON 10%/2M 30%/3M 60%</t>
        </is>
      </c>
      <c r="F422" s="27" t="n">
        <v>25</v>
      </c>
      <c r="G422" s="27">
        <f>A422*$B$7&gt;=$B$9</f>
        <v/>
      </c>
      <c r="H422" s="13">
        <f>$B$7*(A422*E$71+B422*F$71+C422*G$71+D422*H$71)+F422/100*$B$7*J$71-$C$71</f>
        <v/>
      </c>
      <c r="I422" s="13">
        <f>$B$7*(A422*L$71+B422*M$71+C422*N$71+D422*O$71)+F422/100*$B$7*Q$71-$C$71</f>
        <v/>
      </c>
      <c r="J422" s="13">
        <f>$B$7*(A422*S$71+B422*T$71+C422*U$71+D422*V$71)+F422/100*$B$7*X$71-$C$71</f>
        <v/>
      </c>
      <c r="K422" s="13">
        <f>$B$7*(A422*Z$71+B422*AA$71+C422*AB$71+D422*AC$71)+F422/100*$B$7*AE$71-$C$71</f>
        <v/>
      </c>
      <c r="L422" s="13">
        <f>$B$7*(A422*AG$71+B422*AH$71+C422*AI$71+D422*AJ$71)+F422/100*$B$7*AL$71-$C$71</f>
        <v/>
      </c>
      <c r="M422" s="13">
        <f>$B$7*(A422*AN$71+B422*AO$71+C422*AP$71+D422*AQ$71)+F422/100*$B$7*AS$71-$C$71</f>
        <v/>
      </c>
      <c r="N422" s="13">
        <f>SUMPRODUCT($H$24:$M$24,H422:M422)</f>
        <v/>
      </c>
      <c r="O422" s="14">
        <f>SQRT(SUMPRODUCT($H$24:$M$24,(H422:M422-N422)^2))</f>
        <v/>
      </c>
      <c r="P422" s="13">
        <f>MIN(H422:M422)</f>
        <v/>
      </c>
      <c r="Q422" s="13">
        <f>MAX(H422:M422)</f>
        <v/>
      </c>
      <c r="R422" s="27">
        <f>IF(G422,SUMPRODUCT(($G$76:$G$1505)*($N$76:$N$1505&gt;=N422)*($O$76:$O$1505&lt;=O422))=1,FALSE)</f>
        <v/>
      </c>
      <c r="S422" s="16">
        <f>IF(R422,ABS((O422-$AC$76)/MAX(0.0001,$AC$77-$AC$76)-(N422-$AC$78)/MAX(0.0001,$AC$79-$AC$78)),-1)</f>
        <v/>
      </c>
      <c r="T422" s="14">
        <f>IF(G422,O422,NA())</f>
        <v/>
      </c>
      <c r="U422" s="13">
        <f>IF(G422,N422,NA())</f>
        <v/>
      </c>
      <c r="V422" s="14">
        <f>IF(R422,O422,NA())</f>
        <v/>
      </c>
      <c r="W422" s="13">
        <f>IF(R422,N422,NA())</f>
        <v/>
      </c>
      <c r="X422" s="27">
        <f>IF(G422,P422,"")</f>
        <v/>
      </c>
      <c r="Y422" s="27">
        <f>IF(G422,N422,"")</f>
        <v/>
      </c>
      <c r="Z422" s="27">
        <f>IF(R422,O422,"")</f>
        <v/>
      </c>
      <c r="AA422" s="27">
        <f>IF(R422,N422,"")</f>
        <v/>
      </c>
    </row>
    <row r="423">
      <c r="A423" s="31" t="n">
        <v>0.1</v>
      </c>
      <c r="B423" s="31" t="n">
        <v>0</v>
      </c>
      <c r="C423" s="31" t="n">
        <v>0.3</v>
      </c>
      <c r="D423" s="31" t="n">
        <v>0.6</v>
      </c>
      <c r="E423" s="27" t="inlineStr">
        <is>
          <t>ON 10%/2M 30%/3M 60%</t>
        </is>
      </c>
      <c r="F423" s="27" t="n">
        <v>50</v>
      </c>
      <c r="G423" s="27">
        <f>A423*$B$7&gt;=$B$9</f>
        <v/>
      </c>
      <c r="H423" s="13">
        <f>$B$7*(A423*E$71+B423*F$71+C423*G$71+D423*H$71)+F423/100*$B$7*J$71-$C$71</f>
        <v/>
      </c>
      <c r="I423" s="13">
        <f>$B$7*(A423*L$71+B423*M$71+C423*N$71+D423*O$71)+F423/100*$B$7*Q$71-$C$71</f>
        <v/>
      </c>
      <c r="J423" s="13">
        <f>$B$7*(A423*S$71+B423*T$71+C423*U$71+D423*V$71)+F423/100*$B$7*X$71-$C$71</f>
        <v/>
      </c>
      <c r="K423" s="13">
        <f>$B$7*(A423*Z$71+B423*AA$71+C423*AB$71+D423*AC$71)+F423/100*$B$7*AE$71-$C$71</f>
        <v/>
      </c>
      <c r="L423" s="13">
        <f>$B$7*(A423*AG$71+B423*AH$71+C423*AI$71+D423*AJ$71)+F423/100*$B$7*AL$71-$C$71</f>
        <v/>
      </c>
      <c r="M423" s="13">
        <f>$B$7*(A423*AN$71+B423*AO$71+C423*AP$71+D423*AQ$71)+F423/100*$B$7*AS$71-$C$71</f>
        <v/>
      </c>
      <c r="N423" s="13">
        <f>SUMPRODUCT($H$24:$M$24,H423:M423)</f>
        <v/>
      </c>
      <c r="O423" s="14">
        <f>SQRT(SUMPRODUCT($H$24:$M$24,(H423:M423-N423)^2))</f>
        <v/>
      </c>
      <c r="P423" s="13">
        <f>MIN(H423:M423)</f>
        <v/>
      </c>
      <c r="Q423" s="13">
        <f>MAX(H423:M423)</f>
        <v/>
      </c>
      <c r="R423" s="27">
        <f>IF(G423,SUMPRODUCT(($G$76:$G$1505)*($N$76:$N$1505&gt;=N423)*($O$76:$O$1505&lt;=O423))=1,FALSE)</f>
        <v/>
      </c>
      <c r="S423" s="16">
        <f>IF(R423,ABS((O423-$AC$76)/MAX(0.0001,$AC$77-$AC$76)-(N423-$AC$78)/MAX(0.0001,$AC$79-$AC$78)),-1)</f>
        <v/>
      </c>
      <c r="T423" s="14">
        <f>IF(G423,O423,NA())</f>
        <v/>
      </c>
      <c r="U423" s="13">
        <f>IF(G423,N423,NA())</f>
        <v/>
      </c>
      <c r="V423" s="14">
        <f>IF(R423,O423,NA())</f>
        <v/>
      </c>
      <c r="W423" s="13">
        <f>IF(R423,N423,NA())</f>
        <v/>
      </c>
      <c r="X423" s="27">
        <f>IF(G423,P423,"")</f>
        <v/>
      </c>
      <c r="Y423" s="27">
        <f>IF(G423,N423,"")</f>
        <v/>
      </c>
      <c r="Z423" s="27">
        <f>IF(R423,O423,"")</f>
        <v/>
      </c>
      <c r="AA423" s="27">
        <f>IF(R423,N423,"")</f>
        <v/>
      </c>
    </row>
    <row r="424">
      <c r="A424" s="31" t="n">
        <v>0.1</v>
      </c>
      <c r="B424" s="31" t="n">
        <v>0</v>
      </c>
      <c r="C424" s="31" t="n">
        <v>0.3</v>
      </c>
      <c r="D424" s="31" t="n">
        <v>0.6</v>
      </c>
      <c r="E424" s="27" t="inlineStr">
        <is>
          <t>ON 10%/2M 30%/3M 60%</t>
        </is>
      </c>
      <c r="F424" s="27" t="n">
        <v>75</v>
      </c>
      <c r="G424" s="27">
        <f>A424*$B$7&gt;=$B$9</f>
        <v/>
      </c>
      <c r="H424" s="13">
        <f>$B$7*(A424*E$71+B424*F$71+C424*G$71+D424*H$71)+F424/100*$B$7*J$71-$C$71</f>
        <v/>
      </c>
      <c r="I424" s="13">
        <f>$B$7*(A424*L$71+B424*M$71+C424*N$71+D424*O$71)+F424/100*$B$7*Q$71-$C$71</f>
        <v/>
      </c>
      <c r="J424" s="13">
        <f>$B$7*(A424*S$71+B424*T$71+C424*U$71+D424*V$71)+F424/100*$B$7*X$71-$C$71</f>
        <v/>
      </c>
      <c r="K424" s="13">
        <f>$B$7*(A424*Z$71+B424*AA$71+C424*AB$71+D424*AC$71)+F424/100*$B$7*AE$71-$C$71</f>
        <v/>
      </c>
      <c r="L424" s="13">
        <f>$B$7*(A424*AG$71+B424*AH$71+C424*AI$71+D424*AJ$71)+F424/100*$B$7*AL$71-$C$71</f>
        <v/>
      </c>
      <c r="M424" s="13">
        <f>$B$7*(A424*AN$71+B424*AO$71+C424*AP$71+D424*AQ$71)+F424/100*$B$7*AS$71-$C$71</f>
        <v/>
      </c>
      <c r="N424" s="13">
        <f>SUMPRODUCT($H$24:$M$24,H424:M424)</f>
        <v/>
      </c>
      <c r="O424" s="14">
        <f>SQRT(SUMPRODUCT($H$24:$M$24,(H424:M424-N424)^2))</f>
        <v/>
      </c>
      <c r="P424" s="13">
        <f>MIN(H424:M424)</f>
        <v/>
      </c>
      <c r="Q424" s="13">
        <f>MAX(H424:M424)</f>
        <v/>
      </c>
      <c r="R424" s="27">
        <f>IF(G424,SUMPRODUCT(($G$76:$G$1505)*($N$76:$N$1505&gt;=N424)*($O$76:$O$1505&lt;=O424))=1,FALSE)</f>
        <v/>
      </c>
      <c r="S424" s="16">
        <f>IF(R424,ABS((O424-$AC$76)/MAX(0.0001,$AC$77-$AC$76)-(N424-$AC$78)/MAX(0.0001,$AC$79-$AC$78)),-1)</f>
        <v/>
      </c>
      <c r="T424" s="14">
        <f>IF(G424,O424,NA())</f>
        <v/>
      </c>
      <c r="U424" s="13">
        <f>IF(G424,N424,NA())</f>
        <v/>
      </c>
      <c r="V424" s="14">
        <f>IF(R424,O424,NA())</f>
        <v/>
      </c>
      <c r="W424" s="13">
        <f>IF(R424,N424,NA())</f>
        <v/>
      </c>
      <c r="X424" s="27">
        <f>IF(G424,P424,"")</f>
        <v/>
      </c>
      <c r="Y424" s="27">
        <f>IF(G424,N424,"")</f>
        <v/>
      </c>
      <c r="Z424" s="27">
        <f>IF(R424,O424,"")</f>
        <v/>
      </c>
      <c r="AA424" s="27">
        <f>IF(R424,N424,"")</f>
        <v/>
      </c>
    </row>
    <row r="425">
      <c r="A425" s="31" t="n">
        <v>0.1</v>
      </c>
      <c r="B425" s="31" t="n">
        <v>0</v>
      </c>
      <c r="C425" s="31" t="n">
        <v>0.3</v>
      </c>
      <c r="D425" s="31" t="n">
        <v>0.6</v>
      </c>
      <c r="E425" s="27" t="inlineStr">
        <is>
          <t>ON 10%/2M 30%/3M 60%</t>
        </is>
      </c>
      <c r="F425" s="27" t="n">
        <v>100</v>
      </c>
      <c r="G425" s="27">
        <f>A425*$B$7&gt;=$B$9</f>
        <v/>
      </c>
      <c r="H425" s="13">
        <f>$B$7*(A425*E$71+B425*F$71+C425*G$71+D425*H$71)+F425/100*$B$7*J$71-$C$71</f>
        <v/>
      </c>
      <c r="I425" s="13">
        <f>$B$7*(A425*L$71+B425*M$71+C425*N$71+D425*O$71)+F425/100*$B$7*Q$71-$C$71</f>
        <v/>
      </c>
      <c r="J425" s="13">
        <f>$B$7*(A425*S$71+B425*T$71+C425*U$71+D425*V$71)+F425/100*$B$7*X$71-$C$71</f>
        <v/>
      </c>
      <c r="K425" s="13">
        <f>$B$7*(A425*Z$71+B425*AA$71+C425*AB$71+D425*AC$71)+F425/100*$B$7*AE$71-$C$71</f>
        <v/>
      </c>
      <c r="L425" s="13">
        <f>$B$7*(A425*AG$71+B425*AH$71+C425*AI$71+D425*AJ$71)+F425/100*$B$7*AL$71-$C$71</f>
        <v/>
      </c>
      <c r="M425" s="13">
        <f>$B$7*(A425*AN$71+B425*AO$71+C425*AP$71+D425*AQ$71)+F425/100*$B$7*AS$71-$C$71</f>
        <v/>
      </c>
      <c r="N425" s="13">
        <f>SUMPRODUCT($H$24:$M$24,H425:M425)</f>
        <v/>
      </c>
      <c r="O425" s="14">
        <f>SQRT(SUMPRODUCT($H$24:$M$24,(H425:M425-N425)^2))</f>
        <v/>
      </c>
      <c r="P425" s="13">
        <f>MIN(H425:M425)</f>
        <v/>
      </c>
      <c r="Q425" s="13">
        <f>MAX(H425:M425)</f>
        <v/>
      </c>
      <c r="R425" s="27">
        <f>IF(G425,SUMPRODUCT(($G$76:$G$1505)*($N$76:$N$1505&gt;=N425)*($O$76:$O$1505&lt;=O425))=1,FALSE)</f>
        <v/>
      </c>
      <c r="S425" s="16">
        <f>IF(R425,ABS((O425-$AC$76)/MAX(0.0001,$AC$77-$AC$76)-(N425-$AC$78)/MAX(0.0001,$AC$79-$AC$78)),-1)</f>
        <v/>
      </c>
      <c r="T425" s="14">
        <f>IF(G425,O425,NA())</f>
        <v/>
      </c>
      <c r="U425" s="13">
        <f>IF(G425,N425,NA())</f>
        <v/>
      </c>
      <c r="V425" s="14">
        <f>IF(R425,O425,NA())</f>
        <v/>
      </c>
      <c r="W425" s="13">
        <f>IF(R425,N425,NA())</f>
        <v/>
      </c>
      <c r="X425" s="27">
        <f>IF(G425,P425,"")</f>
        <v/>
      </c>
      <c r="Y425" s="27">
        <f>IF(G425,N425,"")</f>
        <v/>
      </c>
      <c r="Z425" s="27">
        <f>IF(R425,O425,"")</f>
        <v/>
      </c>
      <c r="AA425" s="27">
        <f>IF(R425,N425,"")</f>
        <v/>
      </c>
    </row>
    <row r="426">
      <c r="A426" s="31" t="n">
        <v>0.1</v>
      </c>
      <c r="B426" s="31" t="n">
        <v>0</v>
      </c>
      <c r="C426" s="31" t="n">
        <v>0.4</v>
      </c>
      <c r="D426" s="31" t="n">
        <v>0.5</v>
      </c>
      <c r="E426" s="27" t="inlineStr">
        <is>
          <t>ON 10%/2M 40%/3M 50%</t>
        </is>
      </c>
      <c r="F426" s="27" t="n">
        <v>0</v>
      </c>
      <c r="G426" s="27">
        <f>A426*$B$7&gt;=$B$9</f>
        <v/>
      </c>
      <c r="H426" s="13">
        <f>$B$7*(A426*E$71+B426*F$71+C426*G$71+D426*H$71)+F426/100*$B$7*J$71-$C$71</f>
        <v/>
      </c>
      <c r="I426" s="13">
        <f>$B$7*(A426*L$71+B426*M$71+C426*N$71+D426*O$71)+F426/100*$B$7*Q$71-$C$71</f>
        <v/>
      </c>
      <c r="J426" s="13">
        <f>$B$7*(A426*S$71+B426*T$71+C426*U$71+D426*V$71)+F426/100*$B$7*X$71-$C$71</f>
        <v/>
      </c>
      <c r="K426" s="13">
        <f>$B$7*(A426*Z$71+B426*AA$71+C426*AB$71+D426*AC$71)+F426/100*$B$7*AE$71-$C$71</f>
        <v/>
      </c>
      <c r="L426" s="13">
        <f>$B$7*(A426*AG$71+B426*AH$71+C426*AI$71+D426*AJ$71)+F426/100*$B$7*AL$71-$C$71</f>
        <v/>
      </c>
      <c r="M426" s="13">
        <f>$B$7*(A426*AN$71+B426*AO$71+C426*AP$71+D426*AQ$71)+F426/100*$B$7*AS$71-$C$71</f>
        <v/>
      </c>
      <c r="N426" s="13">
        <f>SUMPRODUCT($H$24:$M$24,H426:M426)</f>
        <v/>
      </c>
      <c r="O426" s="14">
        <f>SQRT(SUMPRODUCT($H$24:$M$24,(H426:M426-N426)^2))</f>
        <v/>
      </c>
      <c r="P426" s="13">
        <f>MIN(H426:M426)</f>
        <v/>
      </c>
      <c r="Q426" s="13">
        <f>MAX(H426:M426)</f>
        <v/>
      </c>
      <c r="R426" s="27">
        <f>IF(G426,SUMPRODUCT(($G$76:$G$1505)*($N$76:$N$1505&gt;=N426)*($O$76:$O$1505&lt;=O426))=1,FALSE)</f>
        <v/>
      </c>
      <c r="S426" s="16">
        <f>IF(R426,ABS((O426-$AC$76)/MAX(0.0001,$AC$77-$AC$76)-(N426-$AC$78)/MAX(0.0001,$AC$79-$AC$78)),-1)</f>
        <v/>
      </c>
      <c r="T426" s="14">
        <f>IF(G426,O426,NA())</f>
        <v/>
      </c>
      <c r="U426" s="13">
        <f>IF(G426,N426,NA())</f>
        <v/>
      </c>
      <c r="V426" s="14">
        <f>IF(R426,O426,NA())</f>
        <v/>
      </c>
      <c r="W426" s="13">
        <f>IF(R426,N426,NA())</f>
        <v/>
      </c>
      <c r="X426" s="27">
        <f>IF(G426,P426,"")</f>
        <v/>
      </c>
      <c r="Y426" s="27">
        <f>IF(G426,N426,"")</f>
        <v/>
      </c>
      <c r="Z426" s="27">
        <f>IF(R426,O426,"")</f>
        <v/>
      </c>
      <c r="AA426" s="27">
        <f>IF(R426,N426,"")</f>
        <v/>
      </c>
    </row>
    <row r="427">
      <c r="A427" s="31" t="n">
        <v>0.1</v>
      </c>
      <c r="B427" s="31" t="n">
        <v>0</v>
      </c>
      <c r="C427" s="31" t="n">
        <v>0.4</v>
      </c>
      <c r="D427" s="31" t="n">
        <v>0.5</v>
      </c>
      <c r="E427" s="27" t="inlineStr">
        <is>
          <t>ON 10%/2M 40%/3M 50%</t>
        </is>
      </c>
      <c r="F427" s="27" t="n">
        <v>25</v>
      </c>
      <c r="G427" s="27">
        <f>A427*$B$7&gt;=$B$9</f>
        <v/>
      </c>
      <c r="H427" s="13">
        <f>$B$7*(A427*E$71+B427*F$71+C427*G$71+D427*H$71)+F427/100*$B$7*J$71-$C$71</f>
        <v/>
      </c>
      <c r="I427" s="13">
        <f>$B$7*(A427*L$71+B427*M$71+C427*N$71+D427*O$71)+F427/100*$B$7*Q$71-$C$71</f>
        <v/>
      </c>
      <c r="J427" s="13">
        <f>$B$7*(A427*S$71+B427*T$71+C427*U$71+D427*V$71)+F427/100*$B$7*X$71-$C$71</f>
        <v/>
      </c>
      <c r="K427" s="13">
        <f>$B$7*(A427*Z$71+B427*AA$71+C427*AB$71+D427*AC$71)+F427/100*$B$7*AE$71-$C$71</f>
        <v/>
      </c>
      <c r="L427" s="13">
        <f>$B$7*(A427*AG$71+B427*AH$71+C427*AI$71+D427*AJ$71)+F427/100*$B$7*AL$71-$C$71</f>
        <v/>
      </c>
      <c r="M427" s="13">
        <f>$B$7*(A427*AN$71+B427*AO$71+C427*AP$71+D427*AQ$71)+F427/100*$B$7*AS$71-$C$71</f>
        <v/>
      </c>
      <c r="N427" s="13">
        <f>SUMPRODUCT($H$24:$M$24,H427:M427)</f>
        <v/>
      </c>
      <c r="O427" s="14">
        <f>SQRT(SUMPRODUCT($H$24:$M$24,(H427:M427-N427)^2))</f>
        <v/>
      </c>
      <c r="P427" s="13">
        <f>MIN(H427:M427)</f>
        <v/>
      </c>
      <c r="Q427" s="13">
        <f>MAX(H427:M427)</f>
        <v/>
      </c>
      <c r="R427" s="27">
        <f>IF(G427,SUMPRODUCT(($G$76:$G$1505)*($N$76:$N$1505&gt;=N427)*($O$76:$O$1505&lt;=O427))=1,FALSE)</f>
        <v/>
      </c>
      <c r="S427" s="16">
        <f>IF(R427,ABS((O427-$AC$76)/MAX(0.0001,$AC$77-$AC$76)-(N427-$AC$78)/MAX(0.0001,$AC$79-$AC$78)),-1)</f>
        <v/>
      </c>
      <c r="T427" s="14">
        <f>IF(G427,O427,NA())</f>
        <v/>
      </c>
      <c r="U427" s="13">
        <f>IF(G427,N427,NA())</f>
        <v/>
      </c>
      <c r="V427" s="14">
        <f>IF(R427,O427,NA())</f>
        <v/>
      </c>
      <c r="W427" s="13">
        <f>IF(R427,N427,NA())</f>
        <v/>
      </c>
      <c r="X427" s="27">
        <f>IF(G427,P427,"")</f>
        <v/>
      </c>
      <c r="Y427" s="27">
        <f>IF(G427,N427,"")</f>
        <v/>
      </c>
      <c r="Z427" s="27">
        <f>IF(R427,O427,"")</f>
        <v/>
      </c>
      <c r="AA427" s="27">
        <f>IF(R427,N427,"")</f>
        <v/>
      </c>
    </row>
    <row r="428">
      <c r="A428" s="31" t="n">
        <v>0.1</v>
      </c>
      <c r="B428" s="31" t="n">
        <v>0</v>
      </c>
      <c r="C428" s="31" t="n">
        <v>0.4</v>
      </c>
      <c r="D428" s="31" t="n">
        <v>0.5</v>
      </c>
      <c r="E428" s="27" t="inlineStr">
        <is>
          <t>ON 10%/2M 40%/3M 50%</t>
        </is>
      </c>
      <c r="F428" s="27" t="n">
        <v>50</v>
      </c>
      <c r="G428" s="27">
        <f>A428*$B$7&gt;=$B$9</f>
        <v/>
      </c>
      <c r="H428" s="13">
        <f>$B$7*(A428*E$71+B428*F$71+C428*G$71+D428*H$71)+F428/100*$B$7*J$71-$C$71</f>
        <v/>
      </c>
      <c r="I428" s="13">
        <f>$B$7*(A428*L$71+B428*M$71+C428*N$71+D428*O$71)+F428/100*$B$7*Q$71-$C$71</f>
        <v/>
      </c>
      <c r="J428" s="13">
        <f>$B$7*(A428*S$71+B428*T$71+C428*U$71+D428*V$71)+F428/100*$B$7*X$71-$C$71</f>
        <v/>
      </c>
      <c r="K428" s="13">
        <f>$B$7*(A428*Z$71+B428*AA$71+C428*AB$71+D428*AC$71)+F428/100*$B$7*AE$71-$C$71</f>
        <v/>
      </c>
      <c r="L428" s="13">
        <f>$B$7*(A428*AG$71+B428*AH$71+C428*AI$71+D428*AJ$71)+F428/100*$B$7*AL$71-$C$71</f>
        <v/>
      </c>
      <c r="M428" s="13">
        <f>$B$7*(A428*AN$71+B428*AO$71+C428*AP$71+D428*AQ$71)+F428/100*$B$7*AS$71-$C$71</f>
        <v/>
      </c>
      <c r="N428" s="13">
        <f>SUMPRODUCT($H$24:$M$24,H428:M428)</f>
        <v/>
      </c>
      <c r="O428" s="14">
        <f>SQRT(SUMPRODUCT($H$24:$M$24,(H428:M428-N428)^2))</f>
        <v/>
      </c>
      <c r="P428" s="13">
        <f>MIN(H428:M428)</f>
        <v/>
      </c>
      <c r="Q428" s="13">
        <f>MAX(H428:M428)</f>
        <v/>
      </c>
      <c r="R428" s="27">
        <f>IF(G428,SUMPRODUCT(($G$76:$G$1505)*($N$76:$N$1505&gt;=N428)*($O$76:$O$1505&lt;=O428))=1,FALSE)</f>
        <v/>
      </c>
      <c r="S428" s="16">
        <f>IF(R428,ABS((O428-$AC$76)/MAX(0.0001,$AC$77-$AC$76)-(N428-$AC$78)/MAX(0.0001,$AC$79-$AC$78)),-1)</f>
        <v/>
      </c>
      <c r="T428" s="14">
        <f>IF(G428,O428,NA())</f>
        <v/>
      </c>
      <c r="U428" s="13">
        <f>IF(G428,N428,NA())</f>
        <v/>
      </c>
      <c r="V428" s="14">
        <f>IF(R428,O428,NA())</f>
        <v/>
      </c>
      <c r="W428" s="13">
        <f>IF(R428,N428,NA())</f>
        <v/>
      </c>
      <c r="X428" s="27">
        <f>IF(G428,P428,"")</f>
        <v/>
      </c>
      <c r="Y428" s="27">
        <f>IF(G428,N428,"")</f>
        <v/>
      </c>
      <c r="Z428" s="27">
        <f>IF(R428,O428,"")</f>
        <v/>
      </c>
      <c r="AA428" s="27">
        <f>IF(R428,N428,"")</f>
        <v/>
      </c>
    </row>
    <row r="429">
      <c r="A429" s="31" t="n">
        <v>0.1</v>
      </c>
      <c r="B429" s="31" t="n">
        <v>0</v>
      </c>
      <c r="C429" s="31" t="n">
        <v>0.4</v>
      </c>
      <c r="D429" s="31" t="n">
        <v>0.5</v>
      </c>
      <c r="E429" s="27" t="inlineStr">
        <is>
          <t>ON 10%/2M 40%/3M 50%</t>
        </is>
      </c>
      <c r="F429" s="27" t="n">
        <v>75</v>
      </c>
      <c r="G429" s="27">
        <f>A429*$B$7&gt;=$B$9</f>
        <v/>
      </c>
      <c r="H429" s="13">
        <f>$B$7*(A429*E$71+B429*F$71+C429*G$71+D429*H$71)+F429/100*$B$7*J$71-$C$71</f>
        <v/>
      </c>
      <c r="I429" s="13">
        <f>$B$7*(A429*L$71+B429*M$71+C429*N$71+D429*O$71)+F429/100*$B$7*Q$71-$C$71</f>
        <v/>
      </c>
      <c r="J429" s="13">
        <f>$B$7*(A429*S$71+B429*T$71+C429*U$71+D429*V$71)+F429/100*$B$7*X$71-$C$71</f>
        <v/>
      </c>
      <c r="K429" s="13">
        <f>$B$7*(A429*Z$71+B429*AA$71+C429*AB$71+D429*AC$71)+F429/100*$B$7*AE$71-$C$71</f>
        <v/>
      </c>
      <c r="L429" s="13">
        <f>$B$7*(A429*AG$71+B429*AH$71+C429*AI$71+D429*AJ$71)+F429/100*$B$7*AL$71-$C$71</f>
        <v/>
      </c>
      <c r="M429" s="13">
        <f>$B$7*(A429*AN$71+B429*AO$71+C429*AP$71+D429*AQ$71)+F429/100*$B$7*AS$71-$C$71</f>
        <v/>
      </c>
      <c r="N429" s="13">
        <f>SUMPRODUCT($H$24:$M$24,H429:M429)</f>
        <v/>
      </c>
      <c r="O429" s="14">
        <f>SQRT(SUMPRODUCT($H$24:$M$24,(H429:M429-N429)^2))</f>
        <v/>
      </c>
      <c r="P429" s="13">
        <f>MIN(H429:M429)</f>
        <v/>
      </c>
      <c r="Q429" s="13">
        <f>MAX(H429:M429)</f>
        <v/>
      </c>
      <c r="R429" s="27">
        <f>IF(G429,SUMPRODUCT(($G$76:$G$1505)*($N$76:$N$1505&gt;=N429)*($O$76:$O$1505&lt;=O429))=1,FALSE)</f>
        <v/>
      </c>
      <c r="S429" s="16">
        <f>IF(R429,ABS((O429-$AC$76)/MAX(0.0001,$AC$77-$AC$76)-(N429-$AC$78)/MAX(0.0001,$AC$79-$AC$78)),-1)</f>
        <v/>
      </c>
      <c r="T429" s="14">
        <f>IF(G429,O429,NA())</f>
        <v/>
      </c>
      <c r="U429" s="13">
        <f>IF(G429,N429,NA())</f>
        <v/>
      </c>
      <c r="V429" s="14">
        <f>IF(R429,O429,NA())</f>
        <v/>
      </c>
      <c r="W429" s="13">
        <f>IF(R429,N429,NA())</f>
        <v/>
      </c>
      <c r="X429" s="27">
        <f>IF(G429,P429,"")</f>
        <v/>
      </c>
      <c r="Y429" s="27">
        <f>IF(G429,N429,"")</f>
        <v/>
      </c>
      <c r="Z429" s="27">
        <f>IF(R429,O429,"")</f>
        <v/>
      </c>
      <c r="AA429" s="27">
        <f>IF(R429,N429,"")</f>
        <v/>
      </c>
    </row>
    <row r="430">
      <c r="A430" s="31" t="n">
        <v>0.1</v>
      </c>
      <c r="B430" s="31" t="n">
        <v>0</v>
      </c>
      <c r="C430" s="31" t="n">
        <v>0.4</v>
      </c>
      <c r="D430" s="31" t="n">
        <v>0.5</v>
      </c>
      <c r="E430" s="27" t="inlineStr">
        <is>
          <t>ON 10%/2M 40%/3M 50%</t>
        </is>
      </c>
      <c r="F430" s="27" t="n">
        <v>100</v>
      </c>
      <c r="G430" s="27">
        <f>A430*$B$7&gt;=$B$9</f>
        <v/>
      </c>
      <c r="H430" s="13">
        <f>$B$7*(A430*E$71+B430*F$71+C430*G$71+D430*H$71)+F430/100*$B$7*J$71-$C$71</f>
        <v/>
      </c>
      <c r="I430" s="13">
        <f>$B$7*(A430*L$71+B430*M$71+C430*N$71+D430*O$71)+F430/100*$B$7*Q$71-$C$71</f>
        <v/>
      </c>
      <c r="J430" s="13">
        <f>$B$7*(A430*S$71+B430*T$71+C430*U$71+D430*V$71)+F430/100*$B$7*X$71-$C$71</f>
        <v/>
      </c>
      <c r="K430" s="13">
        <f>$B$7*(A430*Z$71+B430*AA$71+C430*AB$71+D430*AC$71)+F430/100*$B$7*AE$71-$C$71</f>
        <v/>
      </c>
      <c r="L430" s="13">
        <f>$B$7*(A430*AG$71+B430*AH$71+C430*AI$71+D430*AJ$71)+F430/100*$B$7*AL$71-$C$71</f>
        <v/>
      </c>
      <c r="M430" s="13">
        <f>$B$7*(A430*AN$71+B430*AO$71+C430*AP$71+D430*AQ$71)+F430/100*$B$7*AS$71-$C$71</f>
        <v/>
      </c>
      <c r="N430" s="13">
        <f>SUMPRODUCT($H$24:$M$24,H430:M430)</f>
        <v/>
      </c>
      <c r="O430" s="14">
        <f>SQRT(SUMPRODUCT($H$24:$M$24,(H430:M430-N430)^2))</f>
        <v/>
      </c>
      <c r="P430" s="13">
        <f>MIN(H430:M430)</f>
        <v/>
      </c>
      <c r="Q430" s="13">
        <f>MAX(H430:M430)</f>
        <v/>
      </c>
      <c r="R430" s="27">
        <f>IF(G430,SUMPRODUCT(($G$76:$G$1505)*($N$76:$N$1505&gt;=N430)*($O$76:$O$1505&lt;=O430))=1,FALSE)</f>
        <v/>
      </c>
      <c r="S430" s="16">
        <f>IF(R430,ABS((O430-$AC$76)/MAX(0.0001,$AC$77-$AC$76)-(N430-$AC$78)/MAX(0.0001,$AC$79-$AC$78)),-1)</f>
        <v/>
      </c>
      <c r="T430" s="14">
        <f>IF(G430,O430,NA())</f>
        <v/>
      </c>
      <c r="U430" s="13">
        <f>IF(G430,N430,NA())</f>
        <v/>
      </c>
      <c r="V430" s="14">
        <f>IF(R430,O430,NA())</f>
        <v/>
      </c>
      <c r="W430" s="13">
        <f>IF(R430,N430,NA())</f>
        <v/>
      </c>
      <c r="X430" s="27">
        <f>IF(G430,P430,"")</f>
        <v/>
      </c>
      <c r="Y430" s="27">
        <f>IF(G430,N430,"")</f>
        <v/>
      </c>
      <c r="Z430" s="27">
        <f>IF(R430,O430,"")</f>
        <v/>
      </c>
      <c r="AA430" s="27">
        <f>IF(R430,N430,"")</f>
        <v/>
      </c>
    </row>
    <row r="431">
      <c r="A431" s="31" t="n">
        <v>0.1</v>
      </c>
      <c r="B431" s="31" t="n">
        <v>0</v>
      </c>
      <c r="C431" s="31" t="n">
        <v>0.5</v>
      </c>
      <c r="D431" s="31" t="n">
        <v>0.4</v>
      </c>
      <c r="E431" s="27" t="inlineStr">
        <is>
          <t>ON 10%/2M 50%/3M 40%</t>
        </is>
      </c>
      <c r="F431" s="27" t="n">
        <v>0</v>
      </c>
      <c r="G431" s="27">
        <f>A431*$B$7&gt;=$B$9</f>
        <v/>
      </c>
      <c r="H431" s="13">
        <f>$B$7*(A431*E$71+B431*F$71+C431*G$71+D431*H$71)+F431/100*$B$7*J$71-$C$71</f>
        <v/>
      </c>
      <c r="I431" s="13">
        <f>$B$7*(A431*L$71+B431*M$71+C431*N$71+D431*O$71)+F431/100*$B$7*Q$71-$C$71</f>
        <v/>
      </c>
      <c r="J431" s="13">
        <f>$B$7*(A431*S$71+B431*T$71+C431*U$71+D431*V$71)+F431/100*$B$7*X$71-$C$71</f>
        <v/>
      </c>
      <c r="K431" s="13">
        <f>$B$7*(A431*Z$71+B431*AA$71+C431*AB$71+D431*AC$71)+F431/100*$B$7*AE$71-$C$71</f>
        <v/>
      </c>
      <c r="L431" s="13">
        <f>$B$7*(A431*AG$71+B431*AH$71+C431*AI$71+D431*AJ$71)+F431/100*$B$7*AL$71-$C$71</f>
        <v/>
      </c>
      <c r="M431" s="13">
        <f>$B$7*(A431*AN$71+B431*AO$71+C431*AP$71+D431*AQ$71)+F431/100*$B$7*AS$71-$C$71</f>
        <v/>
      </c>
      <c r="N431" s="13">
        <f>SUMPRODUCT($H$24:$M$24,H431:M431)</f>
        <v/>
      </c>
      <c r="O431" s="14">
        <f>SQRT(SUMPRODUCT($H$24:$M$24,(H431:M431-N431)^2))</f>
        <v/>
      </c>
      <c r="P431" s="13">
        <f>MIN(H431:M431)</f>
        <v/>
      </c>
      <c r="Q431" s="13">
        <f>MAX(H431:M431)</f>
        <v/>
      </c>
      <c r="R431" s="27">
        <f>IF(G431,SUMPRODUCT(($G$76:$G$1505)*($N$76:$N$1505&gt;=N431)*($O$76:$O$1505&lt;=O431))=1,FALSE)</f>
        <v/>
      </c>
      <c r="S431" s="16">
        <f>IF(R431,ABS((O431-$AC$76)/MAX(0.0001,$AC$77-$AC$76)-(N431-$AC$78)/MAX(0.0001,$AC$79-$AC$78)),-1)</f>
        <v/>
      </c>
      <c r="T431" s="14">
        <f>IF(G431,O431,NA())</f>
        <v/>
      </c>
      <c r="U431" s="13">
        <f>IF(G431,N431,NA())</f>
        <v/>
      </c>
      <c r="V431" s="14">
        <f>IF(R431,O431,NA())</f>
        <v/>
      </c>
      <c r="W431" s="13">
        <f>IF(R431,N431,NA())</f>
        <v/>
      </c>
      <c r="X431" s="27">
        <f>IF(G431,P431,"")</f>
        <v/>
      </c>
      <c r="Y431" s="27">
        <f>IF(G431,N431,"")</f>
        <v/>
      </c>
      <c r="Z431" s="27">
        <f>IF(R431,O431,"")</f>
        <v/>
      </c>
      <c r="AA431" s="27">
        <f>IF(R431,N431,"")</f>
        <v/>
      </c>
    </row>
    <row r="432">
      <c r="A432" s="31" t="n">
        <v>0.1</v>
      </c>
      <c r="B432" s="31" t="n">
        <v>0</v>
      </c>
      <c r="C432" s="31" t="n">
        <v>0.5</v>
      </c>
      <c r="D432" s="31" t="n">
        <v>0.4</v>
      </c>
      <c r="E432" s="27" t="inlineStr">
        <is>
          <t>ON 10%/2M 50%/3M 40%</t>
        </is>
      </c>
      <c r="F432" s="27" t="n">
        <v>25</v>
      </c>
      <c r="G432" s="27">
        <f>A432*$B$7&gt;=$B$9</f>
        <v/>
      </c>
      <c r="H432" s="13">
        <f>$B$7*(A432*E$71+B432*F$71+C432*G$71+D432*H$71)+F432/100*$B$7*J$71-$C$71</f>
        <v/>
      </c>
      <c r="I432" s="13">
        <f>$B$7*(A432*L$71+B432*M$71+C432*N$71+D432*O$71)+F432/100*$B$7*Q$71-$C$71</f>
        <v/>
      </c>
      <c r="J432" s="13">
        <f>$B$7*(A432*S$71+B432*T$71+C432*U$71+D432*V$71)+F432/100*$B$7*X$71-$C$71</f>
        <v/>
      </c>
      <c r="K432" s="13">
        <f>$B$7*(A432*Z$71+B432*AA$71+C432*AB$71+D432*AC$71)+F432/100*$B$7*AE$71-$C$71</f>
        <v/>
      </c>
      <c r="L432" s="13">
        <f>$B$7*(A432*AG$71+B432*AH$71+C432*AI$71+D432*AJ$71)+F432/100*$B$7*AL$71-$C$71</f>
        <v/>
      </c>
      <c r="M432" s="13">
        <f>$B$7*(A432*AN$71+B432*AO$71+C432*AP$71+D432*AQ$71)+F432/100*$B$7*AS$71-$C$71</f>
        <v/>
      </c>
      <c r="N432" s="13">
        <f>SUMPRODUCT($H$24:$M$24,H432:M432)</f>
        <v/>
      </c>
      <c r="O432" s="14">
        <f>SQRT(SUMPRODUCT($H$24:$M$24,(H432:M432-N432)^2))</f>
        <v/>
      </c>
      <c r="P432" s="13">
        <f>MIN(H432:M432)</f>
        <v/>
      </c>
      <c r="Q432" s="13">
        <f>MAX(H432:M432)</f>
        <v/>
      </c>
      <c r="R432" s="27">
        <f>IF(G432,SUMPRODUCT(($G$76:$G$1505)*($N$76:$N$1505&gt;=N432)*($O$76:$O$1505&lt;=O432))=1,FALSE)</f>
        <v/>
      </c>
      <c r="S432" s="16">
        <f>IF(R432,ABS((O432-$AC$76)/MAX(0.0001,$AC$77-$AC$76)-(N432-$AC$78)/MAX(0.0001,$AC$79-$AC$78)),-1)</f>
        <v/>
      </c>
      <c r="T432" s="14">
        <f>IF(G432,O432,NA())</f>
        <v/>
      </c>
      <c r="U432" s="13">
        <f>IF(G432,N432,NA())</f>
        <v/>
      </c>
      <c r="V432" s="14">
        <f>IF(R432,O432,NA())</f>
        <v/>
      </c>
      <c r="W432" s="13">
        <f>IF(R432,N432,NA())</f>
        <v/>
      </c>
      <c r="X432" s="27">
        <f>IF(G432,P432,"")</f>
        <v/>
      </c>
      <c r="Y432" s="27">
        <f>IF(G432,N432,"")</f>
        <v/>
      </c>
      <c r="Z432" s="27">
        <f>IF(R432,O432,"")</f>
        <v/>
      </c>
      <c r="AA432" s="27">
        <f>IF(R432,N432,"")</f>
        <v/>
      </c>
    </row>
    <row r="433">
      <c r="A433" s="31" t="n">
        <v>0.1</v>
      </c>
      <c r="B433" s="31" t="n">
        <v>0</v>
      </c>
      <c r="C433" s="31" t="n">
        <v>0.5</v>
      </c>
      <c r="D433" s="31" t="n">
        <v>0.4</v>
      </c>
      <c r="E433" s="27" t="inlineStr">
        <is>
          <t>ON 10%/2M 50%/3M 40%</t>
        </is>
      </c>
      <c r="F433" s="27" t="n">
        <v>50</v>
      </c>
      <c r="G433" s="27">
        <f>A433*$B$7&gt;=$B$9</f>
        <v/>
      </c>
      <c r="H433" s="13">
        <f>$B$7*(A433*E$71+B433*F$71+C433*G$71+D433*H$71)+F433/100*$B$7*J$71-$C$71</f>
        <v/>
      </c>
      <c r="I433" s="13">
        <f>$B$7*(A433*L$71+B433*M$71+C433*N$71+D433*O$71)+F433/100*$B$7*Q$71-$C$71</f>
        <v/>
      </c>
      <c r="J433" s="13">
        <f>$B$7*(A433*S$71+B433*T$71+C433*U$71+D433*V$71)+F433/100*$B$7*X$71-$C$71</f>
        <v/>
      </c>
      <c r="K433" s="13">
        <f>$B$7*(A433*Z$71+B433*AA$71+C433*AB$71+D433*AC$71)+F433/100*$B$7*AE$71-$C$71</f>
        <v/>
      </c>
      <c r="L433" s="13">
        <f>$B$7*(A433*AG$71+B433*AH$71+C433*AI$71+D433*AJ$71)+F433/100*$B$7*AL$71-$C$71</f>
        <v/>
      </c>
      <c r="M433" s="13">
        <f>$B$7*(A433*AN$71+B433*AO$71+C433*AP$71+D433*AQ$71)+F433/100*$B$7*AS$71-$C$71</f>
        <v/>
      </c>
      <c r="N433" s="13">
        <f>SUMPRODUCT($H$24:$M$24,H433:M433)</f>
        <v/>
      </c>
      <c r="O433" s="14">
        <f>SQRT(SUMPRODUCT($H$24:$M$24,(H433:M433-N433)^2))</f>
        <v/>
      </c>
      <c r="P433" s="13">
        <f>MIN(H433:M433)</f>
        <v/>
      </c>
      <c r="Q433" s="13">
        <f>MAX(H433:M433)</f>
        <v/>
      </c>
      <c r="R433" s="27">
        <f>IF(G433,SUMPRODUCT(($G$76:$G$1505)*($N$76:$N$1505&gt;=N433)*($O$76:$O$1505&lt;=O433))=1,FALSE)</f>
        <v/>
      </c>
      <c r="S433" s="16">
        <f>IF(R433,ABS((O433-$AC$76)/MAX(0.0001,$AC$77-$AC$76)-(N433-$AC$78)/MAX(0.0001,$AC$79-$AC$78)),-1)</f>
        <v/>
      </c>
      <c r="T433" s="14">
        <f>IF(G433,O433,NA())</f>
        <v/>
      </c>
      <c r="U433" s="13">
        <f>IF(G433,N433,NA())</f>
        <v/>
      </c>
      <c r="V433" s="14">
        <f>IF(R433,O433,NA())</f>
        <v/>
      </c>
      <c r="W433" s="13">
        <f>IF(R433,N433,NA())</f>
        <v/>
      </c>
      <c r="X433" s="27">
        <f>IF(G433,P433,"")</f>
        <v/>
      </c>
      <c r="Y433" s="27">
        <f>IF(G433,N433,"")</f>
        <v/>
      </c>
      <c r="Z433" s="27">
        <f>IF(R433,O433,"")</f>
        <v/>
      </c>
      <c r="AA433" s="27">
        <f>IF(R433,N433,"")</f>
        <v/>
      </c>
    </row>
    <row r="434">
      <c r="A434" s="31" t="n">
        <v>0.1</v>
      </c>
      <c r="B434" s="31" t="n">
        <v>0</v>
      </c>
      <c r="C434" s="31" t="n">
        <v>0.5</v>
      </c>
      <c r="D434" s="31" t="n">
        <v>0.4</v>
      </c>
      <c r="E434" s="27" t="inlineStr">
        <is>
          <t>ON 10%/2M 50%/3M 40%</t>
        </is>
      </c>
      <c r="F434" s="27" t="n">
        <v>75</v>
      </c>
      <c r="G434" s="27">
        <f>A434*$B$7&gt;=$B$9</f>
        <v/>
      </c>
      <c r="H434" s="13">
        <f>$B$7*(A434*E$71+B434*F$71+C434*G$71+D434*H$71)+F434/100*$B$7*J$71-$C$71</f>
        <v/>
      </c>
      <c r="I434" s="13">
        <f>$B$7*(A434*L$71+B434*M$71+C434*N$71+D434*O$71)+F434/100*$B$7*Q$71-$C$71</f>
        <v/>
      </c>
      <c r="J434" s="13">
        <f>$B$7*(A434*S$71+B434*T$71+C434*U$71+D434*V$71)+F434/100*$B$7*X$71-$C$71</f>
        <v/>
      </c>
      <c r="K434" s="13">
        <f>$B$7*(A434*Z$71+B434*AA$71+C434*AB$71+D434*AC$71)+F434/100*$B$7*AE$71-$C$71</f>
        <v/>
      </c>
      <c r="L434" s="13">
        <f>$B$7*(A434*AG$71+B434*AH$71+C434*AI$71+D434*AJ$71)+F434/100*$B$7*AL$71-$C$71</f>
        <v/>
      </c>
      <c r="M434" s="13">
        <f>$B$7*(A434*AN$71+B434*AO$71+C434*AP$71+D434*AQ$71)+F434/100*$B$7*AS$71-$C$71</f>
        <v/>
      </c>
      <c r="N434" s="13">
        <f>SUMPRODUCT($H$24:$M$24,H434:M434)</f>
        <v/>
      </c>
      <c r="O434" s="14">
        <f>SQRT(SUMPRODUCT($H$24:$M$24,(H434:M434-N434)^2))</f>
        <v/>
      </c>
      <c r="P434" s="13">
        <f>MIN(H434:M434)</f>
        <v/>
      </c>
      <c r="Q434" s="13">
        <f>MAX(H434:M434)</f>
        <v/>
      </c>
      <c r="R434" s="27">
        <f>IF(G434,SUMPRODUCT(($G$76:$G$1505)*($N$76:$N$1505&gt;=N434)*($O$76:$O$1505&lt;=O434))=1,FALSE)</f>
        <v/>
      </c>
      <c r="S434" s="16">
        <f>IF(R434,ABS((O434-$AC$76)/MAX(0.0001,$AC$77-$AC$76)-(N434-$AC$78)/MAX(0.0001,$AC$79-$AC$78)),-1)</f>
        <v/>
      </c>
      <c r="T434" s="14">
        <f>IF(G434,O434,NA())</f>
        <v/>
      </c>
      <c r="U434" s="13">
        <f>IF(G434,N434,NA())</f>
        <v/>
      </c>
      <c r="V434" s="14">
        <f>IF(R434,O434,NA())</f>
        <v/>
      </c>
      <c r="W434" s="13">
        <f>IF(R434,N434,NA())</f>
        <v/>
      </c>
      <c r="X434" s="27">
        <f>IF(G434,P434,"")</f>
        <v/>
      </c>
      <c r="Y434" s="27">
        <f>IF(G434,N434,"")</f>
        <v/>
      </c>
      <c r="Z434" s="27">
        <f>IF(R434,O434,"")</f>
        <v/>
      </c>
      <c r="AA434" s="27">
        <f>IF(R434,N434,"")</f>
        <v/>
      </c>
    </row>
    <row r="435">
      <c r="A435" s="31" t="n">
        <v>0.1</v>
      </c>
      <c r="B435" s="31" t="n">
        <v>0</v>
      </c>
      <c r="C435" s="31" t="n">
        <v>0.5</v>
      </c>
      <c r="D435" s="31" t="n">
        <v>0.4</v>
      </c>
      <c r="E435" s="27" t="inlineStr">
        <is>
          <t>ON 10%/2M 50%/3M 40%</t>
        </is>
      </c>
      <c r="F435" s="27" t="n">
        <v>100</v>
      </c>
      <c r="G435" s="27">
        <f>A435*$B$7&gt;=$B$9</f>
        <v/>
      </c>
      <c r="H435" s="13">
        <f>$B$7*(A435*E$71+B435*F$71+C435*G$71+D435*H$71)+F435/100*$B$7*J$71-$C$71</f>
        <v/>
      </c>
      <c r="I435" s="13">
        <f>$B$7*(A435*L$71+B435*M$71+C435*N$71+D435*O$71)+F435/100*$B$7*Q$71-$C$71</f>
        <v/>
      </c>
      <c r="J435" s="13">
        <f>$B$7*(A435*S$71+B435*T$71+C435*U$71+D435*V$71)+F435/100*$B$7*X$71-$C$71</f>
        <v/>
      </c>
      <c r="K435" s="13">
        <f>$B$7*(A435*Z$71+B435*AA$71+C435*AB$71+D435*AC$71)+F435/100*$B$7*AE$71-$C$71</f>
        <v/>
      </c>
      <c r="L435" s="13">
        <f>$B$7*(A435*AG$71+B435*AH$71+C435*AI$71+D435*AJ$71)+F435/100*$B$7*AL$71-$C$71</f>
        <v/>
      </c>
      <c r="M435" s="13">
        <f>$B$7*(A435*AN$71+B435*AO$71+C435*AP$71+D435*AQ$71)+F435/100*$B$7*AS$71-$C$71</f>
        <v/>
      </c>
      <c r="N435" s="13">
        <f>SUMPRODUCT($H$24:$M$24,H435:M435)</f>
        <v/>
      </c>
      <c r="O435" s="14">
        <f>SQRT(SUMPRODUCT($H$24:$M$24,(H435:M435-N435)^2))</f>
        <v/>
      </c>
      <c r="P435" s="13">
        <f>MIN(H435:M435)</f>
        <v/>
      </c>
      <c r="Q435" s="13">
        <f>MAX(H435:M435)</f>
        <v/>
      </c>
      <c r="R435" s="27">
        <f>IF(G435,SUMPRODUCT(($G$76:$G$1505)*($N$76:$N$1505&gt;=N435)*($O$76:$O$1505&lt;=O435))=1,FALSE)</f>
        <v/>
      </c>
      <c r="S435" s="16">
        <f>IF(R435,ABS((O435-$AC$76)/MAX(0.0001,$AC$77-$AC$76)-(N435-$AC$78)/MAX(0.0001,$AC$79-$AC$78)),-1)</f>
        <v/>
      </c>
      <c r="T435" s="14">
        <f>IF(G435,O435,NA())</f>
        <v/>
      </c>
      <c r="U435" s="13">
        <f>IF(G435,N435,NA())</f>
        <v/>
      </c>
      <c r="V435" s="14">
        <f>IF(R435,O435,NA())</f>
        <v/>
      </c>
      <c r="W435" s="13">
        <f>IF(R435,N435,NA())</f>
        <v/>
      </c>
      <c r="X435" s="27">
        <f>IF(G435,P435,"")</f>
        <v/>
      </c>
      <c r="Y435" s="27">
        <f>IF(G435,N435,"")</f>
        <v/>
      </c>
      <c r="Z435" s="27">
        <f>IF(R435,O435,"")</f>
        <v/>
      </c>
      <c r="AA435" s="27">
        <f>IF(R435,N435,"")</f>
        <v/>
      </c>
    </row>
    <row r="436">
      <c r="A436" s="31" t="n">
        <v>0.1</v>
      </c>
      <c r="B436" s="31" t="n">
        <v>0</v>
      </c>
      <c r="C436" s="31" t="n">
        <v>0.6</v>
      </c>
      <c r="D436" s="31" t="n">
        <v>0.3</v>
      </c>
      <c r="E436" s="27" t="inlineStr">
        <is>
          <t>ON 10%/2M 60%/3M 30%</t>
        </is>
      </c>
      <c r="F436" s="27" t="n">
        <v>0</v>
      </c>
      <c r="G436" s="27">
        <f>A436*$B$7&gt;=$B$9</f>
        <v/>
      </c>
      <c r="H436" s="13">
        <f>$B$7*(A436*E$71+B436*F$71+C436*G$71+D436*H$71)+F436/100*$B$7*J$71-$C$71</f>
        <v/>
      </c>
      <c r="I436" s="13">
        <f>$B$7*(A436*L$71+B436*M$71+C436*N$71+D436*O$71)+F436/100*$B$7*Q$71-$C$71</f>
        <v/>
      </c>
      <c r="J436" s="13">
        <f>$B$7*(A436*S$71+B436*T$71+C436*U$71+D436*V$71)+F436/100*$B$7*X$71-$C$71</f>
        <v/>
      </c>
      <c r="K436" s="13">
        <f>$B$7*(A436*Z$71+B436*AA$71+C436*AB$71+D436*AC$71)+F436/100*$B$7*AE$71-$C$71</f>
        <v/>
      </c>
      <c r="L436" s="13">
        <f>$B$7*(A436*AG$71+B436*AH$71+C436*AI$71+D436*AJ$71)+F436/100*$B$7*AL$71-$C$71</f>
        <v/>
      </c>
      <c r="M436" s="13">
        <f>$B$7*(A436*AN$71+B436*AO$71+C436*AP$71+D436*AQ$71)+F436/100*$B$7*AS$71-$C$71</f>
        <v/>
      </c>
      <c r="N436" s="13">
        <f>SUMPRODUCT($H$24:$M$24,H436:M436)</f>
        <v/>
      </c>
      <c r="O436" s="14">
        <f>SQRT(SUMPRODUCT($H$24:$M$24,(H436:M436-N436)^2))</f>
        <v/>
      </c>
      <c r="P436" s="13">
        <f>MIN(H436:M436)</f>
        <v/>
      </c>
      <c r="Q436" s="13">
        <f>MAX(H436:M436)</f>
        <v/>
      </c>
      <c r="R436" s="27">
        <f>IF(G436,SUMPRODUCT(($G$76:$G$1505)*($N$76:$N$1505&gt;=N436)*($O$76:$O$1505&lt;=O436))=1,FALSE)</f>
        <v/>
      </c>
      <c r="S436" s="16">
        <f>IF(R436,ABS((O436-$AC$76)/MAX(0.0001,$AC$77-$AC$76)-(N436-$AC$78)/MAX(0.0001,$AC$79-$AC$78)),-1)</f>
        <v/>
      </c>
      <c r="T436" s="14">
        <f>IF(G436,O436,NA())</f>
        <v/>
      </c>
      <c r="U436" s="13">
        <f>IF(G436,N436,NA())</f>
        <v/>
      </c>
      <c r="V436" s="14">
        <f>IF(R436,O436,NA())</f>
        <v/>
      </c>
      <c r="W436" s="13">
        <f>IF(R436,N436,NA())</f>
        <v/>
      </c>
      <c r="X436" s="27">
        <f>IF(G436,P436,"")</f>
        <v/>
      </c>
      <c r="Y436" s="27">
        <f>IF(G436,N436,"")</f>
        <v/>
      </c>
      <c r="Z436" s="27">
        <f>IF(R436,O436,"")</f>
        <v/>
      </c>
      <c r="AA436" s="27">
        <f>IF(R436,N436,"")</f>
        <v/>
      </c>
    </row>
    <row r="437">
      <c r="A437" s="31" t="n">
        <v>0.1</v>
      </c>
      <c r="B437" s="31" t="n">
        <v>0</v>
      </c>
      <c r="C437" s="31" t="n">
        <v>0.6</v>
      </c>
      <c r="D437" s="31" t="n">
        <v>0.3</v>
      </c>
      <c r="E437" s="27" t="inlineStr">
        <is>
          <t>ON 10%/2M 60%/3M 30%</t>
        </is>
      </c>
      <c r="F437" s="27" t="n">
        <v>25</v>
      </c>
      <c r="G437" s="27">
        <f>A437*$B$7&gt;=$B$9</f>
        <v/>
      </c>
      <c r="H437" s="13">
        <f>$B$7*(A437*E$71+B437*F$71+C437*G$71+D437*H$71)+F437/100*$B$7*J$71-$C$71</f>
        <v/>
      </c>
      <c r="I437" s="13">
        <f>$B$7*(A437*L$71+B437*M$71+C437*N$71+D437*O$71)+F437/100*$B$7*Q$71-$C$71</f>
        <v/>
      </c>
      <c r="J437" s="13">
        <f>$B$7*(A437*S$71+B437*T$71+C437*U$71+D437*V$71)+F437/100*$B$7*X$71-$C$71</f>
        <v/>
      </c>
      <c r="K437" s="13">
        <f>$B$7*(A437*Z$71+B437*AA$71+C437*AB$71+D437*AC$71)+F437/100*$B$7*AE$71-$C$71</f>
        <v/>
      </c>
      <c r="L437" s="13">
        <f>$B$7*(A437*AG$71+B437*AH$71+C437*AI$71+D437*AJ$71)+F437/100*$B$7*AL$71-$C$71</f>
        <v/>
      </c>
      <c r="M437" s="13">
        <f>$B$7*(A437*AN$71+B437*AO$71+C437*AP$71+D437*AQ$71)+F437/100*$B$7*AS$71-$C$71</f>
        <v/>
      </c>
      <c r="N437" s="13">
        <f>SUMPRODUCT($H$24:$M$24,H437:M437)</f>
        <v/>
      </c>
      <c r="O437" s="14">
        <f>SQRT(SUMPRODUCT($H$24:$M$24,(H437:M437-N437)^2))</f>
        <v/>
      </c>
      <c r="P437" s="13">
        <f>MIN(H437:M437)</f>
        <v/>
      </c>
      <c r="Q437" s="13">
        <f>MAX(H437:M437)</f>
        <v/>
      </c>
      <c r="R437" s="27">
        <f>IF(G437,SUMPRODUCT(($G$76:$G$1505)*($N$76:$N$1505&gt;=N437)*($O$76:$O$1505&lt;=O437))=1,FALSE)</f>
        <v/>
      </c>
      <c r="S437" s="16">
        <f>IF(R437,ABS((O437-$AC$76)/MAX(0.0001,$AC$77-$AC$76)-(N437-$AC$78)/MAX(0.0001,$AC$79-$AC$78)),-1)</f>
        <v/>
      </c>
      <c r="T437" s="14">
        <f>IF(G437,O437,NA())</f>
        <v/>
      </c>
      <c r="U437" s="13">
        <f>IF(G437,N437,NA())</f>
        <v/>
      </c>
      <c r="V437" s="14">
        <f>IF(R437,O437,NA())</f>
        <v/>
      </c>
      <c r="W437" s="13">
        <f>IF(R437,N437,NA())</f>
        <v/>
      </c>
      <c r="X437" s="27">
        <f>IF(G437,P437,"")</f>
        <v/>
      </c>
      <c r="Y437" s="27">
        <f>IF(G437,N437,"")</f>
        <v/>
      </c>
      <c r="Z437" s="27">
        <f>IF(R437,O437,"")</f>
        <v/>
      </c>
      <c r="AA437" s="27">
        <f>IF(R437,N437,"")</f>
        <v/>
      </c>
    </row>
    <row r="438">
      <c r="A438" s="31" t="n">
        <v>0.1</v>
      </c>
      <c r="B438" s="31" t="n">
        <v>0</v>
      </c>
      <c r="C438" s="31" t="n">
        <v>0.6</v>
      </c>
      <c r="D438" s="31" t="n">
        <v>0.3</v>
      </c>
      <c r="E438" s="27" t="inlineStr">
        <is>
          <t>ON 10%/2M 60%/3M 30%</t>
        </is>
      </c>
      <c r="F438" s="27" t="n">
        <v>50</v>
      </c>
      <c r="G438" s="27">
        <f>A438*$B$7&gt;=$B$9</f>
        <v/>
      </c>
      <c r="H438" s="13">
        <f>$B$7*(A438*E$71+B438*F$71+C438*G$71+D438*H$71)+F438/100*$B$7*J$71-$C$71</f>
        <v/>
      </c>
      <c r="I438" s="13">
        <f>$B$7*(A438*L$71+B438*M$71+C438*N$71+D438*O$71)+F438/100*$B$7*Q$71-$C$71</f>
        <v/>
      </c>
      <c r="J438" s="13">
        <f>$B$7*(A438*S$71+B438*T$71+C438*U$71+D438*V$71)+F438/100*$B$7*X$71-$C$71</f>
        <v/>
      </c>
      <c r="K438" s="13">
        <f>$B$7*(A438*Z$71+B438*AA$71+C438*AB$71+D438*AC$71)+F438/100*$B$7*AE$71-$C$71</f>
        <v/>
      </c>
      <c r="L438" s="13">
        <f>$B$7*(A438*AG$71+B438*AH$71+C438*AI$71+D438*AJ$71)+F438/100*$B$7*AL$71-$C$71</f>
        <v/>
      </c>
      <c r="M438" s="13">
        <f>$B$7*(A438*AN$71+B438*AO$71+C438*AP$71+D438*AQ$71)+F438/100*$B$7*AS$71-$C$71</f>
        <v/>
      </c>
      <c r="N438" s="13">
        <f>SUMPRODUCT($H$24:$M$24,H438:M438)</f>
        <v/>
      </c>
      <c r="O438" s="14">
        <f>SQRT(SUMPRODUCT($H$24:$M$24,(H438:M438-N438)^2))</f>
        <v/>
      </c>
      <c r="P438" s="13">
        <f>MIN(H438:M438)</f>
        <v/>
      </c>
      <c r="Q438" s="13">
        <f>MAX(H438:M438)</f>
        <v/>
      </c>
      <c r="R438" s="27">
        <f>IF(G438,SUMPRODUCT(($G$76:$G$1505)*($N$76:$N$1505&gt;=N438)*($O$76:$O$1505&lt;=O438))=1,FALSE)</f>
        <v/>
      </c>
      <c r="S438" s="16">
        <f>IF(R438,ABS((O438-$AC$76)/MAX(0.0001,$AC$77-$AC$76)-(N438-$AC$78)/MAX(0.0001,$AC$79-$AC$78)),-1)</f>
        <v/>
      </c>
      <c r="T438" s="14">
        <f>IF(G438,O438,NA())</f>
        <v/>
      </c>
      <c r="U438" s="13">
        <f>IF(G438,N438,NA())</f>
        <v/>
      </c>
      <c r="V438" s="14">
        <f>IF(R438,O438,NA())</f>
        <v/>
      </c>
      <c r="W438" s="13">
        <f>IF(R438,N438,NA())</f>
        <v/>
      </c>
      <c r="X438" s="27">
        <f>IF(G438,P438,"")</f>
        <v/>
      </c>
      <c r="Y438" s="27">
        <f>IF(G438,N438,"")</f>
        <v/>
      </c>
      <c r="Z438" s="27">
        <f>IF(R438,O438,"")</f>
        <v/>
      </c>
      <c r="AA438" s="27">
        <f>IF(R438,N438,"")</f>
        <v/>
      </c>
    </row>
    <row r="439">
      <c r="A439" s="31" t="n">
        <v>0.1</v>
      </c>
      <c r="B439" s="31" t="n">
        <v>0</v>
      </c>
      <c r="C439" s="31" t="n">
        <v>0.6</v>
      </c>
      <c r="D439" s="31" t="n">
        <v>0.3</v>
      </c>
      <c r="E439" s="27" t="inlineStr">
        <is>
          <t>ON 10%/2M 60%/3M 30%</t>
        </is>
      </c>
      <c r="F439" s="27" t="n">
        <v>75</v>
      </c>
      <c r="G439" s="27">
        <f>A439*$B$7&gt;=$B$9</f>
        <v/>
      </c>
      <c r="H439" s="13">
        <f>$B$7*(A439*E$71+B439*F$71+C439*G$71+D439*H$71)+F439/100*$B$7*J$71-$C$71</f>
        <v/>
      </c>
      <c r="I439" s="13">
        <f>$B$7*(A439*L$71+B439*M$71+C439*N$71+D439*O$71)+F439/100*$B$7*Q$71-$C$71</f>
        <v/>
      </c>
      <c r="J439" s="13">
        <f>$B$7*(A439*S$71+B439*T$71+C439*U$71+D439*V$71)+F439/100*$B$7*X$71-$C$71</f>
        <v/>
      </c>
      <c r="K439" s="13">
        <f>$B$7*(A439*Z$71+B439*AA$71+C439*AB$71+D439*AC$71)+F439/100*$B$7*AE$71-$C$71</f>
        <v/>
      </c>
      <c r="L439" s="13">
        <f>$B$7*(A439*AG$71+B439*AH$71+C439*AI$71+D439*AJ$71)+F439/100*$B$7*AL$71-$C$71</f>
        <v/>
      </c>
      <c r="M439" s="13">
        <f>$B$7*(A439*AN$71+B439*AO$71+C439*AP$71+D439*AQ$71)+F439/100*$B$7*AS$71-$C$71</f>
        <v/>
      </c>
      <c r="N439" s="13">
        <f>SUMPRODUCT($H$24:$M$24,H439:M439)</f>
        <v/>
      </c>
      <c r="O439" s="14">
        <f>SQRT(SUMPRODUCT($H$24:$M$24,(H439:M439-N439)^2))</f>
        <v/>
      </c>
      <c r="P439" s="13">
        <f>MIN(H439:M439)</f>
        <v/>
      </c>
      <c r="Q439" s="13">
        <f>MAX(H439:M439)</f>
        <v/>
      </c>
      <c r="R439" s="27">
        <f>IF(G439,SUMPRODUCT(($G$76:$G$1505)*($N$76:$N$1505&gt;=N439)*($O$76:$O$1505&lt;=O439))=1,FALSE)</f>
        <v/>
      </c>
      <c r="S439" s="16">
        <f>IF(R439,ABS((O439-$AC$76)/MAX(0.0001,$AC$77-$AC$76)-(N439-$AC$78)/MAX(0.0001,$AC$79-$AC$78)),-1)</f>
        <v/>
      </c>
      <c r="T439" s="14">
        <f>IF(G439,O439,NA())</f>
        <v/>
      </c>
      <c r="U439" s="13">
        <f>IF(G439,N439,NA())</f>
        <v/>
      </c>
      <c r="V439" s="14">
        <f>IF(R439,O439,NA())</f>
        <v/>
      </c>
      <c r="W439" s="13">
        <f>IF(R439,N439,NA())</f>
        <v/>
      </c>
      <c r="X439" s="27">
        <f>IF(G439,P439,"")</f>
        <v/>
      </c>
      <c r="Y439" s="27">
        <f>IF(G439,N439,"")</f>
        <v/>
      </c>
      <c r="Z439" s="27">
        <f>IF(R439,O439,"")</f>
        <v/>
      </c>
      <c r="AA439" s="27">
        <f>IF(R439,N439,"")</f>
        <v/>
      </c>
    </row>
    <row r="440">
      <c r="A440" s="31" t="n">
        <v>0.1</v>
      </c>
      <c r="B440" s="31" t="n">
        <v>0</v>
      </c>
      <c r="C440" s="31" t="n">
        <v>0.6</v>
      </c>
      <c r="D440" s="31" t="n">
        <v>0.3</v>
      </c>
      <c r="E440" s="27" t="inlineStr">
        <is>
          <t>ON 10%/2M 60%/3M 30%</t>
        </is>
      </c>
      <c r="F440" s="27" t="n">
        <v>100</v>
      </c>
      <c r="G440" s="27">
        <f>A440*$B$7&gt;=$B$9</f>
        <v/>
      </c>
      <c r="H440" s="13">
        <f>$B$7*(A440*E$71+B440*F$71+C440*G$71+D440*H$71)+F440/100*$B$7*J$71-$C$71</f>
        <v/>
      </c>
      <c r="I440" s="13">
        <f>$B$7*(A440*L$71+B440*M$71+C440*N$71+D440*O$71)+F440/100*$B$7*Q$71-$C$71</f>
        <v/>
      </c>
      <c r="J440" s="13">
        <f>$B$7*(A440*S$71+B440*T$71+C440*U$71+D440*V$71)+F440/100*$B$7*X$71-$C$71</f>
        <v/>
      </c>
      <c r="K440" s="13">
        <f>$B$7*(A440*Z$71+B440*AA$71+C440*AB$71+D440*AC$71)+F440/100*$B$7*AE$71-$C$71</f>
        <v/>
      </c>
      <c r="L440" s="13">
        <f>$B$7*(A440*AG$71+B440*AH$71+C440*AI$71+D440*AJ$71)+F440/100*$B$7*AL$71-$C$71</f>
        <v/>
      </c>
      <c r="M440" s="13">
        <f>$B$7*(A440*AN$71+B440*AO$71+C440*AP$71+D440*AQ$71)+F440/100*$B$7*AS$71-$C$71</f>
        <v/>
      </c>
      <c r="N440" s="13">
        <f>SUMPRODUCT($H$24:$M$24,H440:M440)</f>
        <v/>
      </c>
      <c r="O440" s="14">
        <f>SQRT(SUMPRODUCT($H$24:$M$24,(H440:M440-N440)^2))</f>
        <v/>
      </c>
      <c r="P440" s="13">
        <f>MIN(H440:M440)</f>
        <v/>
      </c>
      <c r="Q440" s="13">
        <f>MAX(H440:M440)</f>
        <v/>
      </c>
      <c r="R440" s="27">
        <f>IF(G440,SUMPRODUCT(($G$76:$G$1505)*($N$76:$N$1505&gt;=N440)*($O$76:$O$1505&lt;=O440))=1,FALSE)</f>
        <v/>
      </c>
      <c r="S440" s="16">
        <f>IF(R440,ABS((O440-$AC$76)/MAX(0.0001,$AC$77-$AC$76)-(N440-$AC$78)/MAX(0.0001,$AC$79-$AC$78)),-1)</f>
        <v/>
      </c>
      <c r="T440" s="14">
        <f>IF(G440,O440,NA())</f>
        <v/>
      </c>
      <c r="U440" s="13">
        <f>IF(G440,N440,NA())</f>
        <v/>
      </c>
      <c r="V440" s="14">
        <f>IF(R440,O440,NA())</f>
        <v/>
      </c>
      <c r="W440" s="13">
        <f>IF(R440,N440,NA())</f>
        <v/>
      </c>
      <c r="X440" s="27">
        <f>IF(G440,P440,"")</f>
        <v/>
      </c>
      <c r="Y440" s="27">
        <f>IF(G440,N440,"")</f>
        <v/>
      </c>
      <c r="Z440" s="27">
        <f>IF(R440,O440,"")</f>
        <v/>
      </c>
      <c r="AA440" s="27">
        <f>IF(R440,N440,"")</f>
        <v/>
      </c>
    </row>
    <row r="441">
      <c r="A441" s="31" t="n">
        <v>0.1</v>
      </c>
      <c r="B441" s="31" t="n">
        <v>0</v>
      </c>
      <c r="C441" s="31" t="n">
        <v>0.7</v>
      </c>
      <c r="D441" s="31" t="n">
        <v>0.2</v>
      </c>
      <c r="E441" s="27" t="inlineStr">
        <is>
          <t>ON 10%/2M 70%/3M 20%</t>
        </is>
      </c>
      <c r="F441" s="27" t="n">
        <v>0</v>
      </c>
      <c r="G441" s="27">
        <f>A441*$B$7&gt;=$B$9</f>
        <v/>
      </c>
      <c r="H441" s="13">
        <f>$B$7*(A441*E$71+B441*F$71+C441*G$71+D441*H$71)+F441/100*$B$7*J$71-$C$71</f>
        <v/>
      </c>
      <c r="I441" s="13">
        <f>$B$7*(A441*L$71+B441*M$71+C441*N$71+D441*O$71)+F441/100*$B$7*Q$71-$C$71</f>
        <v/>
      </c>
      <c r="J441" s="13">
        <f>$B$7*(A441*S$71+B441*T$71+C441*U$71+D441*V$71)+F441/100*$B$7*X$71-$C$71</f>
        <v/>
      </c>
      <c r="K441" s="13">
        <f>$B$7*(A441*Z$71+B441*AA$71+C441*AB$71+D441*AC$71)+F441/100*$B$7*AE$71-$C$71</f>
        <v/>
      </c>
      <c r="L441" s="13">
        <f>$B$7*(A441*AG$71+B441*AH$71+C441*AI$71+D441*AJ$71)+F441/100*$B$7*AL$71-$C$71</f>
        <v/>
      </c>
      <c r="M441" s="13">
        <f>$B$7*(A441*AN$71+B441*AO$71+C441*AP$71+D441*AQ$71)+F441/100*$B$7*AS$71-$C$71</f>
        <v/>
      </c>
      <c r="N441" s="13">
        <f>SUMPRODUCT($H$24:$M$24,H441:M441)</f>
        <v/>
      </c>
      <c r="O441" s="14">
        <f>SQRT(SUMPRODUCT($H$24:$M$24,(H441:M441-N441)^2))</f>
        <v/>
      </c>
      <c r="P441" s="13">
        <f>MIN(H441:M441)</f>
        <v/>
      </c>
      <c r="Q441" s="13">
        <f>MAX(H441:M441)</f>
        <v/>
      </c>
      <c r="R441" s="27">
        <f>IF(G441,SUMPRODUCT(($G$76:$G$1505)*($N$76:$N$1505&gt;=N441)*($O$76:$O$1505&lt;=O441))=1,FALSE)</f>
        <v/>
      </c>
      <c r="S441" s="16">
        <f>IF(R441,ABS((O441-$AC$76)/MAX(0.0001,$AC$77-$AC$76)-(N441-$AC$78)/MAX(0.0001,$AC$79-$AC$78)),-1)</f>
        <v/>
      </c>
      <c r="T441" s="14">
        <f>IF(G441,O441,NA())</f>
        <v/>
      </c>
      <c r="U441" s="13">
        <f>IF(G441,N441,NA())</f>
        <v/>
      </c>
      <c r="V441" s="14">
        <f>IF(R441,O441,NA())</f>
        <v/>
      </c>
      <c r="W441" s="13">
        <f>IF(R441,N441,NA())</f>
        <v/>
      </c>
      <c r="X441" s="27">
        <f>IF(G441,P441,"")</f>
        <v/>
      </c>
      <c r="Y441" s="27">
        <f>IF(G441,N441,"")</f>
        <v/>
      </c>
      <c r="Z441" s="27">
        <f>IF(R441,O441,"")</f>
        <v/>
      </c>
      <c r="AA441" s="27">
        <f>IF(R441,N441,"")</f>
        <v/>
      </c>
    </row>
    <row r="442">
      <c r="A442" s="31" t="n">
        <v>0.1</v>
      </c>
      <c r="B442" s="31" t="n">
        <v>0</v>
      </c>
      <c r="C442" s="31" t="n">
        <v>0.7</v>
      </c>
      <c r="D442" s="31" t="n">
        <v>0.2</v>
      </c>
      <c r="E442" s="27" t="inlineStr">
        <is>
          <t>ON 10%/2M 70%/3M 20%</t>
        </is>
      </c>
      <c r="F442" s="27" t="n">
        <v>25</v>
      </c>
      <c r="G442" s="27">
        <f>A442*$B$7&gt;=$B$9</f>
        <v/>
      </c>
      <c r="H442" s="13">
        <f>$B$7*(A442*E$71+B442*F$71+C442*G$71+D442*H$71)+F442/100*$B$7*J$71-$C$71</f>
        <v/>
      </c>
      <c r="I442" s="13">
        <f>$B$7*(A442*L$71+B442*M$71+C442*N$71+D442*O$71)+F442/100*$B$7*Q$71-$C$71</f>
        <v/>
      </c>
      <c r="J442" s="13">
        <f>$B$7*(A442*S$71+B442*T$71+C442*U$71+D442*V$71)+F442/100*$B$7*X$71-$C$71</f>
        <v/>
      </c>
      <c r="K442" s="13">
        <f>$B$7*(A442*Z$71+B442*AA$71+C442*AB$71+D442*AC$71)+F442/100*$B$7*AE$71-$C$71</f>
        <v/>
      </c>
      <c r="L442" s="13">
        <f>$B$7*(A442*AG$71+B442*AH$71+C442*AI$71+D442*AJ$71)+F442/100*$B$7*AL$71-$C$71</f>
        <v/>
      </c>
      <c r="M442" s="13">
        <f>$B$7*(A442*AN$71+B442*AO$71+C442*AP$71+D442*AQ$71)+F442/100*$B$7*AS$71-$C$71</f>
        <v/>
      </c>
      <c r="N442" s="13">
        <f>SUMPRODUCT($H$24:$M$24,H442:M442)</f>
        <v/>
      </c>
      <c r="O442" s="14">
        <f>SQRT(SUMPRODUCT($H$24:$M$24,(H442:M442-N442)^2))</f>
        <v/>
      </c>
      <c r="P442" s="13">
        <f>MIN(H442:M442)</f>
        <v/>
      </c>
      <c r="Q442" s="13">
        <f>MAX(H442:M442)</f>
        <v/>
      </c>
      <c r="R442" s="27">
        <f>IF(G442,SUMPRODUCT(($G$76:$G$1505)*($N$76:$N$1505&gt;=N442)*($O$76:$O$1505&lt;=O442))=1,FALSE)</f>
        <v/>
      </c>
      <c r="S442" s="16">
        <f>IF(R442,ABS((O442-$AC$76)/MAX(0.0001,$AC$77-$AC$76)-(N442-$AC$78)/MAX(0.0001,$AC$79-$AC$78)),-1)</f>
        <v/>
      </c>
      <c r="T442" s="14">
        <f>IF(G442,O442,NA())</f>
        <v/>
      </c>
      <c r="U442" s="13">
        <f>IF(G442,N442,NA())</f>
        <v/>
      </c>
      <c r="V442" s="14">
        <f>IF(R442,O442,NA())</f>
        <v/>
      </c>
      <c r="W442" s="13">
        <f>IF(R442,N442,NA())</f>
        <v/>
      </c>
      <c r="X442" s="27">
        <f>IF(G442,P442,"")</f>
        <v/>
      </c>
      <c r="Y442" s="27">
        <f>IF(G442,N442,"")</f>
        <v/>
      </c>
      <c r="Z442" s="27">
        <f>IF(R442,O442,"")</f>
        <v/>
      </c>
      <c r="AA442" s="27">
        <f>IF(R442,N442,"")</f>
        <v/>
      </c>
    </row>
    <row r="443">
      <c r="A443" s="31" t="n">
        <v>0.1</v>
      </c>
      <c r="B443" s="31" t="n">
        <v>0</v>
      </c>
      <c r="C443" s="31" t="n">
        <v>0.7</v>
      </c>
      <c r="D443" s="31" t="n">
        <v>0.2</v>
      </c>
      <c r="E443" s="27" t="inlineStr">
        <is>
          <t>ON 10%/2M 70%/3M 20%</t>
        </is>
      </c>
      <c r="F443" s="27" t="n">
        <v>50</v>
      </c>
      <c r="G443" s="27">
        <f>A443*$B$7&gt;=$B$9</f>
        <v/>
      </c>
      <c r="H443" s="13">
        <f>$B$7*(A443*E$71+B443*F$71+C443*G$71+D443*H$71)+F443/100*$B$7*J$71-$C$71</f>
        <v/>
      </c>
      <c r="I443" s="13">
        <f>$B$7*(A443*L$71+B443*M$71+C443*N$71+D443*O$71)+F443/100*$B$7*Q$71-$C$71</f>
        <v/>
      </c>
      <c r="J443" s="13">
        <f>$B$7*(A443*S$71+B443*T$71+C443*U$71+D443*V$71)+F443/100*$B$7*X$71-$C$71</f>
        <v/>
      </c>
      <c r="K443" s="13">
        <f>$B$7*(A443*Z$71+B443*AA$71+C443*AB$71+D443*AC$71)+F443/100*$B$7*AE$71-$C$71</f>
        <v/>
      </c>
      <c r="L443" s="13">
        <f>$B$7*(A443*AG$71+B443*AH$71+C443*AI$71+D443*AJ$71)+F443/100*$B$7*AL$71-$C$71</f>
        <v/>
      </c>
      <c r="M443" s="13">
        <f>$B$7*(A443*AN$71+B443*AO$71+C443*AP$71+D443*AQ$71)+F443/100*$B$7*AS$71-$C$71</f>
        <v/>
      </c>
      <c r="N443" s="13">
        <f>SUMPRODUCT($H$24:$M$24,H443:M443)</f>
        <v/>
      </c>
      <c r="O443" s="14">
        <f>SQRT(SUMPRODUCT($H$24:$M$24,(H443:M443-N443)^2))</f>
        <v/>
      </c>
      <c r="P443" s="13">
        <f>MIN(H443:M443)</f>
        <v/>
      </c>
      <c r="Q443" s="13">
        <f>MAX(H443:M443)</f>
        <v/>
      </c>
      <c r="R443" s="27">
        <f>IF(G443,SUMPRODUCT(($G$76:$G$1505)*($N$76:$N$1505&gt;=N443)*($O$76:$O$1505&lt;=O443))=1,FALSE)</f>
        <v/>
      </c>
      <c r="S443" s="16">
        <f>IF(R443,ABS((O443-$AC$76)/MAX(0.0001,$AC$77-$AC$76)-(N443-$AC$78)/MAX(0.0001,$AC$79-$AC$78)),-1)</f>
        <v/>
      </c>
      <c r="T443" s="14">
        <f>IF(G443,O443,NA())</f>
        <v/>
      </c>
      <c r="U443" s="13">
        <f>IF(G443,N443,NA())</f>
        <v/>
      </c>
      <c r="V443" s="14">
        <f>IF(R443,O443,NA())</f>
        <v/>
      </c>
      <c r="W443" s="13">
        <f>IF(R443,N443,NA())</f>
        <v/>
      </c>
      <c r="X443" s="27">
        <f>IF(G443,P443,"")</f>
        <v/>
      </c>
      <c r="Y443" s="27">
        <f>IF(G443,N443,"")</f>
        <v/>
      </c>
      <c r="Z443" s="27">
        <f>IF(R443,O443,"")</f>
        <v/>
      </c>
      <c r="AA443" s="27">
        <f>IF(R443,N443,"")</f>
        <v/>
      </c>
    </row>
    <row r="444">
      <c r="A444" s="31" t="n">
        <v>0.1</v>
      </c>
      <c r="B444" s="31" t="n">
        <v>0</v>
      </c>
      <c r="C444" s="31" t="n">
        <v>0.7</v>
      </c>
      <c r="D444" s="31" t="n">
        <v>0.2</v>
      </c>
      <c r="E444" s="27" t="inlineStr">
        <is>
          <t>ON 10%/2M 70%/3M 20%</t>
        </is>
      </c>
      <c r="F444" s="27" t="n">
        <v>75</v>
      </c>
      <c r="G444" s="27">
        <f>A444*$B$7&gt;=$B$9</f>
        <v/>
      </c>
      <c r="H444" s="13">
        <f>$B$7*(A444*E$71+B444*F$71+C444*G$71+D444*H$71)+F444/100*$B$7*J$71-$C$71</f>
        <v/>
      </c>
      <c r="I444" s="13">
        <f>$B$7*(A444*L$71+B444*M$71+C444*N$71+D444*O$71)+F444/100*$B$7*Q$71-$C$71</f>
        <v/>
      </c>
      <c r="J444" s="13">
        <f>$B$7*(A444*S$71+B444*T$71+C444*U$71+D444*V$71)+F444/100*$B$7*X$71-$C$71</f>
        <v/>
      </c>
      <c r="K444" s="13">
        <f>$B$7*(A444*Z$71+B444*AA$71+C444*AB$71+D444*AC$71)+F444/100*$B$7*AE$71-$C$71</f>
        <v/>
      </c>
      <c r="L444" s="13">
        <f>$B$7*(A444*AG$71+B444*AH$71+C444*AI$71+D444*AJ$71)+F444/100*$B$7*AL$71-$C$71</f>
        <v/>
      </c>
      <c r="M444" s="13">
        <f>$B$7*(A444*AN$71+B444*AO$71+C444*AP$71+D444*AQ$71)+F444/100*$B$7*AS$71-$C$71</f>
        <v/>
      </c>
      <c r="N444" s="13">
        <f>SUMPRODUCT($H$24:$M$24,H444:M444)</f>
        <v/>
      </c>
      <c r="O444" s="14">
        <f>SQRT(SUMPRODUCT($H$24:$M$24,(H444:M444-N444)^2))</f>
        <v/>
      </c>
      <c r="P444" s="13">
        <f>MIN(H444:M444)</f>
        <v/>
      </c>
      <c r="Q444" s="13">
        <f>MAX(H444:M444)</f>
        <v/>
      </c>
      <c r="R444" s="27">
        <f>IF(G444,SUMPRODUCT(($G$76:$G$1505)*($N$76:$N$1505&gt;=N444)*($O$76:$O$1505&lt;=O444))=1,FALSE)</f>
        <v/>
      </c>
      <c r="S444" s="16">
        <f>IF(R444,ABS((O444-$AC$76)/MAX(0.0001,$AC$77-$AC$76)-(N444-$AC$78)/MAX(0.0001,$AC$79-$AC$78)),-1)</f>
        <v/>
      </c>
      <c r="T444" s="14">
        <f>IF(G444,O444,NA())</f>
        <v/>
      </c>
      <c r="U444" s="13">
        <f>IF(G444,N444,NA())</f>
        <v/>
      </c>
      <c r="V444" s="14">
        <f>IF(R444,O444,NA())</f>
        <v/>
      </c>
      <c r="W444" s="13">
        <f>IF(R444,N444,NA())</f>
        <v/>
      </c>
      <c r="X444" s="27">
        <f>IF(G444,P444,"")</f>
        <v/>
      </c>
      <c r="Y444" s="27">
        <f>IF(G444,N444,"")</f>
        <v/>
      </c>
      <c r="Z444" s="27">
        <f>IF(R444,O444,"")</f>
        <v/>
      </c>
      <c r="AA444" s="27">
        <f>IF(R444,N444,"")</f>
        <v/>
      </c>
    </row>
    <row r="445">
      <c r="A445" s="31" t="n">
        <v>0.1</v>
      </c>
      <c r="B445" s="31" t="n">
        <v>0</v>
      </c>
      <c r="C445" s="31" t="n">
        <v>0.7</v>
      </c>
      <c r="D445" s="31" t="n">
        <v>0.2</v>
      </c>
      <c r="E445" s="27" t="inlineStr">
        <is>
          <t>ON 10%/2M 70%/3M 20%</t>
        </is>
      </c>
      <c r="F445" s="27" t="n">
        <v>100</v>
      </c>
      <c r="G445" s="27">
        <f>A445*$B$7&gt;=$B$9</f>
        <v/>
      </c>
      <c r="H445" s="13">
        <f>$B$7*(A445*E$71+B445*F$71+C445*G$71+D445*H$71)+F445/100*$B$7*J$71-$C$71</f>
        <v/>
      </c>
      <c r="I445" s="13">
        <f>$B$7*(A445*L$71+B445*M$71+C445*N$71+D445*O$71)+F445/100*$B$7*Q$71-$C$71</f>
        <v/>
      </c>
      <c r="J445" s="13">
        <f>$B$7*(A445*S$71+B445*T$71+C445*U$71+D445*V$71)+F445/100*$B$7*X$71-$C$71</f>
        <v/>
      </c>
      <c r="K445" s="13">
        <f>$B$7*(A445*Z$71+B445*AA$71+C445*AB$71+D445*AC$71)+F445/100*$B$7*AE$71-$C$71</f>
        <v/>
      </c>
      <c r="L445" s="13">
        <f>$B$7*(A445*AG$71+B445*AH$71+C445*AI$71+D445*AJ$71)+F445/100*$B$7*AL$71-$C$71</f>
        <v/>
      </c>
      <c r="M445" s="13">
        <f>$B$7*(A445*AN$71+B445*AO$71+C445*AP$71+D445*AQ$71)+F445/100*$B$7*AS$71-$C$71</f>
        <v/>
      </c>
      <c r="N445" s="13">
        <f>SUMPRODUCT($H$24:$M$24,H445:M445)</f>
        <v/>
      </c>
      <c r="O445" s="14">
        <f>SQRT(SUMPRODUCT($H$24:$M$24,(H445:M445-N445)^2))</f>
        <v/>
      </c>
      <c r="P445" s="13">
        <f>MIN(H445:M445)</f>
        <v/>
      </c>
      <c r="Q445" s="13">
        <f>MAX(H445:M445)</f>
        <v/>
      </c>
      <c r="R445" s="27">
        <f>IF(G445,SUMPRODUCT(($G$76:$G$1505)*($N$76:$N$1505&gt;=N445)*($O$76:$O$1505&lt;=O445))=1,FALSE)</f>
        <v/>
      </c>
      <c r="S445" s="16">
        <f>IF(R445,ABS((O445-$AC$76)/MAX(0.0001,$AC$77-$AC$76)-(N445-$AC$78)/MAX(0.0001,$AC$79-$AC$78)),-1)</f>
        <v/>
      </c>
      <c r="T445" s="14">
        <f>IF(G445,O445,NA())</f>
        <v/>
      </c>
      <c r="U445" s="13">
        <f>IF(G445,N445,NA())</f>
        <v/>
      </c>
      <c r="V445" s="14">
        <f>IF(R445,O445,NA())</f>
        <v/>
      </c>
      <c r="W445" s="13">
        <f>IF(R445,N445,NA())</f>
        <v/>
      </c>
      <c r="X445" s="27">
        <f>IF(G445,P445,"")</f>
        <v/>
      </c>
      <c r="Y445" s="27">
        <f>IF(G445,N445,"")</f>
        <v/>
      </c>
      <c r="Z445" s="27">
        <f>IF(R445,O445,"")</f>
        <v/>
      </c>
      <c r="AA445" s="27">
        <f>IF(R445,N445,"")</f>
        <v/>
      </c>
    </row>
    <row r="446">
      <c r="A446" s="31" t="n">
        <v>0.1</v>
      </c>
      <c r="B446" s="31" t="n">
        <v>0</v>
      </c>
      <c r="C446" s="31" t="n">
        <v>0.8</v>
      </c>
      <c r="D446" s="31" t="n">
        <v>0.1</v>
      </c>
      <c r="E446" s="27" t="inlineStr">
        <is>
          <t>ON 10%/2M 80%/3M 10%</t>
        </is>
      </c>
      <c r="F446" s="27" t="n">
        <v>0</v>
      </c>
      <c r="G446" s="27">
        <f>A446*$B$7&gt;=$B$9</f>
        <v/>
      </c>
      <c r="H446" s="13">
        <f>$B$7*(A446*E$71+B446*F$71+C446*G$71+D446*H$71)+F446/100*$B$7*J$71-$C$71</f>
        <v/>
      </c>
      <c r="I446" s="13">
        <f>$B$7*(A446*L$71+B446*M$71+C446*N$71+D446*O$71)+F446/100*$B$7*Q$71-$C$71</f>
        <v/>
      </c>
      <c r="J446" s="13">
        <f>$B$7*(A446*S$71+B446*T$71+C446*U$71+D446*V$71)+F446/100*$B$7*X$71-$C$71</f>
        <v/>
      </c>
      <c r="K446" s="13">
        <f>$B$7*(A446*Z$71+B446*AA$71+C446*AB$71+D446*AC$71)+F446/100*$B$7*AE$71-$C$71</f>
        <v/>
      </c>
      <c r="L446" s="13">
        <f>$B$7*(A446*AG$71+B446*AH$71+C446*AI$71+D446*AJ$71)+F446/100*$B$7*AL$71-$C$71</f>
        <v/>
      </c>
      <c r="M446" s="13">
        <f>$B$7*(A446*AN$71+B446*AO$71+C446*AP$71+D446*AQ$71)+F446/100*$B$7*AS$71-$C$71</f>
        <v/>
      </c>
      <c r="N446" s="13">
        <f>SUMPRODUCT($H$24:$M$24,H446:M446)</f>
        <v/>
      </c>
      <c r="O446" s="14">
        <f>SQRT(SUMPRODUCT($H$24:$M$24,(H446:M446-N446)^2))</f>
        <v/>
      </c>
      <c r="P446" s="13">
        <f>MIN(H446:M446)</f>
        <v/>
      </c>
      <c r="Q446" s="13">
        <f>MAX(H446:M446)</f>
        <v/>
      </c>
      <c r="R446" s="27">
        <f>IF(G446,SUMPRODUCT(($G$76:$G$1505)*($N$76:$N$1505&gt;=N446)*($O$76:$O$1505&lt;=O446))=1,FALSE)</f>
        <v/>
      </c>
      <c r="S446" s="16">
        <f>IF(R446,ABS((O446-$AC$76)/MAX(0.0001,$AC$77-$AC$76)-(N446-$AC$78)/MAX(0.0001,$AC$79-$AC$78)),-1)</f>
        <v/>
      </c>
      <c r="T446" s="14">
        <f>IF(G446,O446,NA())</f>
        <v/>
      </c>
      <c r="U446" s="13">
        <f>IF(G446,N446,NA())</f>
        <v/>
      </c>
      <c r="V446" s="14">
        <f>IF(R446,O446,NA())</f>
        <v/>
      </c>
      <c r="W446" s="13">
        <f>IF(R446,N446,NA())</f>
        <v/>
      </c>
      <c r="X446" s="27">
        <f>IF(G446,P446,"")</f>
        <v/>
      </c>
      <c r="Y446" s="27">
        <f>IF(G446,N446,"")</f>
        <v/>
      </c>
      <c r="Z446" s="27">
        <f>IF(R446,O446,"")</f>
        <v/>
      </c>
      <c r="AA446" s="27">
        <f>IF(R446,N446,"")</f>
        <v/>
      </c>
    </row>
    <row r="447">
      <c r="A447" s="31" t="n">
        <v>0.1</v>
      </c>
      <c r="B447" s="31" t="n">
        <v>0</v>
      </c>
      <c r="C447" s="31" t="n">
        <v>0.8</v>
      </c>
      <c r="D447" s="31" t="n">
        <v>0.1</v>
      </c>
      <c r="E447" s="27" t="inlineStr">
        <is>
          <t>ON 10%/2M 80%/3M 10%</t>
        </is>
      </c>
      <c r="F447" s="27" t="n">
        <v>25</v>
      </c>
      <c r="G447" s="27">
        <f>A447*$B$7&gt;=$B$9</f>
        <v/>
      </c>
      <c r="H447" s="13">
        <f>$B$7*(A447*E$71+B447*F$71+C447*G$71+D447*H$71)+F447/100*$B$7*J$71-$C$71</f>
        <v/>
      </c>
      <c r="I447" s="13">
        <f>$B$7*(A447*L$71+B447*M$71+C447*N$71+D447*O$71)+F447/100*$B$7*Q$71-$C$71</f>
        <v/>
      </c>
      <c r="J447" s="13">
        <f>$B$7*(A447*S$71+B447*T$71+C447*U$71+D447*V$71)+F447/100*$B$7*X$71-$C$71</f>
        <v/>
      </c>
      <c r="K447" s="13">
        <f>$B$7*(A447*Z$71+B447*AA$71+C447*AB$71+D447*AC$71)+F447/100*$B$7*AE$71-$C$71</f>
        <v/>
      </c>
      <c r="L447" s="13">
        <f>$B$7*(A447*AG$71+B447*AH$71+C447*AI$71+D447*AJ$71)+F447/100*$B$7*AL$71-$C$71</f>
        <v/>
      </c>
      <c r="M447" s="13">
        <f>$B$7*(A447*AN$71+B447*AO$71+C447*AP$71+D447*AQ$71)+F447/100*$B$7*AS$71-$C$71</f>
        <v/>
      </c>
      <c r="N447" s="13">
        <f>SUMPRODUCT($H$24:$M$24,H447:M447)</f>
        <v/>
      </c>
      <c r="O447" s="14">
        <f>SQRT(SUMPRODUCT($H$24:$M$24,(H447:M447-N447)^2))</f>
        <v/>
      </c>
      <c r="P447" s="13">
        <f>MIN(H447:M447)</f>
        <v/>
      </c>
      <c r="Q447" s="13">
        <f>MAX(H447:M447)</f>
        <v/>
      </c>
      <c r="R447" s="27">
        <f>IF(G447,SUMPRODUCT(($G$76:$G$1505)*($N$76:$N$1505&gt;=N447)*($O$76:$O$1505&lt;=O447))=1,FALSE)</f>
        <v/>
      </c>
      <c r="S447" s="16">
        <f>IF(R447,ABS((O447-$AC$76)/MAX(0.0001,$AC$77-$AC$76)-(N447-$AC$78)/MAX(0.0001,$AC$79-$AC$78)),-1)</f>
        <v/>
      </c>
      <c r="T447" s="14">
        <f>IF(G447,O447,NA())</f>
        <v/>
      </c>
      <c r="U447" s="13">
        <f>IF(G447,N447,NA())</f>
        <v/>
      </c>
      <c r="V447" s="14">
        <f>IF(R447,O447,NA())</f>
        <v/>
      </c>
      <c r="W447" s="13">
        <f>IF(R447,N447,NA())</f>
        <v/>
      </c>
      <c r="X447" s="27">
        <f>IF(G447,P447,"")</f>
        <v/>
      </c>
      <c r="Y447" s="27">
        <f>IF(G447,N447,"")</f>
        <v/>
      </c>
      <c r="Z447" s="27">
        <f>IF(R447,O447,"")</f>
        <v/>
      </c>
      <c r="AA447" s="27">
        <f>IF(R447,N447,"")</f>
        <v/>
      </c>
    </row>
    <row r="448">
      <c r="A448" s="31" t="n">
        <v>0.1</v>
      </c>
      <c r="B448" s="31" t="n">
        <v>0</v>
      </c>
      <c r="C448" s="31" t="n">
        <v>0.8</v>
      </c>
      <c r="D448" s="31" t="n">
        <v>0.1</v>
      </c>
      <c r="E448" s="27" t="inlineStr">
        <is>
          <t>ON 10%/2M 80%/3M 10%</t>
        </is>
      </c>
      <c r="F448" s="27" t="n">
        <v>50</v>
      </c>
      <c r="G448" s="27">
        <f>A448*$B$7&gt;=$B$9</f>
        <v/>
      </c>
      <c r="H448" s="13">
        <f>$B$7*(A448*E$71+B448*F$71+C448*G$71+D448*H$71)+F448/100*$B$7*J$71-$C$71</f>
        <v/>
      </c>
      <c r="I448" s="13">
        <f>$B$7*(A448*L$71+B448*M$71+C448*N$71+D448*O$71)+F448/100*$B$7*Q$71-$C$71</f>
        <v/>
      </c>
      <c r="J448" s="13">
        <f>$B$7*(A448*S$71+B448*T$71+C448*U$71+D448*V$71)+F448/100*$B$7*X$71-$C$71</f>
        <v/>
      </c>
      <c r="K448" s="13">
        <f>$B$7*(A448*Z$71+B448*AA$71+C448*AB$71+D448*AC$71)+F448/100*$B$7*AE$71-$C$71</f>
        <v/>
      </c>
      <c r="L448" s="13">
        <f>$B$7*(A448*AG$71+B448*AH$71+C448*AI$71+D448*AJ$71)+F448/100*$B$7*AL$71-$C$71</f>
        <v/>
      </c>
      <c r="M448" s="13">
        <f>$B$7*(A448*AN$71+B448*AO$71+C448*AP$71+D448*AQ$71)+F448/100*$B$7*AS$71-$C$71</f>
        <v/>
      </c>
      <c r="N448" s="13">
        <f>SUMPRODUCT($H$24:$M$24,H448:M448)</f>
        <v/>
      </c>
      <c r="O448" s="14">
        <f>SQRT(SUMPRODUCT($H$24:$M$24,(H448:M448-N448)^2))</f>
        <v/>
      </c>
      <c r="P448" s="13">
        <f>MIN(H448:M448)</f>
        <v/>
      </c>
      <c r="Q448" s="13">
        <f>MAX(H448:M448)</f>
        <v/>
      </c>
      <c r="R448" s="27">
        <f>IF(G448,SUMPRODUCT(($G$76:$G$1505)*($N$76:$N$1505&gt;=N448)*($O$76:$O$1505&lt;=O448))=1,FALSE)</f>
        <v/>
      </c>
      <c r="S448" s="16">
        <f>IF(R448,ABS((O448-$AC$76)/MAX(0.0001,$AC$77-$AC$76)-(N448-$AC$78)/MAX(0.0001,$AC$79-$AC$78)),-1)</f>
        <v/>
      </c>
      <c r="T448" s="14">
        <f>IF(G448,O448,NA())</f>
        <v/>
      </c>
      <c r="U448" s="13">
        <f>IF(G448,N448,NA())</f>
        <v/>
      </c>
      <c r="V448" s="14">
        <f>IF(R448,O448,NA())</f>
        <v/>
      </c>
      <c r="W448" s="13">
        <f>IF(R448,N448,NA())</f>
        <v/>
      </c>
      <c r="X448" s="27">
        <f>IF(G448,P448,"")</f>
        <v/>
      </c>
      <c r="Y448" s="27">
        <f>IF(G448,N448,"")</f>
        <v/>
      </c>
      <c r="Z448" s="27">
        <f>IF(R448,O448,"")</f>
        <v/>
      </c>
      <c r="AA448" s="27">
        <f>IF(R448,N448,"")</f>
        <v/>
      </c>
    </row>
    <row r="449">
      <c r="A449" s="31" t="n">
        <v>0.1</v>
      </c>
      <c r="B449" s="31" t="n">
        <v>0</v>
      </c>
      <c r="C449" s="31" t="n">
        <v>0.8</v>
      </c>
      <c r="D449" s="31" t="n">
        <v>0.1</v>
      </c>
      <c r="E449" s="27" t="inlineStr">
        <is>
          <t>ON 10%/2M 80%/3M 10%</t>
        </is>
      </c>
      <c r="F449" s="27" t="n">
        <v>75</v>
      </c>
      <c r="G449" s="27">
        <f>A449*$B$7&gt;=$B$9</f>
        <v/>
      </c>
      <c r="H449" s="13">
        <f>$B$7*(A449*E$71+B449*F$71+C449*G$71+D449*H$71)+F449/100*$B$7*J$71-$C$71</f>
        <v/>
      </c>
      <c r="I449" s="13">
        <f>$B$7*(A449*L$71+B449*M$71+C449*N$71+D449*O$71)+F449/100*$B$7*Q$71-$C$71</f>
        <v/>
      </c>
      <c r="J449" s="13">
        <f>$B$7*(A449*S$71+B449*T$71+C449*U$71+D449*V$71)+F449/100*$B$7*X$71-$C$71</f>
        <v/>
      </c>
      <c r="K449" s="13">
        <f>$B$7*(A449*Z$71+B449*AA$71+C449*AB$71+D449*AC$71)+F449/100*$B$7*AE$71-$C$71</f>
        <v/>
      </c>
      <c r="L449" s="13">
        <f>$B$7*(A449*AG$71+B449*AH$71+C449*AI$71+D449*AJ$71)+F449/100*$B$7*AL$71-$C$71</f>
        <v/>
      </c>
      <c r="M449" s="13">
        <f>$B$7*(A449*AN$71+B449*AO$71+C449*AP$71+D449*AQ$71)+F449/100*$B$7*AS$71-$C$71</f>
        <v/>
      </c>
      <c r="N449" s="13">
        <f>SUMPRODUCT($H$24:$M$24,H449:M449)</f>
        <v/>
      </c>
      <c r="O449" s="14">
        <f>SQRT(SUMPRODUCT($H$24:$M$24,(H449:M449-N449)^2))</f>
        <v/>
      </c>
      <c r="P449" s="13">
        <f>MIN(H449:M449)</f>
        <v/>
      </c>
      <c r="Q449" s="13">
        <f>MAX(H449:M449)</f>
        <v/>
      </c>
      <c r="R449" s="27">
        <f>IF(G449,SUMPRODUCT(($G$76:$G$1505)*($N$76:$N$1505&gt;=N449)*($O$76:$O$1505&lt;=O449))=1,FALSE)</f>
        <v/>
      </c>
      <c r="S449" s="16">
        <f>IF(R449,ABS((O449-$AC$76)/MAX(0.0001,$AC$77-$AC$76)-(N449-$AC$78)/MAX(0.0001,$AC$79-$AC$78)),-1)</f>
        <v/>
      </c>
      <c r="T449" s="14">
        <f>IF(G449,O449,NA())</f>
        <v/>
      </c>
      <c r="U449" s="13">
        <f>IF(G449,N449,NA())</f>
        <v/>
      </c>
      <c r="V449" s="14">
        <f>IF(R449,O449,NA())</f>
        <v/>
      </c>
      <c r="W449" s="13">
        <f>IF(R449,N449,NA())</f>
        <v/>
      </c>
      <c r="X449" s="27">
        <f>IF(G449,P449,"")</f>
        <v/>
      </c>
      <c r="Y449" s="27">
        <f>IF(G449,N449,"")</f>
        <v/>
      </c>
      <c r="Z449" s="27">
        <f>IF(R449,O449,"")</f>
        <v/>
      </c>
      <c r="AA449" s="27">
        <f>IF(R449,N449,"")</f>
        <v/>
      </c>
    </row>
    <row r="450">
      <c r="A450" s="31" t="n">
        <v>0.1</v>
      </c>
      <c r="B450" s="31" t="n">
        <v>0</v>
      </c>
      <c r="C450" s="31" t="n">
        <v>0.8</v>
      </c>
      <c r="D450" s="31" t="n">
        <v>0.1</v>
      </c>
      <c r="E450" s="27" t="inlineStr">
        <is>
          <t>ON 10%/2M 80%/3M 10%</t>
        </is>
      </c>
      <c r="F450" s="27" t="n">
        <v>100</v>
      </c>
      <c r="G450" s="27">
        <f>A450*$B$7&gt;=$B$9</f>
        <v/>
      </c>
      <c r="H450" s="13">
        <f>$B$7*(A450*E$71+B450*F$71+C450*G$71+D450*H$71)+F450/100*$B$7*J$71-$C$71</f>
        <v/>
      </c>
      <c r="I450" s="13">
        <f>$B$7*(A450*L$71+B450*M$71+C450*N$71+D450*O$71)+F450/100*$B$7*Q$71-$C$71</f>
        <v/>
      </c>
      <c r="J450" s="13">
        <f>$B$7*(A450*S$71+B450*T$71+C450*U$71+D450*V$71)+F450/100*$B$7*X$71-$C$71</f>
        <v/>
      </c>
      <c r="K450" s="13">
        <f>$B$7*(A450*Z$71+B450*AA$71+C450*AB$71+D450*AC$71)+F450/100*$B$7*AE$71-$C$71</f>
        <v/>
      </c>
      <c r="L450" s="13">
        <f>$B$7*(A450*AG$71+B450*AH$71+C450*AI$71+D450*AJ$71)+F450/100*$B$7*AL$71-$C$71</f>
        <v/>
      </c>
      <c r="M450" s="13">
        <f>$B$7*(A450*AN$71+B450*AO$71+C450*AP$71+D450*AQ$71)+F450/100*$B$7*AS$71-$C$71</f>
        <v/>
      </c>
      <c r="N450" s="13">
        <f>SUMPRODUCT($H$24:$M$24,H450:M450)</f>
        <v/>
      </c>
      <c r="O450" s="14">
        <f>SQRT(SUMPRODUCT($H$24:$M$24,(H450:M450-N450)^2))</f>
        <v/>
      </c>
      <c r="P450" s="13">
        <f>MIN(H450:M450)</f>
        <v/>
      </c>
      <c r="Q450" s="13">
        <f>MAX(H450:M450)</f>
        <v/>
      </c>
      <c r="R450" s="27">
        <f>IF(G450,SUMPRODUCT(($G$76:$G$1505)*($N$76:$N$1505&gt;=N450)*($O$76:$O$1505&lt;=O450))=1,FALSE)</f>
        <v/>
      </c>
      <c r="S450" s="16">
        <f>IF(R450,ABS((O450-$AC$76)/MAX(0.0001,$AC$77-$AC$76)-(N450-$AC$78)/MAX(0.0001,$AC$79-$AC$78)),-1)</f>
        <v/>
      </c>
      <c r="T450" s="14">
        <f>IF(G450,O450,NA())</f>
        <v/>
      </c>
      <c r="U450" s="13">
        <f>IF(G450,N450,NA())</f>
        <v/>
      </c>
      <c r="V450" s="14">
        <f>IF(R450,O450,NA())</f>
        <v/>
      </c>
      <c r="W450" s="13">
        <f>IF(R450,N450,NA())</f>
        <v/>
      </c>
      <c r="X450" s="27">
        <f>IF(G450,P450,"")</f>
        <v/>
      </c>
      <c r="Y450" s="27">
        <f>IF(G450,N450,"")</f>
        <v/>
      </c>
      <c r="Z450" s="27">
        <f>IF(R450,O450,"")</f>
        <v/>
      </c>
      <c r="AA450" s="27">
        <f>IF(R450,N450,"")</f>
        <v/>
      </c>
    </row>
    <row r="451">
      <c r="A451" s="31" t="n">
        <v>0.1</v>
      </c>
      <c r="B451" s="31" t="n">
        <v>0</v>
      </c>
      <c r="C451" s="31" t="n">
        <v>0.9</v>
      </c>
      <c r="D451" s="31" t="n">
        <v>0</v>
      </c>
      <c r="E451" s="27" t="inlineStr">
        <is>
          <t>ON 10%/2M 90%</t>
        </is>
      </c>
      <c r="F451" s="27" t="n">
        <v>0</v>
      </c>
      <c r="G451" s="27">
        <f>A451*$B$7&gt;=$B$9</f>
        <v/>
      </c>
      <c r="H451" s="13">
        <f>$B$7*(A451*E$71+B451*F$71+C451*G$71+D451*H$71)+F451/100*$B$7*J$71-$C$71</f>
        <v/>
      </c>
      <c r="I451" s="13">
        <f>$B$7*(A451*L$71+B451*M$71+C451*N$71+D451*O$71)+F451/100*$B$7*Q$71-$C$71</f>
        <v/>
      </c>
      <c r="J451" s="13">
        <f>$B$7*(A451*S$71+B451*T$71+C451*U$71+D451*V$71)+F451/100*$B$7*X$71-$C$71</f>
        <v/>
      </c>
      <c r="K451" s="13">
        <f>$B$7*(A451*Z$71+B451*AA$71+C451*AB$71+D451*AC$71)+F451/100*$B$7*AE$71-$C$71</f>
        <v/>
      </c>
      <c r="L451" s="13">
        <f>$B$7*(A451*AG$71+B451*AH$71+C451*AI$71+D451*AJ$71)+F451/100*$B$7*AL$71-$C$71</f>
        <v/>
      </c>
      <c r="M451" s="13">
        <f>$B$7*(A451*AN$71+B451*AO$71+C451*AP$71+D451*AQ$71)+F451/100*$B$7*AS$71-$C$71</f>
        <v/>
      </c>
      <c r="N451" s="13">
        <f>SUMPRODUCT($H$24:$M$24,H451:M451)</f>
        <v/>
      </c>
      <c r="O451" s="14">
        <f>SQRT(SUMPRODUCT($H$24:$M$24,(H451:M451-N451)^2))</f>
        <v/>
      </c>
      <c r="P451" s="13">
        <f>MIN(H451:M451)</f>
        <v/>
      </c>
      <c r="Q451" s="13">
        <f>MAX(H451:M451)</f>
        <v/>
      </c>
      <c r="R451" s="27">
        <f>IF(G451,SUMPRODUCT(($G$76:$G$1505)*($N$76:$N$1505&gt;=N451)*($O$76:$O$1505&lt;=O451))=1,FALSE)</f>
        <v/>
      </c>
      <c r="S451" s="16">
        <f>IF(R451,ABS((O451-$AC$76)/MAX(0.0001,$AC$77-$AC$76)-(N451-$AC$78)/MAX(0.0001,$AC$79-$AC$78)),-1)</f>
        <v/>
      </c>
      <c r="T451" s="14">
        <f>IF(G451,O451,NA())</f>
        <v/>
      </c>
      <c r="U451" s="13">
        <f>IF(G451,N451,NA())</f>
        <v/>
      </c>
      <c r="V451" s="14">
        <f>IF(R451,O451,NA())</f>
        <v/>
      </c>
      <c r="W451" s="13">
        <f>IF(R451,N451,NA())</f>
        <v/>
      </c>
      <c r="X451" s="27">
        <f>IF(G451,P451,"")</f>
        <v/>
      </c>
      <c r="Y451" s="27">
        <f>IF(G451,N451,"")</f>
        <v/>
      </c>
      <c r="Z451" s="27">
        <f>IF(R451,O451,"")</f>
        <v/>
      </c>
      <c r="AA451" s="27">
        <f>IF(R451,N451,"")</f>
        <v/>
      </c>
    </row>
    <row r="452">
      <c r="A452" s="31" t="n">
        <v>0.1</v>
      </c>
      <c r="B452" s="31" t="n">
        <v>0</v>
      </c>
      <c r="C452" s="31" t="n">
        <v>0.9</v>
      </c>
      <c r="D452" s="31" t="n">
        <v>0</v>
      </c>
      <c r="E452" s="27" t="inlineStr">
        <is>
          <t>ON 10%/2M 90%</t>
        </is>
      </c>
      <c r="F452" s="27" t="n">
        <v>25</v>
      </c>
      <c r="G452" s="27">
        <f>A452*$B$7&gt;=$B$9</f>
        <v/>
      </c>
      <c r="H452" s="13">
        <f>$B$7*(A452*E$71+B452*F$71+C452*G$71+D452*H$71)+F452/100*$B$7*J$71-$C$71</f>
        <v/>
      </c>
      <c r="I452" s="13">
        <f>$B$7*(A452*L$71+B452*M$71+C452*N$71+D452*O$71)+F452/100*$B$7*Q$71-$C$71</f>
        <v/>
      </c>
      <c r="J452" s="13">
        <f>$B$7*(A452*S$71+B452*T$71+C452*U$71+D452*V$71)+F452/100*$B$7*X$71-$C$71</f>
        <v/>
      </c>
      <c r="K452" s="13">
        <f>$B$7*(A452*Z$71+B452*AA$71+C452*AB$71+D452*AC$71)+F452/100*$B$7*AE$71-$C$71</f>
        <v/>
      </c>
      <c r="L452" s="13">
        <f>$B$7*(A452*AG$71+B452*AH$71+C452*AI$71+D452*AJ$71)+F452/100*$B$7*AL$71-$C$71</f>
        <v/>
      </c>
      <c r="M452" s="13">
        <f>$B$7*(A452*AN$71+B452*AO$71+C452*AP$71+D452*AQ$71)+F452/100*$B$7*AS$71-$C$71</f>
        <v/>
      </c>
      <c r="N452" s="13">
        <f>SUMPRODUCT($H$24:$M$24,H452:M452)</f>
        <v/>
      </c>
      <c r="O452" s="14">
        <f>SQRT(SUMPRODUCT($H$24:$M$24,(H452:M452-N452)^2))</f>
        <v/>
      </c>
      <c r="P452" s="13">
        <f>MIN(H452:M452)</f>
        <v/>
      </c>
      <c r="Q452" s="13">
        <f>MAX(H452:M452)</f>
        <v/>
      </c>
      <c r="R452" s="27">
        <f>IF(G452,SUMPRODUCT(($G$76:$G$1505)*($N$76:$N$1505&gt;=N452)*($O$76:$O$1505&lt;=O452))=1,FALSE)</f>
        <v/>
      </c>
      <c r="S452" s="16">
        <f>IF(R452,ABS((O452-$AC$76)/MAX(0.0001,$AC$77-$AC$76)-(N452-$AC$78)/MAX(0.0001,$AC$79-$AC$78)),-1)</f>
        <v/>
      </c>
      <c r="T452" s="14">
        <f>IF(G452,O452,NA())</f>
        <v/>
      </c>
      <c r="U452" s="13">
        <f>IF(G452,N452,NA())</f>
        <v/>
      </c>
      <c r="V452" s="14">
        <f>IF(R452,O452,NA())</f>
        <v/>
      </c>
      <c r="W452" s="13">
        <f>IF(R452,N452,NA())</f>
        <v/>
      </c>
      <c r="X452" s="27">
        <f>IF(G452,P452,"")</f>
        <v/>
      </c>
      <c r="Y452" s="27">
        <f>IF(G452,N452,"")</f>
        <v/>
      </c>
      <c r="Z452" s="27">
        <f>IF(R452,O452,"")</f>
        <v/>
      </c>
      <c r="AA452" s="27">
        <f>IF(R452,N452,"")</f>
        <v/>
      </c>
    </row>
    <row r="453">
      <c r="A453" s="31" t="n">
        <v>0.1</v>
      </c>
      <c r="B453" s="31" t="n">
        <v>0</v>
      </c>
      <c r="C453" s="31" t="n">
        <v>0.9</v>
      </c>
      <c r="D453" s="31" t="n">
        <v>0</v>
      </c>
      <c r="E453" s="27" t="inlineStr">
        <is>
          <t>ON 10%/2M 90%</t>
        </is>
      </c>
      <c r="F453" s="27" t="n">
        <v>50</v>
      </c>
      <c r="G453" s="27">
        <f>A453*$B$7&gt;=$B$9</f>
        <v/>
      </c>
      <c r="H453" s="13">
        <f>$B$7*(A453*E$71+B453*F$71+C453*G$71+D453*H$71)+F453/100*$B$7*J$71-$C$71</f>
        <v/>
      </c>
      <c r="I453" s="13">
        <f>$B$7*(A453*L$71+B453*M$71+C453*N$71+D453*O$71)+F453/100*$B$7*Q$71-$C$71</f>
        <v/>
      </c>
      <c r="J453" s="13">
        <f>$B$7*(A453*S$71+B453*T$71+C453*U$71+D453*V$71)+F453/100*$B$7*X$71-$C$71</f>
        <v/>
      </c>
      <c r="K453" s="13">
        <f>$B$7*(A453*Z$71+B453*AA$71+C453*AB$71+D453*AC$71)+F453/100*$B$7*AE$71-$C$71</f>
        <v/>
      </c>
      <c r="L453" s="13">
        <f>$B$7*(A453*AG$71+B453*AH$71+C453*AI$71+D453*AJ$71)+F453/100*$B$7*AL$71-$C$71</f>
        <v/>
      </c>
      <c r="M453" s="13">
        <f>$B$7*(A453*AN$71+B453*AO$71+C453*AP$71+D453*AQ$71)+F453/100*$B$7*AS$71-$C$71</f>
        <v/>
      </c>
      <c r="N453" s="13">
        <f>SUMPRODUCT($H$24:$M$24,H453:M453)</f>
        <v/>
      </c>
      <c r="O453" s="14">
        <f>SQRT(SUMPRODUCT($H$24:$M$24,(H453:M453-N453)^2))</f>
        <v/>
      </c>
      <c r="P453" s="13">
        <f>MIN(H453:M453)</f>
        <v/>
      </c>
      <c r="Q453" s="13">
        <f>MAX(H453:M453)</f>
        <v/>
      </c>
      <c r="R453" s="27">
        <f>IF(G453,SUMPRODUCT(($G$76:$G$1505)*($N$76:$N$1505&gt;=N453)*($O$76:$O$1505&lt;=O453))=1,FALSE)</f>
        <v/>
      </c>
      <c r="S453" s="16">
        <f>IF(R453,ABS((O453-$AC$76)/MAX(0.0001,$AC$77-$AC$76)-(N453-$AC$78)/MAX(0.0001,$AC$79-$AC$78)),-1)</f>
        <v/>
      </c>
      <c r="T453" s="14">
        <f>IF(G453,O453,NA())</f>
        <v/>
      </c>
      <c r="U453" s="13">
        <f>IF(G453,N453,NA())</f>
        <v/>
      </c>
      <c r="V453" s="14">
        <f>IF(R453,O453,NA())</f>
        <v/>
      </c>
      <c r="W453" s="13">
        <f>IF(R453,N453,NA())</f>
        <v/>
      </c>
      <c r="X453" s="27">
        <f>IF(G453,P453,"")</f>
        <v/>
      </c>
      <c r="Y453" s="27">
        <f>IF(G453,N453,"")</f>
        <v/>
      </c>
      <c r="Z453" s="27">
        <f>IF(R453,O453,"")</f>
        <v/>
      </c>
      <c r="AA453" s="27">
        <f>IF(R453,N453,"")</f>
        <v/>
      </c>
    </row>
    <row r="454">
      <c r="A454" s="31" t="n">
        <v>0.1</v>
      </c>
      <c r="B454" s="31" t="n">
        <v>0</v>
      </c>
      <c r="C454" s="31" t="n">
        <v>0.9</v>
      </c>
      <c r="D454" s="31" t="n">
        <v>0</v>
      </c>
      <c r="E454" s="27" t="inlineStr">
        <is>
          <t>ON 10%/2M 90%</t>
        </is>
      </c>
      <c r="F454" s="27" t="n">
        <v>75</v>
      </c>
      <c r="G454" s="27">
        <f>A454*$B$7&gt;=$B$9</f>
        <v/>
      </c>
      <c r="H454" s="13">
        <f>$B$7*(A454*E$71+B454*F$71+C454*G$71+D454*H$71)+F454/100*$B$7*J$71-$C$71</f>
        <v/>
      </c>
      <c r="I454" s="13">
        <f>$B$7*(A454*L$71+B454*M$71+C454*N$71+D454*O$71)+F454/100*$B$7*Q$71-$C$71</f>
        <v/>
      </c>
      <c r="J454" s="13">
        <f>$B$7*(A454*S$71+B454*T$71+C454*U$71+D454*V$71)+F454/100*$B$7*X$71-$C$71</f>
        <v/>
      </c>
      <c r="K454" s="13">
        <f>$B$7*(A454*Z$71+B454*AA$71+C454*AB$71+D454*AC$71)+F454/100*$B$7*AE$71-$C$71</f>
        <v/>
      </c>
      <c r="L454" s="13">
        <f>$B$7*(A454*AG$71+B454*AH$71+C454*AI$71+D454*AJ$71)+F454/100*$B$7*AL$71-$C$71</f>
        <v/>
      </c>
      <c r="M454" s="13">
        <f>$B$7*(A454*AN$71+B454*AO$71+C454*AP$71+D454*AQ$71)+F454/100*$B$7*AS$71-$C$71</f>
        <v/>
      </c>
      <c r="N454" s="13">
        <f>SUMPRODUCT($H$24:$M$24,H454:M454)</f>
        <v/>
      </c>
      <c r="O454" s="14">
        <f>SQRT(SUMPRODUCT($H$24:$M$24,(H454:M454-N454)^2))</f>
        <v/>
      </c>
      <c r="P454" s="13">
        <f>MIN(H454:M454)</f>
        <v/>
      </c>
      <c r="Q454" s="13">
        <f>MAX(H454:M454)</f>
        <v/>
      </c>
      <c r="R454" s="27">
        <f>IF(G454,SUMPRODUCT(($G$76:$G$1505)*($N$76:$N$1505&gt;=N454)*($O$76:$O$1505&lt;=O454))=1,FALSE)</f>
        <v/>
      </c>
      <c r="S454" s="16">
        <f>IF(R454,ABS((O454-$AC$76)/MAX(0.0001,$AC$77-$AC$76)-(N454-$AC$78)/MAX(0.0001,$AC$79-$AC$78)),-1)</f>
        <v/>
      </c>
      <c r="T454" s="14">
        <f>IF(G454,O454,NA())</f>
        <v/>
      </c>
      <c r="U454" s="13">
        <f>IF(G454,N454,NA())</f>
        <v/>
      </c>
      <c r="V454" s="14">
        <f>IF(R454,O454,NA())</f>
        <v/>
      </c>
      <c r="W454" s="13">
        <f>IF(R454,N454,NA())</f>
        <v/>
      </c>
      <c r="X454" s="27">
        <f>IF(G454,P454,"")</f>
        <v/>
      </c>
      <c r="Y454" s="27">
        <f>IF(G454,N454,"")</f>
        <v/>
      </c>
      <c r="Z454" s="27">
        <f>IF(R454,O454,"")</f>
        <v/>
      </c>
      <c r="AA454" s="27">
        <f>IF(R454,N454,"")</f>
        <v/>
      </c>
    </row>
    <row r="455">
      <c r="A455" s="31" t="n">
        <v>0.1</v>
      </c>
      <c r="B455" s="31" t="n">
        <v>0</v>
      </c>
      <c r="C455" s="31" t="n">
        <v>0.9</v>
      </c>
      <c r="D455" s="31" t="n">
        <v>0</v>
      </c>
      <c r="E455" s="27" t="inlineStr">
        <is>
          <t>ON 10%/2M 90%</t>
        </is>
      </c>
      <c r="F455" s="27" t="n">
        <v>100</v>
      </c>
      <c r="G455" s="27">
        <f>A455*$B$7&gt;=$B$9</f>
        <v/>
      </c>
      <c r="H455" s="13">
        <f>$B$7*(A455*E$71+B455*F$71+C455*G$71+D455*H$71)+F455/100*$B$7*J$71-$C$71</f>
        <v/>
      </c>
      <c r="I455" s="13">
        <f>$B$7*(A455*L$71+B455*M$71+C455*N$71+D455*O$71)+F455/100*$B$7*Q$71-$C$71</f>
        <v/>
      </c>
      <c r="J455" s="13">
        <f>$B$7*(A455*S$71+B455*T$71+C455*U$71+D455*V$71)+F455/100*$B$7*X$71-$C$71</f>
        <v/>
      </c>
      <c r="K455" s="13">
        <f>$B$7*(A455*Z$71+B455*AA$71+C455*AB$71+D455*AC$71)+F455/100*$B$7*AE$71-$C$71</f>
        <v/>
      </c>
      <c r="L455" s="13">
        <f>$B$7*(A455*AG$71+B455*AH$71+C455*AI$71+D455*AJ$71)+F455/100*$B$7*AL$71-$C$71</f>
        <v/>
      </c>
      <c r="M455" s="13">
        <f>$B$7*(A455*AN$71+B455*AO$71+C455*AP$71+D455*AQ$71)+F455/100*$B$7*AS$71-$C$71</f>
        <v/>
      </c>
      <c r="N455" s="13">
        <f>SUMPRODUCT($H$24:$M$24,H455:M455)</f>
        <v/>
      </c>
      <c r="O455" s="14">
        <f>SQRT(SUMPRODUCT($H$24:$M$24,(H455:M455-N455)^2))</f>
        <v/>
      </c>
      <c r="P455" s="13">
        <f>MIN(H455:M455)</f>
        <v/>
      </c>
      <c r="Q455" s="13">
        <f>MAX(H455:M455)</f>
        <v/>
      </c>
      <c r="R455" s="27">
        <f>IF(G455,SUMPRODUCT(($G$76:$G$1505)*($N$76:$N$1505&gt;=N455)*($O$76:$O$1505&lt;=O455))=1,FALSE)</f>
        <v/>
      </c>
      <c r="S455" s="16">
        <f>IF(R455,ABS((O455-$AC$76)/MAX(0.0001,$AC$77-$AC$76)-(N455-$AC$78)/MAX(0.0001,$AC$79-$AC$78)),-1)</f>
        <v/>
      </c>
      <c r="T455" s="14">
        <f>IF(G455,O455,NA())</f>
        <v/>
      </c>
      <c r="U455" s="13">
        <f>IF(G455,N455,NA())</f>
        <v/>
      </c>
      <c r="V455" s="14">
        <f>IF(R455,O455,NA())</f>
        <v/>
      </c>
      <c r="W455" s="13">
        <f>IF(R455,N455,NA())</f>
        <v/>
      </c>
      <c r="X455" s="27">
        <f>IF(G455,P455,"")</f>
        <v/>
      </c>
      <c r="Y455" s="27">
        <f>IF(G455,N455,"")</f>
        <v/>
      </c>
      <c r="Z455" s="27">
        <f>IF(R455,O455,"")</f>
        <v/>
      </c>
      <c r="AA455" s="27">
        <f>IF(R455,N455,"")</f>
        <v/>
      </c>
    </row>
    <row r="456">
      <c r="A456" s="31" t="n">
        <v>0.1</v>
      </c>
      <c r="B456" s="31" t="n">
        <v>0.1</v>
      </c>
      <c r="C456" s="31" t="n">
        <v>0</v>
      </c>
      <c r="D456" s="31" t="n">
        <v>0.8</v>
      </c>
      <c r="E456" s="27" t="inlineStr">
        <is>
          <t>ON 10%/1M 10%/3M 80%</t>
        </is>
      </c>
      <c r="F456" s="27" t="n">
        <v>0</v>
      </c>
      <c r="G456" s="27">
        <f>A456*$B$7&gt;=$B$9</f>
        <v/>
      </c>
      <c r="H456" s="13">
        <f>$B$7*(A456*E$71+B456*F$71+C456*G$71+D456*H$71)+F456/100*$B$7*J$71-$C$71</f>
        <v/>
      </c>
      <c r="I456" s="13">
        <f>$B$7*(A456*L$71+B456*M$71+C456*N$71+D456*O$71)+F456/100*$B$7*Q$71-$C$71</f>
        <v/>
      </c>
      <c r="J456" s="13">
        <f>$B$7*(A456*S$71+B456*T$71+C456*U$71+D456*V$71)+F456/100*$B$7*X$71-$C$71</f>
        <v/>
      </c>
      <c r="K456" s="13">
        <f>$B$7*(A456*Z$71+B456*AA$71+C456*AB$71+D456*AC$71)+F456/100*$B$7*AE$71-$C$71</f>
        <v/>
      </c>
      <c r="L456" s="13">
        <f>$B$7*(A456*AG$71+B456*AH$71+C456*AI$71+D456*AJ$71)+F456/100*$B$7*AL$71-$C$71</f>
        <v/>
      </c>
      <c r="M456" s="13">
        <f>$B$7*(A456*AN$71+B456*AO$71+C456*AP$71+D456*AQ$71)+F456/100*$B$7*AS$71-$C$71</f>
        <v/>
      </c>
      <c r="N456" s="13">
        <f>SUMPRODUCT($H$24:$M$24,H456:M456)</f>
        <v/>
      </c>
      <c r="O456" s="14">
        <f>SQRT(SUMPRODUCT($H$24:$M$24,(H456:M456-N456)^2))</f>
        <v/>
      </c>
      <c r="P456" s="13">
        <f>MIN(H456:M456)</f>
        <v/>
      </c>
      <c r="Q456" s="13">
        <f>MAX(H456:M456)</f>
        <v/>
      </c>
      <c r="R456" s="27">
        <f>IF(G456,SUMPRODUCT(($G$76:$G$1505)*($N$76:$N$1505&gt;=N456)*($O$76:$O$1505&lt;=O456))=1,FALSE)</f>
        <v/>
      </c>
      <c r="S456" s="16">
        <f>IF(R456,ABS((O456-$AC$76)/MAX(0.0001,$AC$77-$AC$76)-(N456-$AC$78)/MAX(0.0001,$AC$79-$AC$78)),-1)</f>
        <v/>
      </c>
      <c r="T456" s="14">
        <f>IF(G456,O456,NA())</f>
        <v/>
      </c>
      <c r="U456" s="13">
        <f>IF(G456,N456,NA())</f>
        <v/>
      </c>
      <c r="V456" s="14">
        <f>IF(R456,O456,NA())</f>
        <v/>
      </c>
      <c r="W456" s="13">
        <f>IF(R456,N456,NA())</f>
        <v/>
      </c>
      <c r="X456" s="27">
        <f>IF(G456,P456,"")</f>
        <v/>
      </c>
      <c r="Y456" s="27">
        <f>IF(G456,N456,"")</f>
        <v/>
      </c>
      <c r="Z456" s="27">
        <f>IF(R456,O456,"")</f>
        <v/>
      </c>
      <c r="AA456" s="27">
        <f>IF(R456,N456,"")</f>
        <v/>
      </c>
    </row>
    <row r="457">
      <c r="A457" s="31" t="n">
        <v>0.1</v>
      </c>
      <c r="B457" s="31" t="n">
        <v>0.1</v>
      </c>
      <c r="C457" s="31" t="n">
        <v>0</v>
      </c>
      <c r="D457" s="31" t="n">
        <v>0.8</v>
      </c>
      <c r="E457" s="27" t="inlineStr">
        <is>
          <t>ON 10%/1M 10%/3M 80%</t>
        </is>
      </c>
      <c r="F457" s="27" t="n">
        <v>25</v>
      </c>
      <c r="G457" s="27">
        <f>A457*$B$7&gt;=$B$9</f>
        <v/>
      </c>
      <c r="H457" s="13">
        <f>$B$7*(A457*E$71+B457*F$71+C457*G$71+D457*H$71)+F457/100*$B$7*J$71-$C$71</f>
        <v/>
      </c>
      <c r="I457" s="13">
        <f>$B$7*(A457*L$71+B457*M$71+C457*N$71+D457*O$71)+F457/100*$B$7*Q$71-$C$71</f>
        <v/>
      </c>
      <c r="J457" s="13">
        <f>$B$7*(A457*S$71+B457*T$71+C457*U$71+D457*V$71)+F457/100*$B$7*X$71-$C$71</f>
        <v/>
      </c>
      <c r="K457" s="13">
        <f>$B$7*(A457*Z$71+B457*AA$71+C457*AB$71+D457*AC$71)+F457/100*$B$7*AE$71-$C$71</f>
        <v/>
      </c>
      <c r="L457" s="13">
        <f>$B$7*(A457*AG$71+B457*AH$71+C457*AI$71+D457*AJ$71)+F457/100*$B$7*AL$71-$C$71</f>
        <v/>
      </c>
      <c r="M457" s="13">
        <f>$B$7*(A457*AN$71+B457*AO$71+C457*AP$71+D457*AQ$71)+F457/100*$B$7*AS$71-$C$71</f>
        <v/>
      </c>
      <c r="N457" s="13">
        <f>SUMPRODUCT($H$24:$M$24,H457:M457)</f>
        <v/>
      </c>
      <c r="O457" s="14">
        <f>SQRT(SUMPRODUCT($H$24:$M$24,(H457:M457-N457)^2))</f>
        <v/>
      </c>
      <c r="P457" s="13">
        <f>MIN(H457:M457)</f>
        <v/>
      </c>
      <c r="Q457" s="13">
        <f>MAX(H457:M457)</f>
        <v/>
      </c>
      <c r="R457" s="27">
        <f>IF(G457,SUMPRODUCT(($G$76:$G$1505)*($N$76:$N$1505&gt;=N457)*($O$76:$O$1505&lt;=O457))=1,FALSE)</f>
        <v/>
      </c>
      <c r="S457" s="16">
        <f>IF(R457,ABS((O457-$AC$76)/MAX(0.0001,$AC$77-$AC$76)-(N457-$AC$78)/MAX(0.0001,$AC$79-$AC$78)),-1)</f>
        <v/>
      </c>
      <c r="T457" s="14">
        <f>IF(G457,O457,NA())</f>
        <v/>
      </c>
      <c r="U457" s="13">
        <f>IF(G457,N457,NA())</f>
        <v/>
      </c>
      <c r="V457" s="14">
        <f>IF(R457,O457,NA())</f>
        <v/>
      </c>
      <c r="W457" s="13">
        <f>IF(R457,N457,NA())</f>
        <v/>
      </c>
      <c r="X457" s="27">
        <f>IF(G457,P457,"")</f>
        <v/>
      </c>
      <c r="Y457" s="27">
        <f>IF(G457,N457,"")</f>
        <v/>
      </c>
      <c r="Z457" s="27">
        <f>IF(R457,O457,"")</f>
        <v/>
      </c>
      <c r="AA457" s="27">
        <f>IF(R457,N457,"")</f>
        <v/>
      </c>
    </row>
    <row r="458">
      <c r="A458" s="31" t="n">
        <v>0.1</v>
      </c>
      <c r="B458" s="31" t="n">
        <v>0.1</v>
      </c>
      <c r="C458" s="31" t="n">
        <v>0</v>
      </c>
      <c r="D458" s="31" t="n">
        <v>0.8</v>
      </c>
      <c r="E458" s="27" t="inlineStr">
        <is>
          <t>ON 10%/1M 10%/3M 80%</t>
        </is>
      </c>
      <c r="F458" s="27" t="n">
        <v>50</v>
      </c>
      <c r="G458" s="27">
        <f>A458*$B$7&gt;=$B$9</f>
        <v/>
      </c>
      <c r="H458" s="13">
        <f>$B$7*(A458*E$71+B458*F$71+C458*G$71+D458*H$71)+F458/100*$B$7*J$71-$C$71</f>
        <v/>
      </c>
      <c r="I458" s="13">
        <f>$B$7*(A458*L$71+B458*M$71+C458*N$71+D458*O$71)+F458/100*$B$7*Q$71-$C$71</f>
        <v/>
      </c>
      <c r="J458" s="13">
        <f>$B$7*(A458*S$71+B458*T$71+C458*U$71+D458*V$71)+F458/100*$B$7*X$71-$C$71</f>
        <v/>
      </c>
      <c r="K458" s="13">
        <f>$B$7*(A458*Z$71+B458*AA$71+C458*AB$71+D458*AC$71)+F458/100*$B$7*AE$71-$C$71</f>
        <v/>
      </c>
      <c r="L458" s="13">
        <f>$B$7*(A458*AG$71+B458*AH$71+C458*AI$71+D458*AJ$71)+F458/100*$B$7*AL$71-$C$71</f>
        <v/>
      </c>
      <c r="M458" s="13">
        <f>$B$7*(A458*AN$71+B458*AO$71+C458*AP$71+D458*AQ$71)+F458/100*$B$7*AS$71-$C$71</f>
        <v/>
      </c>
      <c r="N458" s="13">
        <f>SUMPRODUCT($H$24:$M$24,H458:M458)</f>
        <v/>
      </c>
      <c r="O458" s="14">
        <f>SQRT(SUMPRODUCT($H$24:$M$24,(H458:M458-N458)^2))</f>
        <v/>
      </c>
      <c r="P458" s="13">
        <f>MIN(H458:M458)</f>
        <v/>
      </c>
      <c r="Q458" s="13">
        <f>MAX(H458:M458)</f>
        <v/>
      </c>
      <c r="R458" s="27">
        <f>IF(G458,SUMPRODUCT(($G$76:$G$1505)*($N$76:$N$1505&gt;=N458)*($O$76:$O$1505&lt;=O458))=1,FALSE)</f>
        <v/>
      </c>
      <c r="S458" s="16">
        <f>IF(R458,ABS((O458-$AC$76)/MAX(0.0001,$AC$77-$AC$76)-(N458-$AC$78)/MAX(0.0001,$AC$79-$AC$78)),-1)</f>
        <v/>
      </c>
      <c r="T458" s="14">
        <f>IF(G458,O458,NA())</f>
        <v/>
      </c>
      <c r="U458" s="13">
        <f>IF(G458,N458,NA())</f>
        <v/>
      </c>
      <c r="V458" s="14">
        <f>IF(R458,O458,NA())</f>
        <v/>
      </c>
      <c r="W458" s="13">
        <f>IF(R458,N458,NA())</f>
        <v/>
      </c>
      <c r="X458" s="27">
        <f>IF(G458,P458,"")</f>
        <v/>
      </c>
      <c r="Y458" s="27">
        <f>IF(G458,N458,"")</f>
        <v/>
      </c>
      <c r="Z458" s="27">
        <f>IF(R458,O458,"")</f>
        <v/>
      </c>
      <c r="AA458" s="27">
        <f>IF(R458,N458,"")</f>
        <v/>
      </c>
    </row>
    <row r="459">
      <c r="A459" s="31" t="n">
        <v>0.1</v>
      </c>
      <c r="B459" s="31" t="n">
        <v>0.1</v>
      </c>
      <c r="C459" s="31" t="n">
        <v>0</v>
      </c>
      <c r="D459" s="31" t="n">
        <v>0.8</v>
      </c>
      <c r="E459" s="27" t="inlineStr">
        <is>
          <t>ON 10%/1M 10%/3M 80%</t>
        </is>
      </c>
      <c r="F459" s="27" t="n">
        <v>75</v>
      </c>
      <c r="G459" s="27">
        <f>A459*$B$7&gt;=$B$9</f>
        <v/>
      </c>
      <c r="H459" s="13">
        <f>$B$7*(A459*E$71+B459*F$71+C459*G$71+D459*H$71)+F459/100*$B$7*J$71-$C$71</f>
        <v/>
      </c>
      <c r="I459" s="13">
        <f>$B$7*(A459*L$71+B459*M$71+C459*N$71+D459*O$71)+F459/100*$B$7*Q$71-$C$71</f>
        <v/>
      </c>
      <c r="J459" s="13">
        <f>$B$7*(A459*S$71+B459*T$71+C459*U$71+D459*V$71)+F459/100*$B$7*X$71-$C$71</f>
        <v/>
      </c>
      <c r="K459" s="13">
        <f>$B$7*(A459*Z$71+B459*AA$71+C459*AB$71+D459*AC$71)+F459/100*$B$7*AE$71-$C$71</f>
        <v/>
      </c>
      <c r="L459" s="13">
        <f>$B$7*(A459*AG$71+B459*AH$71+C459*AI$71+D459*AJ$71)+F459/100*$B$7*AL$71-$C$71</f>
        <v/>
      </c>
      <c r="M459" s="13">
        <f>$B$7*(A459*AN$71+B459*AO$71+C459*AP$71+D459*AQ$71)+F459/100*$B$7*AS$71-$C$71</f>
        <v/>
      </c>
      <c r="N459" s="13">
        <f>SUMPRODUCT($H$24:$M$24,H459:M459)</f>
        <v/>
      </c>
      <c r="O459" s="14">
        <f>SQRT(SUMPRODUCT($H$24:$M$24,(H459:M459-N459)^2))</f>
        <v/>
      </c>
      <c r="P459" s="13">
        <f>MIN(H459:M459)</f>
        <v/>
      </c>
      <c r="Q459" s="13">
        <f>MAX(H459:M459)</f>
        <v/>
      </c>
      <c r="R459" s="27">
        <f>IF(G459,SUMPRODUCT(($G$76:$G$1505)*($N$76:$N$1505&gt;=N459)*($O$76:$O$1505&lt;=O459))=1,FALSE)</f>
        <v/>
      </c>
      <c r="S459" s="16">
        <f>IF(R459,ABS((O459-$AC$76)/MAX(0.0001,$AC$77-$AC$76)-(N459-$AC$78)/MAX(0.0001,$AC$79-$AC$78)),-1)</f>
        <v/>
      </c>
      <c r="T459" s="14">
        <f>IF(G459,O459,NA())</f>
        <v/>
      </c>
      <c r="U459" s="13">
        <f>IF(G459,N459,NA())</f>
        <v/>
      </c>
      <c r="V459" s="14">
        <f>IF(R459,O459,NA())</f>
        <v/>
      </c>
      <c r="W459" s="13">
        <f>IF(R459,N459,NA())</f>
        <v/>
      </c>
      <c r="X459" s="27">
        <f>IF(G459,P459,"")</f>
        <v/>
      </c>
      <c r="Y459" s="27">
        <f>IF(G459,N459,"")</f>
        <v/>
      </c>
      <c r="Z459" s="27">
        <f>IF(R459,O459,"")</f>
        <v/>
      </c>
      <c r="AA459" s="27">
        <f>IF(R459,N459,"")</f>
        <v/>
      </c>
    </row>
    <row r="460">
      <c r="A460" s="31" t="n">
        <v>0.1</v>
      </c>
      <c r="B460" s="31" t="n">
        <v>0.1</v>
      </c>
      <c r="C460" s="31" t="n">
        <v>0</v>
      </c>
      <c r="D460" s="31" t="n">
        <v>0.8</v>
      </c>
      <c r="E460" s="27" t="inlineStr">
        <is>
          <t>ON 10%/1M 10%/3M 80%</t>
        </is>
      </c>
      <c r="F460" s="27" t="n">
        <v>100</v>
      </c>
      <c r="G460" s="27">
        <f>A460*$B$7&gt;=$B$9</f>
        <v/>
      </c>
      <c r="H460" s="13">
        <f>$B$7*(A460*E$71+B460*F$71+C460*G$71+D460*H$71)+F460/100*$B$7*J$71-$C$71</f>
        <v/>
      </c>
      <c r="I460" s="13">
        <f>$B$7*(A460*L$71+B460*M$71+C460*N$71+D460*O$71)+F460/100*$B$7*Q$71-$C$71</f>
        <v/>
      </c>
      <c r="J460" s="13">
        <f>$B$7*(A460*S$71+B460*T$71+C460*U$71+D460*V$71)+F460/100*$B$7*X$71-$C$71</f>
        <v/>
      </c>
      <c r="K460" s="13">
        <f>$B$7*(A460*Z$71+B460*AA$71+C460*AB$71+D460*AC$71)+F460/100*$B$7*AE$71-$C$71</f>
        <v/>
      </c>
      <c r="L460" s="13">
        <f>$B$7*(A460*AG$71+B460*AH$71+C460*AI$71+D460*AJ$71)+F460/100*$B$7*AL$71-$C$71</f>
        <v/>
      </c>
      <c r="M460" s="13">
        <f>$B$7*(A460*AN$71+B460*AO$71+C460*AP$71+D460*AQ$71)+F460/100*$B$7*AS$71-$C$71</f>
        <v/>
      </c>
      <c r="N460" s="13">
        <f>SUMPRODUCT($H$24:$M$24,H460:M460)</f>
        <v/>
      </c>
      <c r="O460" s="14">
        <f>SQRT(SUMPRODUCT($H$24:$M$24,(H460:M460-N460)^2))</f>
        <v/>
      </c>
      <c r="P460" s="13">
        <f>MIN(H460:M460)</f>
        <v/>
      </c>
      <c r="Q460" s="13">
        <f>MAX(H460:M460)</f>
        <v/>
      </c>
      <c r="R460" s="27">
        <f>IF(G460,SUMPRODUCT(($G$76:$G$1505)*($N$76:$N$1505&gt;=N460)*($O$76:$O$1505&lt;=O460))=1,FALSE)</f>
        <v/>
      </c>
      <c r="S460" s="16">
        <f>IF(R460,ABS((O460-$AC$76)/MAX(0.0001,$AC$77-$AC$76)-(N460-$AC$78)/MAX(0.0001,$AC$79-$AC$78)),-1)</f>
        <v/>
      </c>
      <c r="T460" s="14">
        <f>IF(G460,O460,NA())</f>
        <v/>
      </c>
      <c r="U460" s="13">
        <f>IF(G460,N460,NA())</f>
        <v/>
      </c>
      <c r="V460" s="14">
        <f>IF(R460,O460,NA())</f>
        <v/>
      </c>
      <c r="W460" s="13">
        <f>IF(R460,N460,NA())</f>
        <v/>
      </c>
      <c r="X460" s="27">
        <f>IF(G460,P460,"")</f>
        <v/>
      </c>
      <c r="Y460" s="27">
        <f>IF(G460,N460,"")</f>
        <v/>
      </c>
      <c r="Z460" s="27">
        <f>IF(R460,O460,"")</f>
        <v/>
      </c>
      <c r="AA460" s="27">
        <f>IF(R460,N460,"")</f>
        <v/>
      </c>
    </row>
    <row r="461">
      <c r="A461" s="31" t="n">
        <v>0.1</v>
      </c>
      <c r="B461" s="31" t="n">
        <v>0.1</v>
      </c>
      <c r="C461" s="31" t="n">
        <v>0.1</v>
      </c>
      <c r="D461" s="31" t="n">
        <v>0.7</v>
      </c>
      <c r="E461" s="27" t="inlineStr">
        <is>
          <t>ON 10%/1M 10%/2M 10%/3M 70%</t>
        </is>
      </c>
      <c r="F461" s="27" t="n">
        <v>0</v>
      </c>
      <c r="G461" s="27">
        <f>A461*$B$7&gt;=$B$9</f>
        <v/>
      </c>
      <c r="H461" s="13">
        <f>$B$7*(A461*E$71+B461*F$71+C461*G$71+D461*H$71)+F461/100*$B$7*J$71-$C$71</f>
        <v/>
      </c>
      <c r="I461" s="13">
        <f>$B$7*(A461*L$71+B461*M$71+C461*N$71+D461*O$71)+F461/100*$B$7*Q$71-$C$71</f>
        <v/>
      </c>
      <c r="J461" s="13">
        <f>$B$7*(A461*S$71+B461*T$71+C461*U$71+D461*V$71)+F461/100*$B$7*X$71-$C$71</f>
        <v/>
      </c>
      <c r="K461" s="13">
        <f>$B$7*(A461*Z$71+B461*AA$71+C461*AB$71+D461*AC$71)+F461/100*$B$7*AE$71-$C$71</f>
        <v/>
      </c>
      <c r="L461" s="13">
        <f>$B$7*(A461*AG$71+B461*AH$71+C461*AI$71+D461*AJ$71)+F461/100*$B$7*AL$71-$C$71</f>
        <v/>
      </c>
      <c r="M461" s="13">
        <f>$B$7*(A461*AN$71+B461*AO$71+C461*AP$71+D461*AQ$71)+F461/100*$B$7*AS$71-$C$71</f>
        <v/>
      </c>
      <c r="N461" s="13">
        <f>SUMPRODUCT($H$24:$M$24,H461:M461)</f>
        <v/>
      </c>
      <c r="O461" s="14">
        <f>SQRT(SUMPRODUCT($H$24:$M$24,(H461:M461-N461)^2))</f>
        <v/>
      </c>
      <c r="P461" s="13">
        <f>MIN(H461:M461)</f>
        <v/>
      </c>
      <c r="Q461" s="13">
        <f>MAX(H461:M461)</f>
        <v/>
      </c>
      <c r="R461" s="27">
        <f>IF(G461,SUMPRODUCT(($G$76:$G$1505)*($N$76:$N$1505&gt;=N461)*($O$76:$O$1505&lt;=O461))=1,FALSE)</f>
        <v/>
      </c>
      <c r="S461" s="16">
        <f>IF(R461,ABS((O461-$AC$76)/MAX(0.0001,$AC$77-$AC$76)-(N461-$AC$78)/MAX(0.0001,$AC$79-$AC$78)),-1)</f>
        <v/>
      </c>
      <c r="T461" s="14">
        <f>IF(G461,O461,NA())</f>
        <v/>
      </c>
      <c r="U461" s="13">
        <f>IF(G461,N461,NA())</f>
        <v/>
      </c>
      <c r="V461" s="14">
        <f>IF(R461,O461,NA())</f>
        <v/>
      </c>
      <c r="W461" s="13">
        <f>IF(R461,N461,NA())</f>
        <v/>
      </c>
      <c r="X461" s="27">
        <f>IF(G461,P461,"")</f>
        <v/>
      </c>
      <c r="Y461" s="27">
        <f>IF(G461,N461,"")</f>
        <v/>
      </c>
      <c r="Z461" s="27">
        <f>IF(R461,O461,"")</f>
        <v/>
      </c>
      <c r="AA461" s="27">
        <f>IF(R461,N461,"")</f>
        <v/>
      </c>
    </row>
    <row r="462">
      <c r="A462" s="31" t="n">
        <v>0.1</v>
      </c>
      <c r="B462" s="31" t="n">
        <v>0.1</v>
      </c>
      <c r="C462" s="31" t="n">
        <v>0.1</v>
      </c>
      <c r="D462" s="31" t="n">
        <v>0.7</v>
      </c>
      <c r="E462" s="27" t="inlineStr">
        <is>
          <t>ON 10%/1M 10%/2M 10%/3M 70%</t>
        </is>
      </c>
      <c r="F462" s="27" t="n">
        <v>25</v>
      </c>
      <c r="G462" s="27">
        <f>A462*$B$7&gt;=$B$9</f>
        <v/>
      </c>
      <c r="H462" s="13">
        <f>$B$7*(A462*E$71+B462*F$71+C462*G$71+D462*H$71)+F462/100*$B$7*J$71-$C$71</f>
        <v/>
      </c>
      <c r="I462" s="13">
        <f>$B$7*(A462*L$71+B462*M$71+C462*N$71+D462*O$71)+F462/100*$B$7*Q$71-$C$71</f>
        <v/>
      </c>
      <c r="J462" s="13">
        <f>$B$7*(A462*S$71+B462*T$71+C462*U$71+D462*V$71)+F462/100*$B$7*X$71-$C$71</f>
        <v/>
      </c>
      <c r="K462" s="13">
        <f>$B$7*(A462*Z$71+B462*AA$71+C462*AB$71+D462*AC$71)+F462/100*$B$7*AE$71-$C$71</f>
        <v/>
      </c>
      <c r="L462" s="13">
        <f>$B$7*(A462*AG$71+B462*AH$71+C462*AI$71+D462*AJ$71)+F462/100*$B$7*AL$71-$C$71</f>
        <v/>
      </c>
      <c r="M462" s="13">
        <f>$B$7*(A462*AN$71+B462*AO$71+C462*AP$71+D462*AQ$71)+F462/100*$B$7*AS$71-$C$71</f>
        <v/>
      </c>
      <c r="N462" s="13">
        <f>SUMPRODUCT($H$24:$M$24,H462:M462)</f>
        <v/>
      </c>
      <c r="O462" s="14">
        <f>SQRT(SUMPRODUCT($H$24:$M$24,(H462:M462-N462)^2))</f>
        <v/>
      </c>
      <c r="P462" s="13">
        <f>MIN(H462:M462)</f>
        <v/>
      </c>
      <c r="Q462" s="13">
        <f>MAX(H462:M462)</f>
        <v/>
      </c>
      <c r="R462" s="27">
        <f>IF(G462,SUMPRODUCT(($G$76:$G$1505)*($N$76:$N$1505&gt;=N462)*($O$76:$O$1505&lt;=O462))=1,FALSE)</f>
        <v/>
      </c>
      <c r="S462" s="16">
        <f>IF(R462,ABS((O462-$AC$76)/MAX(0.0001,$AC$77-$AC$76)-(N462-$AC$78)/MAX(0.0001,$AC$79-$AC$78)),-1)</f>
        <v/>
      </c>
      <c r="T462" s="14">
        <f>IF(G462,O462,NA())</f>
        <v/>
      </c>
      <c r="U462" s="13">
        <f>IF(G462,N462,NA())</f>
        <v/>
      </c>
      <c r="V462" s="14">
        <f>IF(R462,O462,NA())</f>
        <v/>
      </c>
      <c r="W462" s="13">
        <f>IF(R462,N462,NA())</f>
        <v/>
      </c>
      <c r="X462" s="27">
        <f>IF(G462,P462,"")</f>
        <v/>
      </c>
      <c r="Y462" s="27">
        <f>IF(G462,N462,"")</f>
        <v/>
      </c>
      <c r="Z462" s="27">
        <f>IF(R462,O462,"")</f>
        <v/>
      </c>
      <c r="AA462" s="27">
        <f>IF(R462,N462,"")</f>
        <v/>
      </c>
    </row>
    <row r="463">
      <c r="A463" s="31" t="n">
        <v>0.1</v>
      </c>
      <c r="B463" s="31" t="n">
        <v>0.1</v>
      </c>
      <c r="C463" s="31" t="n">
        <v>0.1</v>
      </c>
      <c r="D463" s="31" t="n">
        <v>0.7</v>
      </c>
      <c r="E463" s="27" t="inlineStr">
        <is>
          <t>ON 10%/1M 10%/2M 10%/3M 70%</t>
        </is>
      </c>
      <c r="F463" s="27" t="n">
        <v>50</v>
      </c>
      <c r="G463" s="27">
        <f>A463*$B$7&gt;=$B$9</f>
        <v/>
      </c>
      <c r="H463" s="13">
        <f>$B$7*(A463*E$71+B463*F$71+C463*G$71+D463*H$71)+F463/100*$B$7*J$71-$C$71</f>
        <v/>
      </c>
      <c r="I463" s="13">
        <f>$B$7*(A463*L$71+B463*M$71+C463*N$71+D463*O$71)+F463/100*$B$7*Q$71-$C$71</f>
        <v/>
      </c>
      <c r="J463" s="13">
        <f>$B$7*(A463*S$71+B463*T$71+C463*U$71+D463*V$71)+F463/100*$B$7*X$71-$C$71</f>
        <v/>
      </c>
      <c r="K463" s="13">
        <f>$B$7*(A463*Z$71+B463*AA$71+C463*AB$71+D463*AC$71)+F463/100*$B$7*AE$71-$C$71</f>
        <v/>
      </c>
      <c r="L463" s="13">
        <f>$B$7*(A463*AG$71+B463*AH$71+C463*AI$71+D463*AJ$71)+F463/100*$B$7*AL$71-$C$71</f>
        <v/>
      </c>
      <c r="M463" s="13">
        <f>$B$7*(A463*AN$71+B463*AO$71+C463*AP$71+D463*AQ$71)+F463/100*$B$7*AS$71-$C$71</f>
        <v/>
      </c>
      <c r="N463" s="13">
        <f>SUMPRODUCT($H$24:$M$24,H463:M463)</f>
        <v/>
      </c>
      <c r="O463" s="14">
        <f>SQRT(SUMPRODUCT($H$24:$M$24,(H463:M463-N463)^2))</f>
        <v/>
      </c>
      <c r="P463" s="13">
        <f>MIN(H463:M463)</f>
        <v/>
      </c>
      <c r="Q463" s="13">
        <f>MAX(H463:M463)</f>
        <v/>
      </c>
      <c r="R463" s="27">
        <f>IF(G463,SUMPRODUCT(($G$76:$G$1505)*($N$76:$N$1505&gt;=N463)*($O$76:$O$1505&lt;=O463))=1,FALSE)</f>
        <v/>
      </c>
      <c r="S463" s="16">
        <f>IF(R463,ABS((O463-$AC$76)/MAX(0.0001,$AC$77-$AC$76)-(N463-$AC$78)/MAX(0.0001,$AC$79-$AC$78)),-1)</f>
        <v/>
      </c>
      <c r="T463" s="14">
        <f>IF(G463,O463,NA())</f>
        <v/>
      </c>
      <c r="U463" s="13">
        <f>IF(G463,N463,NA())</f>
        <v/>
      </c>
      <c r="V463" s="14">
        <f>IF(R463,O463,NA())</f>
        <v/>
      </c>
      <c r="W463" s="13">
        <f>IF(R463,N463,NA())</f>
        <v/>
      </c>
      <c r="X463" s="27">
        <f>IF(G463,P463,"")</f>
        <v/>
      </c>
      <c r="Y463" s="27">
        <f>IF(G463,N463,"")</f>
        <v/>
      </c>
      <c r="Z463" s="27">
        <f>IF(R463,O463,"")</f>
        <v/>
      </c>
      <c r="AA463" s="27">
        <f>IF(R463,N463,"")</f>
        <v/>
      </c>
    </row>
    <row r="464">
      <c r="A464" s="31" t="n">
        <v>0.1</v>
      </c>
      <c r="B464" s="31" t="n">
        <v>0.1</v>
      </c>
      <c r="C464" s="31" t="n">
        <v>0.1</v>
      </c>
      <c r="D464" s="31" t="n">
        <v>0.7</v>
      </c>
      <c r="E464" s="27" t="inlineStr">
        <is>
          <t>ON 10%/1M 10%/2M 10%/3M 70%</t>
        </is>
      </c>
      <c r="F464" s="27" t="n">
        <v>75</v>
      </c>
      <c r="G464" s="27">
        <f>A464*$B$7&gt;=$B$9</f>
        <v/>
      </c>
      <c r="H464" s="13">
        <f>$B$7*(A464*E$71+B464*F$71+C464*G$71+D464*H$71)+F464/100*$B$7*J$71-$C$71</f>
        <v/>
      </c>
      <c r="I464" s="13">
        <f>$B$7*(A464*L$71+B464*M$71+C464*N$71+D464*O$71)+F464/100*$B$7*Q$71-$C$71</f>
        <v/>
      </c>
      <c r="J464" s="13">
        <f>$B$7*(A464*S$71+B464*T$71+C464*U$71+D464*V$71)+F464/100*$B$7*X$71-$C$71</f>
        <v/>
      </c>
      <c r="K464" s="13">
        <f>$B$7*(A464*Z$71+B464*AA$71+C464*AB$71+D464*AC$71)+F464/100*$B$7*AE$71-$C$71</f>
        <v/>
      </c>
      <c r="L464" s="13">
        <f>$B$7*(A464*AG$71+B464*AH$71+C464*AI$71+D464*AJ$71)+F464/100*$B$7*AL$71-$C$71</f>
        <v/>
      </c>
      <c r="M464" s="13">
        <f>$B$7*(A464*AN$71+B464*AO$71+C464*AP$71+D464*AQ$71)+F464/100*$B$7*AS$71-$C$71</f>
        <v/>
      </c>
      <c r="N464" s="13">
        <f>SUMPRODUCT($H$24:$M$24,H464:M464)</f>
        <v/>
      </c>
      <c r="O464" s="14">
        <f>SQRT(SUMPRODUCT($H$24:$M$24,(H464:M464-N464)^2))</f>
        <v/>
      </c>
      <c r="P464" s="13">
        <f>MIN(H464:M464)</f>
        <v/>
      </c>
      <c r="Q464" s="13">
        <f>MAX(H464:M464)</f>
        <v/>
      </c>
      <c r="R464" s="27">
        <f>IF(G464,SUMPRODUCT(($G$76:$G$1505)*($N$76:$N$1505&gt;=N464)*($O$76:$O$1505&lt;=O464))=1,FALSE)</f>
        <v/>
      </c>
      <c r="S464" s="16">
        <f>IF(R464,ABS((O464-$AC$76)/MAX(0.0001,$AC$77-$AC$76)-(N464-$AC$78)/MAX(0.0001,$AC$79-$AC$78)),-1)</f>
        <v/>
      </c>
      <c r="T464" s="14">
        <f>IF(G464,O464,NA())</f>
        <v/>
      </c>
      <c r="U464" s="13">
        <f>IF(G464,N464,NA())</f>
        <v/>
      </c>
      <c r="V464" s="14">
        <f>IF(R464,O464,NA())</f>
        <v/>
      </c>
      <c r="W464" s="13">
        <f>IF(R464,N464,NA())</f>
        <v/>
      </c>
      <c r="X464" s="27">
        <f>IF(G464,P464,"")</f>
        <v/>
      </c>
      <c r="Y464" s="27">
        <f>IF(G464,N464,"")</f>
        <v/>
      </c>
      <c r="Z464" s="27">
        <f>IF(R464,O464,"")</f>
        <v/>
      </c>
      <c r="AA464" s="27">
        <f>IF(R464,N464,"")</f>
        <v/>
      </c>
    </row>
    <row r="465">
      <c r="A465" s="31" t="n">
        <v>0.1</v>
      </c>
      <c r="B465" s="31" t="n">
        <v>0.1</v>
      </c>
      <c r="C465" s="31" t="n">
        <v>0.1</v>
      </c>
      <c r="D465" s="31" t="n">
        <v>0.7</v>
      </c>
      <c r="E465" s="27" t="inlineStr">
        <is>
          <t>ON 10%/1M 10%/2M 10%/3M 70%</t>
        </is>
      </c>
      <c r="F465" s="27" t="n">
        <v>100</v>
      </c>
      <c r="G465" s="27">
        <f>A465*$B$7&gt;=$B$9</f>
        <v/>
      </c>
      <c r="H465" s="13">
        <f>$B$7*(A465*E$71+B465*F$71+C465*G$71+D465*H$71)+F465/100*$B$7*J$71-$C$71</f>
        <v/>
      </c>
      <c r="I465" s="13">
        <f>$B$7*(A465*L$71+B465*M$71+C465*N$71+D465*O$71)+F465/100*$B$7*Q$71-$C$71</f>
        <v/>
      </c>
      <c r="J465" s="13">
        <f>$B$7*(A465*S$71+B465*T$71+C465*U$71+D465*V$71)+F465/100*$B$7*X$71-$C$71</f>
        <v/>
      </c>
      <c r="K465" s="13">
        <f>$B$7*(A465*Z$71+B465*AA$71+C465*AB$71+D465*AC$71)+F465/100*$B$7*AE$71-$C$71</f>
        <v/>
      </c>
      <c r="L465" s="13">
        <f>$B$7*(A465*AG$71+B465*AH$71+C465*AI$71+D465*AJ$71)+F465/100*$B$7*AL$71-$C$71</f>
        <v/>
      </c>
      <c r="M465" s="13">
        <f>$B$7*(A465*AN$71+B465*AO$71+C465*AP$71+D465*AQ$71)+F465/100*$B$7*AS$71-$C$71</f>
        <v/>
      </c>
      <c r="N465" s="13">
        <f>SUMPRODUCT($H$24:$M$24,H465:M465)</f>
        <v/>
      </c>
      <c r="O465" s="14">
        <f>SQRT(SUMPRODUCT($H$24:$M$24,(H465:M465-N465)^2))</f>
        <v/>
      </c>
      <c r="P465" s="13">
        <f>MIN(H465:M465)</f>
        <v/>
      </c>
      <c r="Q465" s="13">
        <f>MAX(H465:M465)</f>
        <v/>
      </c>
      <c r="R465" s="27">
        <f>IF(G465,SUMPRODUCT(($G$76:$G$1505)*($N$76:$N$1505&gt;=N465)*($O$76:$O$1505&lt;=O465))=1,FALSE)</f>
        <v/>
      </c>
      <c r="S465" s="16">
        <f>IF(R465,ABS((O465-$AC$76)/MAX(0.0001,$AC$77-$AC$76)-(N465-$AC$78)/MAX(0.0001,$AC$79-$AC$78)),-1)</f>
        <v/>
      </c>
      <c r="T465" s="14">
        <f>IF(G465,O465,NA())</f>
        <v/>
      </c>
      <c r="U465" s="13">
        <f>IF(G465,N465,NA())</f>
        <v/>
      </c>
      <c r="V465" s="14">
        <f>IF(R465,O465,NA())</f>
        <v/>
      </c>
      <c r="W465" s="13">
        <f>IF(R465,N465,NA())</f>
        <v/>
      </c>
      <c r="X465" s="27">
        <f>IF(G465,P465,"")</f>
        <v/>
      </c>
      <c r="Y465" s="27">
        <f>IF(G465,N465,"")</f>
        <v/>
      </c>
      <c r="Z465" s="27">
        <f>IF(R465,O465,"")</f>
        <v/>
      </c>
      <c r="AA465" s="27">
        <f>IF(R465,N465,"")</f>
        <v/>
      </c>
    </row>
    <row r="466">
      <c r="A466" s="31" t="n">
        <v>0.1</v>
      </c>
      <c r="B466" s="31" t="n">
        <v>0.1</v>
      </c>
      <c r="C466" s="31" t="n">
        <v>0.2</v>
      </c>
      <c r="D466" s="31" t="n">
        <v>0.6</v>
      </c>
      <c r="E466" s="27" t="inlineStr">
        <is>
          <t>ON 10%/1M 10%/2M 20%/3M 60%</t>
        </is>
      </c>
      <c r="F466" s="27" t="n">
        <v>0</v>
      </c>
      <c r="G466" s="27">
        <f>A466*$B$7&gt;=$B$9</f>
        <v/>
      </c>
      <c r="H466" s="13">
        <f>$B$7*(A466*E$71+B466*F$71+C466*G$71+D466*H$71)+F466/100*$B$7*J$71-$C$71</f>
        <v/>
      </c>
      <c r="I466" s="13">
        <f>$B$7*(A466*L$71+B466*M$71+C466*N$71+D466*O$71)+F466/100*$B$7*Q$71-$C$71</f>
        <v/>
      </c>
      <c r="J466" s="13">
        <f>$B$7*(A466*S$71+B466*T$71+C466*U$71+D466*V$71)+F466/100*$B$7*X$71-$C$71</f>
        <v/>
      </c>
      <c r="K466" s="13">
        <f>$B$7*(A466*Z$71+B466*AA$71+C466*AB$71+D466*AC$71)+F466/100*$B$7*AE$71-$C$71</f>
        <v/>
      </c>
      <c r="L466" s="13">
        <f>$B$7*(A466*AG$71+B466*AH$71+C466*AI$71+D466*AJ$71)+F466/100*$B$7*AL$71-$C$71</f>
        <v/>
      </c>
      <c r="M466" s="13">
        <f>$B$7*(A466*AN$71+B466*AO$71+C466*AP$71+D466*AQ$71)+F466/100*$B$7*AS$71-$C$71</f>
        <v/>
      </c>
      <c r="N466" s="13">
        <f>SUMPRODUCT($H$24:$M$24,H466:M466)</f>
        <v/>
      </c>
      <c r="O466" s="14">
        <f>SQRT(SUMPRODUCT($H$24:$M$24,(H466:M466-N466)^2))</f>
        <v/>
      </c>
      <c r="P466" s="13">
        <f>MIN(H466:M466)</f>
        <v/>
      </c>
      <c r="Q466" s="13">
        <f>MAX(H466:M466)</f>
        <v/>
      </c>
      <c r="R466" s="27">
        <f>IF(G466,SUMPRODUCT(($G$76:$G$1505)*($N$76:$N$1505&gt;=N466)*($O$76:$O$1505&lt;=O466))=1,FALSE)</f>
        <v/>
      </c>
      <c r="S466" s="16">
        <f>IF(R466,ABS((O466-$AC$76)/MAX(0.0001,$AC$77-$AC$76)-(N466-$AC$78)/MAX(0.0001,$AC$79-$AC$78)),-1)</f>
        <v/>
      </c>
      <c r="T466" s="14">
        <f>IF(G466,O466,NA())</f>
        <v/>
      </c>
      <c r="U466" s="13">
        <f>IF(G466,N466,NA())</f>
        <v/>
      </c>
      <c r="V466" s="14">
        <f>IF(R466,O466,NA())</f>
        <v/>
      </c>
      <c r="W466" s="13">
        <f>IF(R466,N466,NA())</f>
        <v/>
      </c>
      <c r="X466" s="27">
        <f>IF(G466,P466,"")</f>
        <v/>
      </c>
      <c r="Y466" s="27">
        <f>IF(G466,N466,"")</f>
        <v/>
      </c>
      <c r="Z466" s="27">
        <f>IF(R466,O466,"")</f>
        <v/>
      </c>
      <c r="AA466" s="27">
        <f>IF(R466,N466,"")</f>
        <v/>
      </c>
    </row>
    <row r="467">
      <c r="A467" s="31" t="n">
        <v>0.1</v>
      </c>
      <c r="B467" s="31" t="n">
        <v>0.1</v>
      </c>
      <c r="C467" s="31" t="n">
        <v>0.2</v>
      </c>
      <c r="D467" s="31" t="n">
        <v>0.6</v>
      </c>
      <c r="E467" s="27" t="inlineStr">
        <is>
          <t>ON 10%/1M 10%/2M 20%/3M 60%</t>
        </is>
      </c>
      <c r="F467" s="27" t="n">
        <v>25</v>
      </c>
      <c r="G467" s="27">
        <f>A467*$B$7&gt;=$B$9</f>
        <v/>
      </c>
      <c r="H467" s="13">
        <f>$B$7*(A467*E$71+B467*F$71+C467*G$71+D467*H$71)+F467/100*$B$7*J$71-$C$71</f>
        <v/>
      </c>
      <c r="I467" s="13">
        <f>$B$7*(A467*L$71+B467*M$71+C467*N$71+D467*O$71)+F467/100*$B$7*Q$71-$C$71</f>
        <v/>
      </c>
      <c r="J467" s="13">
        <f>$B$7*(A467*S$71+B467*T$71+C467*U$71+D467*V$71)+F467/100*$B$7*X$71-$C$71</f>
        <v/>
      </c>
      <c r="K467" s="13">
        <f>$B$7*(A467*Z$71+B467*AA$71+C467*AB$71+D467*AC$71)+F467/100*$B$7*AE$71-$C$71</f>
        <v/>
      </c>
      <c r="L467" s="13">
        <f>$B$7*(A467*AG$71+B467*AH$71+C467*AI$71+D467*AJ$71)+F467/100*$B$7*AL$71-$C$71</f>
        <v/>
      </c>
      <c r="M467" s="13">
        <f>$B$7*(A467*AN$71+B467*AO$71+C467*AP$71+D467*AQ$71)+F467/100*$B$7*AS$71-$C$71</f>
        <v/>
      </c>
      <c r="N467" s="13">
        <f>SUMPRODUCT($H$24:$M$24,H467:M467)</f>
        <v/>
      </c>
      <c r="O467" s="14">
        <f>SQRT(SUMPRODUCT($H$24:$M$24,(H467:M467-N467)^2))</f>
        <v/>
      </c>
      <c r="P467" s="13">
        <f>MIN(H467:M467)</f>
        <v/>
      </c>
      <c r="Q467" s="13">
        <f>MAX(H467:M467)</f>
        <v/>
      </c>
      <c r="R467" s="27">
        <f>IF(G467,SUMPRODUCT(($G$76:$G$1505)*($N$76:$N$1505&gt;=N467)*($O$76:$O$1505&lt;=O467))=1,FALSE)</f>
        <v/>
      </c>
      <c r="S467" s="16">
        <f>IF(R467,ABS((O467-$AC$76)/MAX(0.0001,$AC$77-$AC$76)-(N467-$AC$78)/MAX(0.0001,$AC$79-$AC$78)),-1)</f>
        <v/>
      </c>
      <c r="T467" s="14">
        <f>IF(G467,O467,NA())</f>
        <v/>
      </c>
      <c r="U467" s="13">
        <f>IF(G467,N467,NA())</f>
        <v/>
      </c>
      <c r="V467" s="14">
        <f>IF(R467,O467,NA())</f>
        <v/>
      </c>
      <c r="W467" s="13">
        <f>IF(R467,N467,NA())</f>
        <v/>
      </c>
      <c r="X467" s="27">
        <f>IF(G467,P467,"")</f>
        <v/>
      </c>
      <c r="Y467" s="27">
        <f>IF(G467,N467,"")</f>
        <v/>
      </c>
      <c r="Z467" s="27">
        <f>IF(R467,O467,"")</f>
        <v/>
      </c>
      <c r="AA467" s="27">
        <f>IF(R467,N467,"")</f>
        <v/>
      </c>
    </row>
    <row r="468">
      <c r="A468" s="31" t="n">
        <v>0.1</v>
      </c>
      <c r="B468" s="31" t="n">
        <v>0.1</v>
      </c>
      <c r="C468" s="31" t="n">
        <v>0.2</v>
      </c>
      <c r="D468" s="31" t="n">
        <v>0.6</v>
      </c>
      <c r="E468" s="27" t="inlineStr">
        <is>
          <t>ON 10%/1M 10%/2M 20%/3M 60%</t>
        </is>
      </c>
      <c r="F468" s="27" t="n">
        <v>50</v>
      </c>
      <c r="G468" s="27">
        <f>A468*$B$7&gt;=$B$9</f>
        <v/>
      </c>
      <c r="H468" s="13">
        <f>$B$7*(A468*E$71+B468*F$71+C468*G$71+D468*H$71)+F468/100*$B$7*J$71-$C$71</f>
        <v/>
      </c>
      <c r="I468" s="13">
        <f>$B$7*(A468*L$71+B468*M$71+C468*N$71+D468*O$71)+F468/100*$B$7*Q$71-$C$71</f>
        <v/>
      </c>
      <c r="J468" s="13">
        <f>$B$7*(A468*S$71+B468*T$71+C468*U$71+D468*V$71)+F468/100*$B$7*X$71-$C$71</f>
        <v/>
      </c>
      <c r="K468" s="13">
        <f>$B$7*(A468*Z$71+B468*AA$71+C468*AB$71+D468*AC$71)+F468/100*$B$7*AE$71-$C$71</f>
        <v/>
      </c>
      <c r="L468" s="13">
        <f>$B$7*(A468*AG$71+B468*AH$71+C468*AI$71+D468*AJ$71)+F468/100*$B$7*AL$71-$C$71</f>
        <v/>
      </c>
      <c r="M468" s="13">
        <f>$B$7*(A468*AN$71+B468*AO$71+C468*AP$71+D468*AQ$71)+F468/100*$B$7*AS$71-$C$71</f>
        <v/>
      </c>
      <c r="N468" s="13">
        <f>SUMPRODUCT($H$24:$M$24,H468:M468)</f>
        <v/>
      </c>
      <c r="O468" s="14">
        <f>SQRT(SUMPRODUCT($H$24:$M$24,(H468:M468-N468)^2))</f>
        <v/>
      </c>
      <c r="P468" s="13">
        <f>MIN(H468:M468)</f>
        <v/>
      </c>
      <c r="Q468" s="13">
        <f>MAX(H468:M468)</f>
        <v/>
      </c>
      <c r="R468" s="27">
        <f>IF(G468,SUMPRODUCT(($G$76:$G$1505)*($N$76:$N$1505&gt;=N468)*($O$76:$O$1505&lt;=O468))=1,FALSE)</f>
        <v/>
      </c>
      <c r="S468" s="16">
        <f>IF(R468,ABS((O468-$AC$76)/MAX(0.0001,$AC$77-$AC$76)-(N468-$AC$78)/MAX(0.0001,$AC$79-$AC$78)),-1)</f>
        <v/>
      </c>
      <c r="T468" s="14">
        <f>IF(G468,O468,NA())</f>
        <v/>
      </c>
      <c r="U468" s="13">
        <f>IF(G468,N468,NA())</f>
        <v/>
      </c>
      <c r="V468" s="14">
        <f>IF(R468,O468,NA())</f>
        <v/>
      </c>
      <c r="W468" s="13">
        <f>IF(R468,N468,NA())</f>
        <v/>
      </c>
      <c r="X468" s="27">
        <f>IF(G468,P468,"")</f>
        <v/>
      </c>
      <c r="Y468" s="27">
        <f>IF(G468,N468,"")</f>
        <v/>
      </c>
      <c r="Z468" s="27">
        <f>IF(R468,O468,"")</f>
        <v/>
      </c>
      <c r="AA468" s="27">
        <f>IF(R468,N468,"")</f>
        <v/>
      </c>
    </row>
    <row r="469">
      <c r="A469" s="31" t="n">
        <v>0.1</v>
      </c>
      <c r="B469" s="31" t="n">
        <v>0.1</v>
      </c>
      <c r="C469" s="31" t="n">
        <v>0.2</v>
      </c>
      <c r="D469" s="31" t="n">
        <v>0.6</v>
      </c>
      <c r="E469" s="27" t="inlineStr">
        <is>
          <t>ON 10%/1M 10%/2M 20%/3M 60%</t>
        </is>
      </c>
      <c r="F469" s="27" t="n">
        <v>75</v>
      </c>
      <c r="G469" s="27">
        <f>A469*$B$7&gt;=$B$9</f>
        <v/>
      </c>
      <c r="H469" s="13">
        <f>$B$7*(A469*E$71+B469*F$71+C469*G$71+D469*H$71)+F469/100*$B$7*J$71-$C$71</f>
        <v/>
      </c>
      <c r="I469" s="13">
        <f>$B$7*(A469*L$71+B469*M$71+C469*N$71+D469*O$71)+F469/100*$B$7*Q$71-$C$71</f>
        <v/>
      </c>
      <c r="J469" s="13">
        <f>$B$7*(A469*S$71+B469*T$71+C469*U$71+D469*V$71)+F469/100*$B$7*X$71-$C$71</f>
        <v/>
      </c>
      <c r="K469" s="13">
        <f>$B$7*(A469*Z$71+B469*AA$71+C469*AB$71+D469*AC$71)+F469/100*$B$7*AE$71-$C$71</f>
        <v/>
      </c>
      <c r="L469" s="13">
        <f>$B$7*(A469*AG$71+B469*AH$71+C469*AI$71+D469*AJ$71)+F469/100*$B$7*AL$71-$C$71</f>
        <v/>
      </c>
      <c r="M469" s="13">
        <f>$B$7*(A469*AN$71+B469*AO$71+C469*AP$71+D469*AQ$71)+F469/100*$B$7*AS$71-$C$71</f>
        <v/>
      </c>
      <c r="N469" s="13">
        <f>SUMPRODUCT($H$24:$M$24,H469:M469)</f>
        <v/>
      </c>
      <c r="O469" s="14">
        <f>SQRT(SUMPRODUCT($H$24:$M$24,(H469:M469-N469)^2))</f>
        <v/>
      </c>
      <c r="P469" s="13">
        <f>MIN(H469:M469)</f>
        <v/>
      </c>
      <c r="Q469" s="13">
        <f>MAX(H469:M469)</f>
        <v/>
      </c>
      <c r="R469" s="27">
        <f>IF(G469,SUMPRODUCT(($G$76:$G$1505)*($N$76:$N$1505&gt;=N469)*($O$76:$O$1505&lt;=O469))=1,FALSE)</f>
        <v/>
      </c>
      <c r="S469" s="16">
        <f>IF(R469,ABS((O469-$AC$76)/MAX(0.0001,$AC$77-$AC$76)-(N469-$AC$78)/MAX(0.0001,$AC$79-$AC$78)),-1)</f>
        <v/>
      </c>
      <c r="T469" s="14">
        <f>IF(G469,O469,NA())</f>
        <v/>
      </c>
      <c r="U469" s="13">
        <f>IF(G469,N469,NA())</f>
        <v/>
      </c>
      <c r="V469" s="14">
        <f>IF(R469,O469,NA())</f>
        <v/>
      </c>
      <c r="W469" s="13">
        <f>IF(R469,N469,NA())</f>
        <v/>
      </c>
      <c r="X469" s="27">
        <f>IF(G469,P469,"")</f>
        <v/>
      </c>
      <c r="Y469" s="27">
        <f>IF(G469,N469,"")</f>
        <v/>
      </c>
      <c r="Z469" s="27">
        <f>IF(R469,O469,"")</f>
        <v/>
      </c>
      <c r="AA469" s="27">
        <f>IF(R469,N469,"")</f>
        <v/>
      </c>
    </row>
    <row r="470">
      <c r="A470" s="31" t="n">
        <v>0.1</v>
      </c>
      <c r="B470" s="31" t="n">
        <v>0.1</v>
      </c>
      <c r="C470" s="31" t="n">
        <v>0.2</v>
      </c>
      <c r="D470" s="31" t="n">
        <v>0.6</v>
      </c>
      <c r="E470" s="27" t="inlineStr">
        <is>
          <t>ON 10%/1M 10%/2M 20%/3M 60%</t>
        </is>
      </c>
      <c r="F470" s="27" t="n">
        <v>100</v>
      </c>
      <c r="G470" s="27">
        <f>A470*$B$7&gt;=$B$9</f>
        <v/>
      </c>
      <c r="H470" s="13">
        <f>$B$7*(A470*E$71+B470*F$71+C470*G$71+D470*H$71)+F470/100*$B$7*J$71-$C$71</f>
        <v/>
      </c>
      <c r="I470" s="13">
        <f>$B$7*(A470*L$71+B470*M$71+C470*N$71+D470*O$71)+F470/100*$B$7*Q$71-$C$71</f>
        <v/>
      </c>
      <c r="J470" s="13">
        <f>$B$7*(A470*S$71+B470*T$71+C470*U$71+D470*V$71)+F470/100*$B$7*X$71-$C$71</f>
        <v/>
      </c>
      <c r="K470" s="13">
        <f>$B$7*(A470*Z$71+B470*AA$71+C470*AB$71+D470*AC$71)+F470/100*$B$7*AE$71-$C$71</f>
        <v/>
      </c>
      <c r="L470" s="13">
        <f>$B$7*(A470*AG$71+B470*AH$71+C470*AI$71+D470*AJ$71)+F470/100*$B$7*AL$71-$C$71</f>
        <v/>
      </c>
      <c r="M470" s="13">
        <f>$B$7*(A470*AN$71+B470*AO$71+C470*AP$71+D470*AQ$71)+F470/100*$B$7*AS$71-$C$71</f>
        <v/>
      </c>
      <c r="N470" s="13">
        <f>SUMPRODUCT($H$24:$M$24,H470:M470)</f>
        <v/>
      </c>
      <c r="O470" s="14">
        <f>SQRT(SUMPRODUCT($H$24:$M$24,(H470:M470-N470)^2))</f>
        <v/>
      </c>
      <c r="P470" s="13">
        <f>MIN(H470:M470)</f>
        <v/>
      </c>
      <c r="Q470" s="13">
        <f>MAX(H470:M470)</f>
        <v/>
      </c>
      <c r="R470" s="27">
        <f>IF(G470,SUMPRODUCT(($G$76:$G$1505)*($N$76:$N$1505&gt;=N470)*($O$76:$O$1505&lt;=O470))=1,FALSE)</f>
        <v/>
      </c>
      <c r="S470" s="16">
        <f>IF(R470,ABS((O470-$AC$76)/MAX(0.0001,$AC$77-$AC$76)-(N470-$AC$78)/MAX(0.0001,$AC$79-$AC$78)),-1)</f>
        <v/>
      </c>
      <c r="T470" s="14">
        <f>IF(G470,O470,NA())</f>
        <v/>
      </c>
      <c r="U470" s="13">
        <f>IF(G470,N470,NA())</f>
        <v/>
      </c>
      <c r="V470" s="14">
        <f>IF(R470,O470,NA())</f>
        <v/>
      </c>
      <c r="W470" s="13">
        <f>IF(R470,N470,NA())</f>
        <v/>
      </c>
      <c r="X470" s="27">
        <f>IF(G470,P470,"")</f>
        <v/>
      </c>
      <c r="Y470" s="27">
        <f>IF(G470,N470,"")</f>
        <v/>
      </c>
      <c r="Z470" s="27">
        <f>IF(R470,O470,"")</f>
        <v/>
      </c>
      <c r="AA470" s="27">
        <f>IF(R470,N470,"")</f>
        <v/>
      </c>
    </row>
    <row r="471">
      <c r="A471" s="31" t="n">
        <v>0.1</v>
      </c>
      <c r="B471" s="31" t="n">
        <v>0.1</v>
      </c>
      <c r="C471" s="31" t="n">
        <v>0.3</v>
      </c>
      <c r="D471" s="31" t="n">
        <v>0.5</v>
      </c>
      <c r="E471" s="27" t="inlineStr">
        <is>
          <t>ON 10%/1M 10%/2M 30%/3M 50%</t>
        </is>
      </c>
      <c r="F471" s="27" t="n">
        <v>0</v>
      </c>
      <c r="G471" s="27">
        <f>A471*$B$7&gt;=$B$9</f>
        <v/>
      </c>
      <c r="H471" s="13">
        <f>$B$7*(A471*E$71+B471*F$71+C471*G$71+D471*H$71)+F471/100*$B$7*J$71-$C$71</f>
        <v/>
      </c>
      <c r="I471" s="13">
        <f>$B$7*(A471*L$71+B471*M$71+C471*N$71+D471*O$71)+F471/100*$B$7*Q$71-$C$71</f>
        <v/>
      </c>
      <c r="J471" s="13">
        <f>$B$7*(A471*S$71+B471*T$71+C471*U$71+D471*V$71)+F471/100*$B$7*X$71-$C$71</f>
        <v/>
      </c>
      <c r="K471" s="13">
        <f>$B$7*(A471*Z$71+B471*AA$71+C471*AB$71+D471*AC$71)+F471/100*$B$7*AE$71-$C$71</f>
        <v/>
      </c>
      <c r="L471" s="13">
        <f>$B$7*(A471*AG$71+B471*AH$71+C471*AI$71+D471*AJ$71)+F471/100*$B$7*AL$71-$C$71</f>
        <v/>
      </c>
      <c r="M471" s="13">
        <f>$B$7*(A471*AN$71+B471*AO$71+C471*AP$71+D471*AQ$71)+F471/100*$B$7*AS$71-$C$71</f>
        <v/>
      </c>
      <c r="N471" s="13">
        <f>SUMPRODUCT($H$24:$M$24,H471:M471)</f>
        <v/>
      </c>
      <c r="O471" s="14">
        <f>SQRT(SUMPRODUCT($H$24:$M$24,(H471:M471-N471)^2))</f>
        <v/>
      </c>
      <c r="P471" s="13">
        <f>MIN(H471:M471)</f>
        <v/>
      </c>
      <c r="Q471" s="13">
        <f>MAX(H471:M471)</f>
        <v/>
      </c>
      <c r="R471" s="27">
        <f>IF(G471,SUMPRODUCT(($G$76:$G$1505)*($N$76:$N$1505&gt;=N471)*($O$76:$O$1505&lt;=O471))=1,FALSE)</f>
        <v/>
      </c>
      <c r="S471" s="16">
        <f>IF(R471,ABS((O471-$AC$76)/MAX(0.0001,$AC$77-$AC$76)-(N471-$AC$78)/MAX(0.0001,$AC$79-$AC$78)),-1)</f>
        <v/>
      </c>
      <c r="T471" s="14">
        <f>IF(G471,O471,NA())</f>
        <v/>
      </c>
      <c r="U471" s="13">
        <f>IF(G471,N471,NA())</f>
        <v/>
      </c>
      <c r="V471" s="14">
        <f>IF(R471,O471,NA())</f>
        <v/>
      </c>
      <c r="W471" s="13">
        <f>IF(R471,N471,NA())</f>
        <v/>
      </c>
      <c r="X471" s="27">
        <f>IF(G471,P471,"")</f>
        <v/>
      </c>
      <c r="Y471" s="27">
        <f>IF(G471,N471,"")</f>
        <v/>
      </c>
      <c r="Z471" s="27">
        <f>IF(R471,O471,"")</f>
        <v/>
      </c>
      <c r="AA471" s="27">
        <f>IF(R471,N471,"")</f>
        <v/>
      </c>
    </row>
    <row r="472">
      <c r="A472" s="31" t="n">
        <v>0.1</v>
      </c>
      <c r="B472" s="31" t="n">
        <v>0.1</v>
      </c>
      <c r="C472" s="31" t="n">
        <v>0.3</v>
      </c>
      <c r="D472" s="31" t="n">
        <v>0.5</v>
      </c>
      <c r="E472" s="27" t="inlineStr">
        <is>
          <t>ON 10%/1M 10%/2M 30%/3M 50%</t>
        </is>
      </c>
      <c r="F472" s="27" t="n">
        <v>25</v>
      </c>
      <c r="G472" s="27">
        <f>A472*$B$7&gt;=$B$9</f>
        <v/>
      </c>
      <c r="H472" s="13">
        <f>$B$7*(A472*E$71+B472*F$71+C472*G$71+D472*H$71)+F472/100*$B$7*J$71-$C$71</f>
        <v/>
      </c>
      <c r="I472" s="13">
        <f>$B$7*(A472*L$71+B472*M$71+C472*N$71+D472*O$71)+F472/100*$B$7*Q$71-$C$71</f>
        <v/>
      </c>
      <c r="J472" s="13">
        <f>$B$7*(A472*S$71+B472*T$71+C472*U$71+D472*V$71)+F472/100*$B$7*X$71-$C$71</f>
        <v/>
      </c>
      <c r="K472" s="13">
        <f>$B$7*(A472*Z$71+B472*AA$71+C472*AB$71+D472*AC$71)+F472/100*$B$7*AE$71-$C$71</f>
        <v/>
      </c>
      <c r="L472" s="13">
        <f>$B$7*(A472*AG$71+B472*AH$71+C472*AI$71+D472*AJ$71)+F472/100*$B$7*AL$71-$C$71</f>
        <v/>
      </c>
      <c r="M472" s="13">
        <f>$B$7*(A472*AN$71+B472*AO$71+C472*AP$71+D472*AQ$71)+F472/100*$B$7*AS$71-$C$71</f>
        <v/>
      </c>
      <c r="N472" s="13">
        <f>SUMPRODUCT($H$24:$M$24,H472:M472)</f>
        <v/>
      </c>
      <c r="O472" s="14">
        <f>SQRT(SUMPRODUCT($H$24:$M$24,(H472:M472-N472)^2))</f>
        <v/>
      </c>
      <c r="P472" s="13">
        <f>MIN(H472:M472)</f>
        <v/>
      </c>
      <c r="Q472" s="13">
        <f>MAX(H472:M472)</f>
        <v/>
      </c>
      <c r="R472" s="27">
        <f>IF(G472,SUMPRODUCT(($G$76:$G$1505)*($N$76:$N$1505&gt;=N472)*($O$76:$O$1505&lt;=O472))=1,FALSE)</f>
        <v/>
      </c>
      <c r="S472" s="16">
        <f>IF(R472,ABS((O472-$AC$76)/MAX(0.0001,$AC$77-$AC$76)-(N472-$AC$78)/MAX(0.0001,$AC$79-$AC$78)),-1)</f>
        <v/>
      </c>
      <c r="T472" s="14">
        <f>IF(G472,O472,NA())</f>
        <v/>
      </c>
      <c r="U472" s="13">
        <f>IF(G472,N472,NA())</f>
        <v/>
      </c>
      <c r="V472" s="14">
        <f>IF(R472,O472,NA())</f>
        <v/>
      </c>
      <c r="W472" s="13">
        <f>IF(R472,N472,NA())</f>
        <v/>
      </c>
      <c r="X472" s="27">
        <f>IF(G472,P472,"")</f>
        <v/>
      </c>
      <c r="Y472" s="27">
        <f>IF(G472,N472,"")</f>
        <v/>
      </c>
      <c r="Z472" s="27">
        <f>IF(R472,O472,"")</f>
        <v/>
      </c>
      <c r="AA472" s="27">
        <f>IF(R472,N472,"")</f>
        <v/>
      </c>
    </row>
    <row r="473">
      <c r="A473" s="31" t="n">
        <v>0.1</v>
      </c>
      <c r="B473" s="31" t="n">
        <v>0.1</v>
      </c>
      <c r="C473" s="31" t="n">
        <v>0.3</v>
      </c>
      <c r="D473" s="31" t="n">
        <v>0.5</v>
      </c>
      <c r="E473" s="27" t="inlineStr">
        <is>
          <t>ON 10%/1M 10%/2M 30%/3M 50%</t>
        </is>
      </c>
      <c r="F473" s="27" t="n">
        <v>50</v>
      </c>
      <c r="G473" s="27">
        <f>A473*$B$7&gt;=$B$9</f>
        <v/>
      </c>
      <c r="H473" s="13">
        <f>$B$7*(A473*E$71+B473*F$71+C473*G$71+D473*H$71)+F473/100*$B$7*J$71-$C$71</f>
        <v/>
      </c>
      <c r="I473" s="13">
        <f>$B$7*(A473*L$71+B473*M$71+C473*N$71+D473*O$71)+F473/100*$B$7*Q$71-$C$71</f>
        <v/>
      </c>
      <c r="J473" s="13">
        <f>$B$7*(A473*S$71+B473*T$71+C473*U$71+D473*V$71)+F473/100*$B$7*X$71-$C$71</f>
        <v/>
      </c>
      <c r="K473" s="13">
        <f>$B$7*(A473*Z$71+B473*AA$71+C473*AB$71+D473*AC$71)+F473/100*$B$7*AE$71-$C$71</f>
        <v/>
      </c>
      <c r="L473" s="13">
        <f>$B$7*(A473*AG$71+B473*AH$71+C473*AI$71+D473*AJ$71)+F473/100*$B$7*AL$71-$C$71</f>
        <v/>
      </c>
      <c r="M473" s="13">
        <f>$B$7*(A473*AN$71+B473*AO$71+C473*AP$71+D473*AQ$71)+F473/100*$B$7*AS$71-$C$71</f>
        <v/>
      </c>
      <c r="N473" s="13">
        <f>SUMPRODUCT($H$24:$M$24,H473:M473)</f>
        <v/>
      </c>
      <c r="O473" s="14">
        <f>SQRT(SUMPRODUCT($H$24:$M$24,(H473:M473-N473)^2))</f>
        <v/>
      </c>
      <c r="P473" s="13">
        <f>MIN(H473:M473)</f>
        <v/>
      </c>
      <c r="Q473" s="13">
        <f>MAX(H473:M473)</f>
        <v/>
      </c>
      <c r="R473" s="27">
        <f>IF(G473,SUMPRODUCT(($G$76:$G$1505)*($N$76:$N$1505&gt;=N473)*($O$76:$O$1505&lt;=O473))=1,FALSE)</f>
        <v/>
      </c>
      <c r="S473" s="16">
        <f>IF(R473,ABS((O473-$AC$76)/MAX(0.0001,$AC$77-$AC$76)-(N473-$AC$78)/MAX(0.0001,$AC$79-$AC$78)),-1)</f>
        <v/>
      </c>
      <c r="T473" s="14">
        <f>IF(G473,O473,NA())</f>
        <v/>
      </c>
      <c r="U473" s="13">
        <f>IF(G473,N473,NA())</f>
        <v/>
      </c>
      <c r="V473" s="14">
        <f>IF(R473,O473,NA())</f>
        <v/>
      </c>
      <c r="W473" s="13">
        <f>IF(R473,N473,NA())</f>
        <v/>
      </c>
      <c r="X473" s="27">
        <f>IF(G473,P473,"")</f>
        <v/>
      </c>
      <c r="Y473" s="27">
        <f>IF(G473,N473,"")</f>
        <v/>
      </c>
      <c r="Z473" s="27">
        <f>IF(R473,O473,"")</f>
        <v/>
      </c>
      <c r="AA473" s="27">
        <f>IF(R473,N473,"")</f>
        <v/>
      </c>
    </row>
    <row r="474">
      <c r="A474" s="31" t="n">
        <v>0.1</v>
      </c>
      <c r="B474" s="31" t="n">
        <v>0.1</v>
      </c>
      <c r="C474" s="31" t="n">
        <v>0.3</v>
      </c>
      <c r="D474" s="31" t="n">
        <v>0.5</v>
      </c>
      <c r="E474" s="27" t="inlineStr">
        <is>
          <t>ON 10%/1M 10%/2M 30%/3M 50%</t>
        </is>
      </c>
      <c r="F474" s="27" t="n">
        <v>75</v>
      </c>
      <c r="G474" s="27">
        <f>A474*$B$7&gt;=$B$9</f>
        <v/>
      </c>
      <c r="H474" s="13">
        <f>$B$7*(A474*E$71+B474*F$71+C474*G$71+D474*H$71)+F474/100*$B$7*J$71-$C$71</f>
        <v/>
      </c>
      <c r="I474" s="13">
        <f>$B$7*(A474*L$71+B474*M$71+C474*N$71+D474*O$71)+F474/100*$B$7*Q$71-$C$71</f>
        <v/>
      </c>
      <c r="J474" s="13">
        <f>$B$7*(A474*S$71+B474*T$71+C474*U$71+D474*V$71)+F474/100*$B$7*X$71-$C$71</f>
        <v/>
      </c>
      <c r="K474" s="13">
        <f>$B$7*(A474*Z$71+B474*AA$71+C474*AB$71+D474*AC$71)+F474/100*$B$7*AE$71-$C$71</f>
        <v/>
      </c>
      <c r="L474" s="13">
        <f>$B$7*(A474*AG$71+B474*AH$71+C474*AI$71+D474*AJ$71)+F474/100*$B$7*AL$71-$C$71</f>
        <v/>
      </c>
      <c r="M474" s="13">
        <f>$B$7*(A474*AN$71+B474*AO$71+C474*AP$71+D474*AQ$71)+F474/100*$B$7*AS$71-$C$71</f>
        <v/>
      </c>
      <c r="N474" s="13">
        <f>SUMPRODUCT($H$24:$M$24,H474:M474)</f>
        <v/>
      </c>
      <c r="O474" s="14">
        <f>SQRT(SUMPRODUCT($H$24:$M$24,(H474:M474-N474)^2))</f>
        <v/>
      </c>
      <c r="P474" s="13">
        <f>MIN(H474:M474)</f>
        <v/>
      </c>
      <c r="Q474" s="13">
        <f>MAX(H474:M474)</f>
        <v/>
      </c>
      <c r="R474" s="27">
        <f>IF(G474,SUMPRODUCT(($G$76:$G$1505)*($N$76:$N$1505&gt;=N474)*($O$76:$O$1505&lt;=O474))=1,FALSE)</f>
        <v/>
      </c>
      <c r="S474" s="16">
        <f>IF(R474,ABS((O474-$AC$76)/MAX(0.0001,$AC$77-$AC$76)-(N474-$AC$78)/MAX(0.0001,$AC$79-$AC$78)),-1)</f>
        <v/>
      </c>
      <c r="T474" s="14">
        <f>IF(G474,O474,NA())</f>
        <v/>
      </c>
      <c r="U474" s="13">
        <f>IF(G474,N474,NA())</f>
        <v/>
      </c>
      <c r="V474" s="14">
        <f>IF(R474,O474,NA())</f>
        <v/>
      </c>
      <c r="W474" s="13">
        <f>IF(R474,N474,NA())</f>
        <v/>
      </c>
      <c r="X474" s="27">
        <f>IF(G474,P474,"")</f>
        <v/>
      </c>
      <c r="Y474" s="27">
        <f>IF(G474,N474,"")</f>
        <v/>
      </c>
      <c r="Z474" s="27">
        <f>IF(R474,O474,"")</f>
        <v/>
      </c>
      <c r="AA474" s="27">
        <f>IF(R474,N474,"")</f>
        <v/>
      </c>
    </row>
    <row r="475">
      <c r="A475" s="31" t="n">
        <v>0.1</v>
      </c>
      <c r="B475" s="31" t="n">
        <v>0.1</v>
      </c>
      <c r="C475" s="31" t="n">
        <v>0.3</v>
      </c>
      <c r="D475" s="31" t="n">
        <v>0.5</v>
      </c>
      <c r="E475" s="27" t="inlineStr">
        <is>
          <t>ON 10%/1M 10%/2M 30%/3M 50%</t>
        </is>
      </c>
      <c r="F475" s="27" t="n">
        <v>100</v>
      </c>
      <c r="G475" s="27">
        <f>A475*$B$7&gt;=$B$9</f>
        <v/>
      </c>
      <c r="H475" s="13">
        <f>$B$7*(A475*E$71+B475*F$71+C475*G$71+D475*H$71)+F475/100*$B$7*J$71-$C$71</f>
        <v/>
      </c>
      <c r="I475" s="13">
        <f>$B$7*(A475*L$71+B475*M$71+C475*N$71+D475*O$71)+F475/100*$B$7*Q$71-$C$71</f>
        <v/>
      </c>
      <c r="J475" s="13">
        <f>$B$7*(A475*S$71+B475*T$71+C475*U$71+D475*V$71)+F475/100*$B$7*X$71-$C$71</f>
        <v/>
      </c>
      <c r="K475" s="13">
        <f>$B$7*(A475*Z$71+B475*AA$71+C475*AB$71+D475*AC$71)+F475/100*$B$7*AE$71-$C$71</f>
        <v/>
      </c>
      <c r="L475" s="13">
        <f>$B$7*(A475*AG$71+B475*AH$71+C475*AI$71+D475*AJ$71)+F475/100*$B$7*AL$71-$C$71</f>
        <v/>
      </c>
      <c r="M475" s="13">
        <f>$B$7*(A475*AN$71+B475*AO$71+C475*AP$71+D475*AQ$71)+F475/100*$B$7*AS$71-$C$71</f>
        <v/>
      </c>
      <c r="N475" s="13">
        <f>SUMPRODUCT($H$24:$M$24,H475:M475)</f>
        <v/>
      </c>
      <c r="O475" s="14">
        <f>SQRT(SUMPRODUCT($H$24:$M$24,(H475:M475-N475)^2))</f>
        <v/>
      </c>
      <c r="P475" s="13">
        <f>MIN(H475:M475)</f>
        <v/>
      </c>
      <c r="Q475" s="13">
        <f>MAX(H475:M475)</f>
        <v/>
      </c>
      <c r="R475" s="27">
        <f>IF(G475,SUMPRODUCT(($G$76:$G$1505)*($N$76:$N$1505&gt;=N475)*($O$76:$O$1505&lt;=O475))=1,FALSE)</f>
        <v/>
      </c>
      <c r="S475" s="16">
        <f>IF(R475,ABS((O475-$AC$76)/MAX(0.0001,$AC$77-$AC$76)-(N475-$AC$78)/MAX(0.0001,$AC$79-$AC$78)),-1)</f>
        <v/>
      </c>
      <c r="T475" s="14">
        <f>IF(G475,O475,NA())</f>
        <v/>
      </c>
      <c r="U475" s="13">
        <f>IF(G475,N475,NA())</f>
        <v/>
      </c>
      <c r="V475" s="14">
        <f>IF(R475,O475,NA())</f>
        <v/>
      </c>
      <c r="W475" s="13">
        <f>IF(R475,N475,NA())</f>
        <v/>
      </c>
      <c r="X475" s="27">
        <f>IF(G475,P475,"")</f>
        <v/>
      </c>
      <c r="Y475" s="27">
        <f>IF(G475,N475,"")</f>
        <v/>
      </c>
      <c r="Z475" s="27">
        <f>IF(R475,O475,"")</f>
        <v/>
      </c>
      <c r="AA475" s="27">
        <f>IF(R475,N475,"")</f>
        <v/>
      </c>
    </row>
    <row r="476">
      <c r="A476" s="31" t="n">
        <v>0.1</v>
      </c>
      <c r="B476" s="31" t="n">
        <v>0.1</v>
      </c>
      <c r="C476" s="31" t="n">
        <v>0.4</v>
      </c>
      <c r="D476" s="31" t="n">
        <v>0.4</v>
      </c>
      <c r="E476" s="27" t="inlineStr">
        <is>
          <t>ON 10%/1M 10%/2M 40%/3M 40%</t>
        </is>
      </c>
      <c r="F476" s="27" t="n">
        <v>0</v>
      </c>
      <c r="G476" s="27">
        <f>A476*$B$7&gt;=$B$9</f>
        <v/>
      </c>
      <c r="H476" s="13">
        <f>$B$7*(A476*E$71+B476*F$71+C476*G$71+D476*H$71)+F476/100*$B$7*J$71-$C$71</f>
        <v/>
      </c>
      <c r="I476" s="13">
        <f>$B$7*(A476*L$71+B476*M$71+C476*N$71+D476*O$71)+F476/100*$B$7*Q$71-$C$71</f>
        <v/>
      </c>
      <c r="J476" s="13">
        <f>$B$7*(A476*S$71+B476*T$71+C476*U$71+D476*V$71)+F476/100*$B$7*X$71-$C$71</f>
        <v/>
      </c>
      <c r="K476" s="13">
        <f>$B$7*(A476*Z$71+B476*AA$71+C476*AB$71+D476*AC$71)+F476/100*$B$7*AE$71-$C$71</f>
        <v/>
      </c>
      <c r="L476" s="13">
        <f>$B$7*(A476*AG$71+B476*AH$71+C476*AI$71+D476*AJ$71)+F476/100*$B$7*AL$71-$C$71</f>
        <v/>
      </c>
      <c r="M476" s="13">
        <f>$B$7*(A476*AN$71+B476*AO$71+C476*AP$71+D476*AQ$71)+F476/100*$B$7*AS$71-$C$71</f>
        <v/>
      </c>
      <c r="N476" s="13">
        <f>SUMPRODUCT($H$24:$M$24,H476:M476)</f>
        <v/>
      </c>
      <c r="O476" s="14">
        <f>SQRT(SUMPRODUCT($H$24:$M$24,(H476:M476-N476)^2))</f>
        <v/>
      </c>
      <c r="P476" s="13">
        <f>MIN(H476:M476)</f>
        <v/>
      </c>
      <c r="Q476" s="13">
        <f>MAX(H476:M476)</f>
        <v/>
      </c>
      <c r="R476" s="27">
        <f>IF(G476,SUMPRODUCT(($G$76:$G$1505)*($N$76:$N$1505&gt;=N476)*($O$76:$O$1505&lt;=O476))=1,FALSE)</f>
        <v/>
      </c>
      <c r="S476" s="16">
        <f>IF(R476,ABS((O476-$AC$76)/MAX(0.0001,$AC$77-$AC$76)-(N476-$AC$78)/MAX(0.0001,$AC$79-$AC$78)),-1)</f>
        <v/>
      </c>
      <c r="T476" s="14">
        <f>IF(G476,O476,NA())</f>
        <v/>
      </c>
      <c r="U476" s="13">
        <f>IF(G476,N476,NA())</f>
        <v/>
      </c>
      <c r="V476" s="14">
        <f>IF(R476,O476,NA())</f>
        <v/>
      </c>
      <c r="W476" s="13">
        <f>IF(R476,N476,NA())</f>
        <v/>
      </c>
      <c r="X476" s="27">
        <f>IF(G476,P476,"")</f>
        <v/>
      </c>
      <c r="Y476" s="27">
        <f>IF(G476,N476,"")</f>
        <v/>
      </c>
      <c r="Z476" s="27">
        <f>IF(R476,O476,"")</f>
        <v/>
      </c>
      <c r="AA476" s="27">
        <f>IF(R476,N476,"")</f>
        <v/>
      </c>
    </row>
    <row r="477">
      <c r="A477" s="31" t="n">
        <v>0.1</v>
      </c>
      <c r="B477" s="31" t="n">
        <v>0.1</v>
      </c>
      <c r="C477" s="31" t="n">
        <v>0.4</v>
      </c>
      <c r="D477" s="31" t="n">
        <v>0.4</v>
      </c>
      <c r="E477" s="27" t="inlineStr">
        <is>
          <t>ON 10%/1M 10%/2M 40%/3M 40%</t>
        </is>
      </c>
      <c r="F477" s="27" t="n">
        <v>25</v>
      </c>
      <c r="G477" s="27">
        <f>A477*$B$7&gt;=$B$9</f>
        <v/>
      </c>
      <c r="H477" s="13">
        <f>$B$7*(A477*E$71+B477*F$71+C477*G$71+D477*H$71)+F477/100*$B$7*J$71-$C$71</f>
        <v/>
      </c>
      <c r="I477" s="13">
        <f>$B$7*(A477*L$71+B477*M$71+C477*N$71+D477*O$71)+F477/100*$B$7*Q$71-$C$71</f>
        <v/>
      </c>
      <c r="J477" s="13">
        <f>$B$7*(A477*S$71+B477*T$71+C477*U$71+D477*V$71)+F477/100*$B$7*X$71-$C$71</f>
        <v/>
      </c>
      <c r="K477" s="13">
        <f>$B$7*(A477*Z$71+B477*AA$71+C477*AB$71+D477*AC$71)+F477/100*$B$7*AE$71-$C$71</f>
        <v/>
      </c>
      <c r="L477" s="13">
        <f>$B$7*(A477*AG$71+B477*AH$71+C477*AI$71+D477*AJ$71)+F477/100*$B$7*AL$71-$C$71</f>
        <v/>
      </c>
      <c r="M477" s="13">
        <f>$B$7*(A477*AN$71+B477*AO$71+C477*AP$71+D477*AQ$71)+F477/100*$B$7*AS$71-$C$71</f>
        <v/>
      </c>
      <c r="N477" s="13">
        <f>SUMPRODUCT($H$24:$M$24,H477:M477)</f>
        <v/>
      </c>
      <c r="O477" s="14">
        <f>SQRT(SUMPRODUCT($H$24:$M$24,(H477:M477-N477)^2))</f>
        <v/>
      </c>
      <c r="P477" s="13">
        <f>MIN(H477:M477)</f>
        <v/>
      </c>
      <c r="Q477" s="13">
        <f>MAX(H477:M477)</f>
        <v/>
      </c>
      <c r="R477" s="27">
        <f>IF(G477,SUMPRODUCT(($G$76:$G$1505)*($N$76:$N$1505&gt;=N477)*($O$76:$O$1505&lt;=O477))=1,FALSE)</f>
        <v/>
      </c>
      <c r="S477" s="16">
        <f>IF(R477,ABS((O477-$AC$76)/MAX(0.0001,$AC$77-$AC$76)-(N477-$AC$78)/MAX(0.0001,$AC$79-$AC$78)),-1)</f>
        <v/>
      </c>
      <c r="T477" s="14">
        <f>IF(G477,O477,NA())</f>
        <v/>
      </c>
      <c r="U477" s="13">
        <f>IF(G477,N477,NA())</f>
        <v/>
      </c>
      <c r="V477" s="14">
        <f>IF(R477,O477,NA())</f>
        <v/>
      </c>
      <c r="W477" s="13">
        <f>IF(R477,N477,NA())</f>
        <v/>
      </c>
      <c r="X477" s="27">
        <f>IF(G477,P477,"")</f>
        <v/>
      </c>
      <c r="Y477" s="27">
        <f>IF(G477,N477,"")</f>
        <v/>
      </c>
      <c r="Z477" s="27">
        <f>IF(R477,O477,"")</f>
        <v/>
      </c>
      <c r="AA477" s="27">
        <f>IF(R477,N477,"")</f>
        <v/>
      </c>
    </row>
    <row r="478">
      <c r="A478" s="31" t="n">
        <v>0.1</v>
      </c>
      <c r="B478" s="31" t="n">
        <v>0.1</v>
      </c>
      <c r="C478" s="31" t="n">
        <v>0.4</v>
      </c>
      <c r="D478" s="31" t="n">
        <v>0.4</v>
      </c>
      <c r="E478" s="27" t="inlineStr">
        <is>
          <t>ON 10%/1M 10%/2M 40%/3M 40%</t>
        </is>
      </c>
      <c r="F478" s="27" t="n">
        <v>50</v>
      </c>
      <c r="G478" s="27">
        <f>A478*$B$7&gt;=$B$9</f>
        <v/>
      </c>
      <c r="H478" s="13">
        <f>$B$7*(A478*E$71+B478*F$71+C478*G$71+D478*H$71)+F478/100*$B$7*J$71-$C$71</f>
        <v/>
      </c>
      <c r="I478" s="13">
        <f>$B$7*(A478*L$71+B478*M$71+C478*N$71+D478*O$71)+F478/100*$B$7*Q$71-$C$71</f>
        <v/>
      </c>
      <c r="J478" s="13">
        <f>$B$7*(A478*S$71+B478*T$71+C478*U$71+D478*V$71)+F478/100*$B$7*X$71-$C$71</f>
        <v/>
      </c>
      <c r="K478" s="13">
        <f>$B$7*(A478*Z$71+B478*AA$71+C478*AB$71+D478*AC$71)+F478/100*$B$7*AE$71-$C$71</f>
        <v/>
      </c>
      <c r="L478" s="13">
        <f>$B$7*(A478*AG$71+B478*AH$71+C478*AI$71+D478*AJ$71)+F478/100*$B$7*AL$71-$C$71</f>
        <v/>
      </c>
      <c r="M478" s="13">
        <f>$B$7*(A478*AN$71+B478*AO$71+C478*AP$71+D478*AQ$71)+F478/100*$B$7*AS$71-$C$71</f>
        <v/>
      </c>
      <c r="N478" s="13">
        <f>SUMPRODUCT($H$24:$M$24,H478:M478)</f>
        <v/>
      </c>
      <c r="O478" s="14">
        <f>SQRT(SUMPRODUCT($H$24:$M$24,(H478:M478-N478)^2))</f>
        <v/>
      </c>
      <c r="P478" s="13">
        <f>MIN(H478:M478)</f>
        <v/>
      </c>
      <c r="Q478" s="13">
        <f>MAX(H478:M478)</f>
        <v/>
      </c>
      <c r="R478" s="27">
        <f>IF(G478,SUMPRODUCT(($G$76:$G$1505)*($N$76:$N$1505&gt;=N478)*($O$76:$O$1505&lt;=O478))=1,FALSE)</f>
        <v/>
      </c>
      <c r="S478" s="16">
        <f>IF(R478,ABS((O478-$AC$76)/MAX(0.0001,$AC$77-$AC$76)-(N478-$AC$78)/MAX(0.0001,$AC$79-$AC$78)),-1)</f>
        <v/>
      </c>
      <c r="T478" s="14">
        <f>IF(G478,O478,NA())</f>
        <v/>
      </c>
      <c r="U478" s="13">
        <f>IF(G478,N478,NA())</f>
        <v/>
      </c>
      <c r="V478" s="14">
        <f>IF(R478,O478,NA())</f>
        <v/>
      </c>
      <c r="W478" s="13">
        <f>IF(R478,N478,NA())</f>
        <v/>
      </c>
      <c r="X478" s="27">
        <f>IF(G478,P478,"")</f>
        <v/>
      </c>
      <c r="Y478" s="27">
        <f>IF(G478,N478,"")</f>
        <v/>
      </c>
      <c r="Z478" s="27">
        <f>IF(R478,O478,"")</f>
        <v/>
      </c>
      <c r="AA478" s="27">
        <f>IF(R478,N478,"")</f>
        <v/>
      </c>
    </row>
    <row r="479">
      <c r="A479" s="31" t="n">
        <v>0.1</v>
      </c>
      <c r="B479" s="31" t="n">
        <v>0.1</v>
      </c>
      <c r="C479" s="31" t="n">
        <v>0.4</v>
      </c>
      <c r="D479" s="31" t="n">
        <v>0.4</v>
      </c>
      <c r="E479" s="27" t="inlineStr">
        <is>
          <t>ON 10%/1M 10%/2M 40%/3M 40%</t>
        </is>
      </c>
      <c r="F479" s="27" t="n">
        <v>75</v>
      </c>
      <c r="G479" s="27">
        <f>A479*$B$7&gt;=$B$9</f>
        <v/>
      </c>
      <c r="H479" s="13">
        <f>$B$7*(A479*E$71+B479*F$71+C479*G$71+D479*H$71)+F479/100*$B$7*J$71-$C$71</f>
        <v/>
      </c>
      <c r="I479" s="13">
        <f>$B$7*(A479*L$71+B479*M$71+C479*N$71+D479*O$71)+F479/100*$B$7*Q$71-$C$71</f>
        <v/>
      </c>
      <c r="J479" s="13">
        <f>$B$7*(A479*S$71+B479*T$71+C479*U$71+D479*V$71)+F479/100*$B$7*X$71-$C$71</f>
        <v/>
      </c>
      <c r="K479" s="13">
        <f>$B$7*(A479*Z$71+B479*AA$71+C479*AB$71+D479*AC$71)+F479/100*$B$7*AE$71-$C$71</f>
        <v/>
      </c>
      <c r="L479" s="13">
        <f>$B$7*(A479*AG$71+B479*AH$71+C479*AI$71+D479*AJ$71)+F479/100*$B$7*AL$71-$C$71</f>
        <v/>
      </c>
      <c r="M479" s="13">
        <f>$B$7*(A479*AN$71+B479*AO$71+C479*AP$71+D479*AQ$71)+F479/100*$B$7*AS$71-$C$71</f>
        <v/>
      </c>
      <c r="N479" s="13">
        <f>SUMPRODUCT($H$24:$M$24,H479:M479)</f>
        <v/>
      </c>
      <c r="O479" s="14">
        <f>SQRT(SUMPRODUCT($H$24:$M$24,(H479:M479-N479)^2))</f>
        <v/>
      </c>
      <c r="P479" s="13">
        <f>MIN(H479:M479)</f>
        <v/>
      </c>
      <c r="Q479" s="13">
        <f>MAX(H479:M479)</f>
        <v/>
      </c>
      <c r="R479" s="27">
        <f>IF(G479,SUMPRODUCT(($G$76:$G$1505)*($N$76:$N$1505&gt;=N479)*($O$76:$O$1505&lt;=O479))=1,FALSE)</f>
        <v/>
      </c>
      <c r="S479" s="16">
        <f>IF(R479,ABS((O479-$AC$76)/MAX(0.0001,$AC$77-$AC$76)-(N479-$AC$78)/MAX(0.0001,$AC$79-$AC$78)),-1)</f>
        <v/>
      </c>
      <c r="T479" s="14">
        <f>IF(G479,O479,NA())</f>
        <v/>
      </c>
      <c r="U479" s="13">
        <f>IF(G479,N479,NA())</f>
        <v/>
      </c>
      <c r="V479" s="14">
        <f>IF(R479,O479,NA())</f>
        <v/>
      </c>
      <c r="W479" s="13">
        <f>IF(R479,N479,NA())</f>
        <v/>
      </c>
      <c r="X479" s="27">
        <f>IF(G479,P479,"")</f>
        <v/>
      </c>
      <c r="Y479" s="27">
        <f>IF(G479,N479,"")</f>
        <v/>
      </c>
      <c r="Z479" s="27">
        <f>IF(R479,O479,"")</f>
        <v/>
      </c>
      <c r="AA479" s="27">
        <f>IF(R479,N479,"")</f>
        <v/>
      </c>
    </row>
    <row r="480">
      <c r="A480" s="31" t="n">
        <v>0.1</v>
      </c>
      <c r="B480" s="31" t="n">
        <v>0.1</v>
      </c>
      <c r="C480" s="31" t="n">
        <v>0.4</v>
      </c>
      <c r="D480" s="31" t="n">
        <v>0.4</v>
      </c>
      <c r="E480" s="27" t="inlineStr">
        <is>
          <t>ON 10%/1M 10%/2M 40%/3M 40%</t>
        </is>
      </c>
      <c r="F480" s="27" t="n">
        <v>100</v>
      </c>
      <c r="G480" s="27">
        <f>A480*$B$7&gt;=$B$9</f>
        <v/>
      </c>
      <c r="H480" s="13">
        <f>$B$7*(A480*E$71+B480*F$71+C480*G$71+D480*H$71)+F480/100*$B$7*J$71-$C$71</f>
        <v/>
      </c>
      <c r="I480" s="13">
        <f>$B$7*(A480*L$71+B480*M$71+C480*N$71+D480*O$71)+F480/100*$B$7*Q$71-$C$71</f>
        <v/>
      </c>
      <c r="J480" s="13">
        <f>$B$7*(A480*S$71+B480*T$71+C480*U$71+D480*V$71)+F480/100*$B$7*X$71-$C$71</f>
        <v/>
      </c>
      <c r="K480" s="13">
        <f>$B$7*(A480*Z$71+B480*AA$71+C480*AB$71+D480*AC$71)+F480/100*$B$7*AE$71-$C$71</f>
        <v/>
      </c>
      <c r="L480" s="13">
        <f>$B$7*(A480*AG$71+B480*AH$71+C480*AI$71+D480*AJ$71)+F480/100*$B$7*AL$71-$C$71</f>
        <v/>
      </c>
      <c r="M480" s="13">
        <f>$B$7*(A480*AN$71+B480*AO$71+C480*AP$71+D480*AQ$71)+F480/100*$B$7*AS$71-$C$71</f>
        <v/>
      </c>
      <c r="N480" s="13">
        <f>SUMPRODUCT($H$24:$M$24,H480:M480)</f>
        <v/>
      </c>
      <c r="O480" s="14">
        <f>SQRT(SUMPRODUCT($H$24:$M$24,(H480:M480-N480)^2))</f>
        <v/>
      </c>
      <c r="P480" s="13">
        <f>MIN(H480:M480)</f>
        <v/>
      </c>
      <c r="Q480" s="13">
        <f>MAX(H480:M480)</f>
        <v/>
      </c>
      <c r="R480" s="27">
        <f>IF(G480,SUMPRODUCT(($G$76:$G$1505)*($N$76:$N$1505&gt;=N480)*($O$76:$O$1505&lt;=O480))=1,FALSE)</f>
        <v/>
      </c>
      <c r="S480" s="16">
        <f>IF(R480,ABS((O480-$AC$76)/MAX(0.0001,$AC$77-$AC$76)-(N480-$AC$78)/MAX(0.0001,$AC$79-$AC$78)),-1)</f>
        <v/>
      </c>
      <c r="T480" s="14">
        <f>IF(G480,O480,NA())</f>
        <v/>
      </c>
      <c r="U480" s="13">
        <f>IF(G480,N480,NA())</f>
        <v/>
      </c>
      <c r="V480" s="14">
        <f>IF(R480,O480,NA())</f>
        <v/>
      </c>
      <c r="W480" s="13">
        <f>IF(R480,N480,NA())</f>
        <v/>
      </c>
      <c r="X480" s="27">
        <f>IF(G480,P480,"")</f>
        <v/>
      </c>
      <c r="Y480" s="27">
        <f>IF(G480,N480,"")</f>
        <v/>
      </c>
      <c r="Z480" s="27">
        <f>IF(R480,O480,"")</f>
        <v/>
      </c>
      <c r="AA480" s="27">
        <f>IF(R480,N480,"")</f>
        <v/>
      </c>
    </row>
    <row r="481">
      <c r="A481" s="31" t="n">
        <v>0.1</v>
      </c>
      <c r="B481" s="31" t="n">
        <v>0.1</v>
      </c>
      <c r="C481" s="31" t="n">
        <v>0.5</v>
      </c>
      <c r="D481" s="31" t="n">
        <v>0.3</v>
      </c>
      <c r="E481" s="27" t="inlineStr">
        <is>
          <t>ON 10%/1M 10%/2M 50%/3M 30%</t>
        </is>
      </c>
      <c r="F481" s="27" t="n">
        <v>0</v>
      </c>
      <c r="G481" s="27">
        <f>A481*$B$7&gt;=$B$9</f>
        <v/>
      </c>
      <c r="H481" s="13">
        <f>$B$7*(A481*E$71+B481*F$71+C481*G$71+D481*H$71)+F481/100*$B$7*J$71-$C$71</f>
        <v/>
      </c>
      <c r="I481" s="13">
        <f>$B$7*(A481*L$71+B481*M$71+C481*N$71+D481*O$71)+F481/100*$B$7*Q$71-$C$71</f>
        <v/>
      </c>
      <c r="J481" s="13">
        <f>$B$7*(A481*S$71+B481*T$71+C481*U$71+D481*V$71)+F481/100*$B$7*X$71-$C$71</f>
        <v/>
      </c>
      <c r="K481" s="13">
        <f>$B$7*(A481*Z$71+B481*AA$71+C481*AB$71+D481*AC$71)+F481/100*$B$7*AE$71-$C$71</f>
        <v/>
      </c>
      <c r="L481" s="13">
        <f>$B$7*(A481*AG$71+B481*AH$71+C481*AI$71+D481*AJ$71)+F481/100*$B$7*AL$71-$C$71</f>
        <v/>
      </c>
      <c r="M481" s="13">
        <f>$B$7*(A481*AN$71+B481*AO$71+C481*AP$71+D481*AQ$71)+F481/100*$B$7*AS$71-$C$71</f>
        <v/>
      </c>
      <c r="N481" s="13">
        <f>SUMPRODUCT($H$24:$M$24,H481:M481)</f>
        <v/>
      </c>
      <c r="O481" s="14">
        <f>SQRT(SUMPRODUCT($H$24:$M$24,(H481:M481-N481)^2))</f>
        <v/>
      </c>
      <c r="P481" s="13">
        <f>MIN(H481:M481)</f>
        <v/>
      </c>
      <c r="Q481" s="13">
        <f>MAX(H481:M481)</f>
        <v/>
      </c>
      <c r="R481" s="27">
        <f>IF(G481,SUMPRODUCT(($G$76:$G$1505)*($N$76:$N$1505&gt;=N481)*($O$76:$O$1505&lt;=O481))=1,FALSE)</f>
        <v/>
      </c>
      <c r="S481" s="16">
        <f>IF(R481,ABS((O481-$AC$76)/MAX(0.0001,$AC$77-$AC$76)-(N481-$AC$78)/MAX(0.0001,$AC$79-$AC$78)),-1)</f>
        <v/>
      </c>
      <c r="T481" s="14">
        <f>IF(G481,O481,NA())</f>
        <v/>
      </c>
      <c r="U481" s="13">
        <f>IF(G481,N481,NA())</f>
        <v/>
      </c>
      <c r="V481" s="14">
        <f>IF(R481,O481,NA())</f>
        <v/>
      </c>
      <c r="W481" s="13">
        <f>IF(R481,N481,NA())</f>
        <v/>
      </c>
      <c r="X481" s="27">
        <f>IF(G481,P481,"")</f>
        <v/>
      </c>
      <c r="Y481" s="27">
        <f>IF(G481,N481,"")</f>
        <v/>
      </c>
      <c r="Z481" s="27">
        <f>IF(R481,O481,"")</f>
        <v/>
      </c>
      <c r="AA481" s="27">
        <f>IF(R481,N481,"")</f>
        <v/>
      </c>
    </row>
    <row r="482">
      <c r="A482" s="31" t="n">
        <v>0.1</v>
      </c>
      <c r="B482" s="31" t="n">
        <v>0.1</v>
      </c>
      <c r="C482" s="31" t="n">
        <v>0.5</v>
      </c>
      <c r="D482" s="31" t="n">
        <v>0.3</v>
      </c>
      <c r="E482" s="27" t="inlineStr">
        <is>
          <t>ON 10%/1M 10%/2M 50%/3M 30%</t>
        </is>
      </c>
      <c r="F482" s="27" t="n">
        <v>25</v>
      </c>
      <c r="G482" s="27">
        <f>A482*$B$7&gt;=$B$9</f>
        <v/>
      </c>
      <c r="H482" s="13">
        <f>$B$7*(A482*E$71+B482*F$71+C482*G$71+D482*H$71)+F482/100*$B$7*J$71-$C$71</f>
        <v/>
      </c>
      <c r="I482" s="13">
        <f>$B$7*(A482*L$71+B482*M$71+C482*N$71+D482*O$71)+F482/100*$B$7*Q$71-$C$71</f>
        <v/>
      </c>
      <c r="J482" s="13">
        <f>$B$7*(A482*S$71+B482*T$71+C482*U$71+D482*V$71)+F482/100*$B$7*X$71-$C$71</f>
        <v/>
      </c>
      <c r="K482" s="13">
        <f>$B$7*(A482*Z$71+B482*AA$71+C482*AB$71+D482*AC$71)+F482/100*$B$7*AE$71-$C$71</f>
        <v/>
      </c>
      <c r="L482" s="13">
        <f>$B$7*(A482*AG$71+B482*AH$71+C482*AI$71+D482*AJ$71)+F482/100*$B$7*AL$71-$C$71</f>
        <v/>
      </c>
      <c r="M482" s="13">
        <f>$B$7*(A482*AN$71+B482*AO$71+C482*AP$71+D482*AQ$71)+F482/100*$B$7*AS$71-$C$71</f>
        <v/>
      </c>
      <c r="N482" s="13">
        <f>SUMPRODUCT($H$24:$M$24,H482:M482)</f>
        <v/>
      </c>
      <c r="O482" s="14">
        <f>SQRT(SUMPRODUCT($H$24:$M$24,(H482:M482-N482)^2))</f>
        <v/>
      </c>
      <c r="P482" s="13">
        <f>MIN(H482:M482)</f>
        <v/>
      </c>
      <c r="Q482" s="13">
        <f>MAX(H482:M482)</f>
        <v/>
      </c>
      <c r="R482" s="27">
        <f>IF(G482,SUMPRODUCT(($G$76:$G$1505)*($N$76:$N$1505&gt;=N482)*($O$76:$O$1505&lt;=O482))=1,FALSE)</f>
        <v/>
      </c>
      <c r="S482" s="16">
        <f>IF(R482,ABS((O482-$AC$76)/MAX(0.0001,$AC$77-$AC$76)-(N482-$AC$78)/MAX(0.0001,$AC$79-$AC$78)),-1)</f>
        <v/>
      </c>
      <c r="T482" s="14">
        <f>IF(G482,O482,NA())</f>
        <v/>
      </c>
      <c r="U482" s="13">
        <f>IF(G482,N482,NA())</f>
        <v/>
      </c>
      <c r="V482" s="14">
        <f>IF(R482,O482,NA())</f>
        <v/>
      </c>
      <c r="W482" s="13">
        <f>IF(R482,N482,NA())</f>
        <v/>
      </c>
      <c r="X482" s="27">
        <f>IF(G482,P482,"")</f>
        <v/>
      </c>
      <c r="Y482" s="27">
        <f>IF(G482,N482,"")</f>
        <v/>
      </c>
      <c r="Z482" s="27">
        <f>IF(R482,O482,"")</f>
        <v/>
      </c>
      <c r="AA482" s="27">
        <f>IF(R482,N482,"")</f>
        <v/>
      </c>
    </row>
    <row r="483">
      <c r="A483" s="31" t="n">
        <v>0.1</v>
      </c>
      <c r="B483" s="31" t="n">
        <v>0.1</v>
      </c>
      <c r="C483" s="31" t="n">
        <v>0.5</v>
      </c>
      <c r="D483" s="31" t="n">
        <v>0.3</v>
      </c>
      <c r="E483" s="27" t="inlineStr">
        <is>
          <t>ON 10%/1M 10%/2M 50%/3M 30%</t>
        </is>
      </c>
      <c r="F483" s="27" t="n">
        <v>50</v>
      </c>
      <c r="G483" s="27">
        <f>A483*$B$7&gt;=$B$9</f>
        <v/>
      </c>
      <c r="H483" s="13">
        <f>$B$7*(A483*E$71+B483*F$71+C483*G$71+D483*H$71)+F483/100*$B$7*J$71-$C$71</f>
        <v/>
      </c>
      <c r="I483" s="13">
        <f>$B$7*(A483*L$71+B483*M$71+C483*N$71+D483*O$71)+F483/100*$B$7*Q$71-$C$71</f>
        <v/>
      </c>
      <c r="J483" s="13">
        <f>$B$7*(A483*S$71+B483*T$71+C483*U$71+D483*V$71)+F483/100*$B$7*X$71-$C$71</f>
        <v/>
      </c>
      <c r="K483" s="13">
        <f>$B$7*(A483*Z$71+B483*AA$71+C483*AB$71+D483*AC$71)+F483/100*$B$7*AE$71-$C$71</f>
        <v/>
      </c>
      <c r="L483" s="13">
        <f>$B$7*(A483*AG$71+B483*AH$71+C483*AI$71+D483*AJ$71)+F483/100*$B$7*AL$71-$C$71</f>
        <v/>
      </c>
      <c r="M483" s="13">
        <f>$B$7*(A483*AN$71+B483*AO$71+C483*AP$71+D483*AQ$71)+F483/100*$B$7*AS$71-$C$71</f>
        <v/>
      </c>
      <c r="N483" s="13">
        <f>SUMPRODUCT($H$24:$M$24,H483:M483)</f>
        <v/>
      </c>
      <c r="O483" s="14">
        <f>SQRT(SUMPRODUCT($H$24:$M$24,(H483:M483-N483)^2))</f>
        <v/>
      </c>
      <c r="P483" s="13">
        <f>MIN(H483:M483)</f>
        <v/>
      </c>
      <c r="Q483" s="13">
        <f>MAX(H483:M483)</f>
        <v/>
      </c>
      <c r="R483" s="27">
        <f>IF(G483,SUMPRODUCT(($G$76:$G$1505)*($N$76:$N$1505&gt;=N483)*($O$76:$O$1505&lt;=O483))=1,FALSE)</f>
        <v/>
      </c>
      <c r="S483" s="16">
        <f>IF(R483,ABS((O483-$AC$76)/MAX(0.0001,$AC$77-$AC$76)-(N483-$AC$78)/MAX(0.0001,$AC$79-$AC$78)),-1)</f>
        <v/>
      </c>
      <c r="T483" s="14">
        <f>IF(G483,O483,NA())</f>
        <v/>
      </c>
      <c r="U483" s="13">
        <f>IF(G483,N483,NA())</f>
        <v/>
      </c>
      <c r="V483" s="14">
        <f>IF(R483,O483,NA())</f>
        <v/>
      </c>
      <c r="W483" s="13">
        <f>IF(R483,N483,NA())</f>
        <v/>
      </c>
      <c r="X483" s="27">
        <f>IF(G483,P483,"")</f>
        <v/>
      </c>
      <c r="Y483" s="27">
        <f>IF(G483,N483,"")</f>
        <v/>
      </c>
      <c r="Z483" s="27">
        <f>IF(R483,O483,"")</f>
        <v/>
      </c>
      <c r="AA483" s="27">
        <f>IF(R483,N483,"")</f>
        <v/>
      </c>
    </row>
    <row r="484">
      <c r="A484" s="31" t="n">
        <v>0.1</v>
      </c>
      <c r="B484" s="31" t="n">
        <v>0.1</v>
      </c>
      <c r="C484" s="31" t="n">
        <v>0.5</v>
      </c>
      <c r="D484" s="31" t="n">
        <v>0.3</v>
      </c>
      <c r="E484" s="27" t="inlineStr">
        <is>
          <t>ON 10%/1M 10%/2M 50%/3M 30%</t>
        </is>
      </c>
      <c r="F484" s="27" t="n">
        <v>75</v>
      </c>
      <c r="G484" s="27">
        <f>A484*$B$7&gt;=$B$9</f>
        <v/>
      </c>
      <c r="H484" s="13">
        <f>$B$7*(A484*E$71+B484*F$71+C484*G$71+D484*H$71)+F484/100*$B$7*J$71-$C$71</f>
        <v/>
      </c>
      <c r="I484" s="13">
        <f>$B$7*(A484*L$71+B484*M$71+C484*N$71+D484*O$71)+F484/100*$B$7*Q$71-$C$71</f>
        <v/>
      </c>
      <c r="J484" s="13">
        <f>$B$7*(A484*S$71+B484*T$71+C484*U$71+D484*V$71)+F484/100*$B$7*X$71-$C$71</f>
        <v/>
      </c>
      <c r="K484" s="13">
        <f>$B$7*(A484*Z$71+B484*AA$71+C484*AB$71+D484*AC$71)+F484/100*$B$7*AE$71-$C$71</f>
        <v/>
      </c>
      <c r="L484" s="13">
        <f>$B$7*(A484*AG$71+B484*AH$71+C484*AI$71+D484*AJ$71)+F484/100*$B$7*AL$71-$C$71</f>
        <v/>
      </c>
      <c r="M484" s="13">
        <f>$B$7*(A484*AN$71+B484*AO$71+C484*AP$71+D484*AQ$71)+F484/100*$B$7*AS$71-$C$71</f>
        <v/>
      </c>
      <c r="N484" s="13">
        <f>SUMPRODUCT($H$24:$M$24,H484:M484)</f>
        <v/>
      </c>
      <c r="O484" s="14">
        <f>SQRT(SUMPRODUCT($H$24:$M$24,(H484:M484-N484)^2))</f>
        <v/>
      </c>
      <c r="P484" s="13">
        <f>MIN(H484:M484)</f>
        <v/>
      </c>
      <c r="Q484" s="13">
        <f>MAX(H484:M484)</f>
        <v/>
      </c>
      <c r="R484" s="27">
        <f>IF(G484,SUMPRODUCT(($G$76:$G$1505)*($N$76:$N$1505&gt;=N484)*($O$76:$O$1505&lt;=O484))=1,FALSE)</f>
        <v/>
      </c>
      <c r="S484" s="16">
        <f>IF(R484,ABS((O484-$AC$76)/MAX(0.0001,$AC$77-$AC$76)-(N484-$AC$78)/MAX(0.0001,$AC$79-$AC$78)),-1)</f>
        <v/>
      </c>
      <c r="T484" s="14">
        <f>IF(G484,O484,NA())</f>
        <v/>
      </c>
      <c r="U484" s="13">
        <f>IF(G484,N484,NA())</f>
        <v/>
      </c>
      <c r="V484" s="14">
        <f>IF(R484,O484,NA())</f>
        <v/>
      </c>
      <c r="W484" s="13">
        <f>IF(R484,N484,NA())</f>
        <v/>
      </c>
      <c r="X484" s="27">
        <f>IF(G484,P484,"")</f>
        <v/>
      </c>
      <c r="Y484" s="27">
        <f>IF(G484,N484,"")</f>
        <v/>
      </c>
      <c r="Z484" s="27">
        <f>IF(R484,O484,"")</f>
        <v/>
      </c>
      <c r="AA484" s="27">
        <f>IF(R484,N484,"")</f>
        <v/>
      </c>
    </row>
    <row r="485">
      <c r="A485" s="31" t="n">
        <v>0.1</v>
      </c>
      <c r="B485" s="31" t="n">
        <v>0.1</v>
      </c>
      <c r="C485" s="31" t="n">
        <v>0.5</v>
      </c>
      <c r="D485" s="31" t="n">
        <v>0.3</v>
      </c>
      <c r="E485" s="27" t="inlineStr">
        <is>
          <t>ON 10%/1M 10%/2M 50%/3M 30%</t>
        </is>
      </c>
      <c r="F485" s="27" t="n">
        <v>100</v>
      </c>
      <c r="G485" s="27">
        <f>A485*$B$7&gt;=$B$9</f>
        <v/>
      </c>
      <c r="H485" s="13">
        <f>$B$7*(A485*E$71+B485*F$71+C485*G$71+D485*H$71)+F485/100*$B$7*J$71-$C$71</f>
        <v/>
      </c>
      <c r="I485" s="13">
        <f>$B$7*(A485*L$71+B485*M$71+C485*N$71+D485*O$71)+F485/100*$B$7*Q$71-$C$71</f>
        <v/>
      </c>
      <c r="J485" s="13">
        <f>$B$7*(A485*S$71+B485*T$71+C485*U$71+D485*V$71)+F485/100*$B$7*X$71-$C$71</f>
        <v/>
      </c>
      <c r="K485" s="13">
        <f>$B$7*(A485*Z$71+B485*AA$71+C485*AB$71+D485*AC$71)+F485/100*$B$7*AE$71-$C$71</f>
        <v/>
      </c>
      <c r="L485" s="13">
        <f>$B$7*(A485*AG$71+B485*AH$71+C485*AI$71+D485*AJ$71)+F485/100*$B$7*AL$71-$C$71</f>
        <v/>
      </c>
      <c r="M485" s="13">
        <f>$B$7*(A485*AN$71+B485*AO$71+C485*AP$71+D485*AQ$71)+F485/100*$B$7*AS$71-$C$71</f>
        <v/>
      </c>
      <c r="N485" s="13">
        <f>SUMPRODUCT($H$24:$M$24,H485:M485)</f>
        <v/>
      </c>
      <c r="O485" s="14">
        <f>SQRT(SUMPRODUCT($H$24:$M$24,(H485:M485-N485)^2))</f>
        <v/>
      </c>
      <c r="P485" s="13">
        <f>MIN(H485:M485)</f>
        <v/>
      </c>
      <c r="Q485" s="13">
        <f>MAX(H485:M485)</f>
        <v/>
      </c>
      <c r="R485" s="27">
        <f>IF(G485,SUMPRODUCT(($G$76:$G$1505)*($N$76:$N$1505&gt;=N485)*($O$76:$O$1505&lt;=O485))=1,FALSE)</f>
        <v/>
      </c>
      <c r="S485" s="16">
        <f>IF(R485,ABS((O485-$AC$76)/MAX(0.0001,$AC$77-$AC$76)-(N485-$AC$78)/MAX(0.0001,$AC$79-$AC$78)),-1)</f>
        <v/>
      </c>
      <c r="T485" s="14">
        <f>IF(G485,O485,NA())</f>
        <v/>
      </c>
      <c r="U485" s="13">
        <f>IF(G485,N485,NA())</f>
        <v/>
      </c>
      <c r="V485" s="14">
        <f>IF(R485,O485,NA())</f>
        <v/>
      </c>
      <c r="W485" s="13">
        <f>IF(R485,N485,NA())</f>
        <v/>
      </c>
      <c r="X485" s="27">
        <f>IF(G485,P485,"")</f>
        <v/>
      </c>
      <c r="Y485" s="27">
        <f>IF(G485,N485,"")</f>
        <v/>
      </c>
      <c r="Z485" s="27">
        <f>IF(R485,O485,"")</f>
        <v/>
      </c>
      <c r="AA485" s="27">
        <f>IF(R485,N485,"")</f>
        <v/>
      </c>
    </row>
    <row r="486">
      <c r="A486" s="31" t="n">
        <v>0.1</v>
      </c>
      <c r="B486" s="31" t="n">
        <v>0.1</v>
      </c>
      <c r="C486" s="31" t="n">
        <v>0.6</v>
      </c>
      <c r="D486" s="31" t="n">
        <v>0.2</v>
      </c>
      <c r="E486" s="27" t="inlineStr">
        <is>
          <t>ON 10%/1M 10%/2M 60%/3M 20%</t>
        </is>
      </c>
      <c r="F486" s="27" t="n">
        <v>0</v>
      </c>
      <c r="G486" s="27">
        <f>A486*$B$7&gt;=$B$9</f>
        <v/>
      </c>
      <c r="H486" s="13">
        <f>$B$7*(A486*E$71+B486*F$71+C486*G$71+D486*H$71)+F486/100*$B$7*J$71-$C$71</f>
        <v/>
      </c>
      <c r="I486" s="13">
        <f>$B$7*(A486*L$71+B486*M$71+C486*N$71+D486*O$71)+F486/100*$B$7*Q$71-$C$71</f>
        <v/>
      </c>
      <c r="J486" s="13">
        <f>$B$7*(A486*S$71+B486*T$71+C486*U$71+D486*V$71)+F486/100*$B$7*X$71-$C$71</f>
        <v/>
      </c>
      <c r="K486" s="13">
        <f>$B$7*(A486*Z$71+B486*AA$71+C486*AB$71+D486*AC$71)+F486/100*$B$7*AE$71-$C$71</f>
        <v/>
      </c>
      <c r="L486" s="13">
        <f>$B$7*(A486*AG$71+B486*AH$71+C486*AI$71+D486*AJ$71)+F486/100*$B$7*AL$71-$C$71</f>
        <v/>
      </c>
      <c r="M486" s="13">
        <f>$B$7*(A486*AN$71+B486*AO$71+C486*AP$71+D486*AQ$71)+F486/100*$B$7*AS$71-$C$71</f>
        <v/>
      </c>
      <c r="N486" s="13">
        <f>SUMPRODUCT($H$24:$M$24,H486:M486)</f>
        <v/>
      </c>
      <c r="O486" s="14">
        <f>SQRT(SUMPRODUCT($H$24:$M$24,(H486:M486-N486)^2))</f>
        <v/>
      </c>
      <c r="P486" s="13">
        <f>MIN(H486:M486)</f>
        <v/>
      </c>
      <c r="Q486" s="13">
        <f>MAX(H486:M486)</f>
        <v/>
      </c>
      <c r="R486" s="27">
        <f>IF(G486,SUMPRODUCT(($G$76:$G$1505)*($N$76:$N$1505&gt;=N486)*($O$76:$O$1505&lt;=O486))=1,FALSE)</f>
        <v/>
      </c>
      <c r="S486" s="16">
        <f>IF(R486,ABS((O486-$AC$76)/MAX(0.0001,$AC$77-$AC$76)-(N486-$AC$78)/MAX(0.0001,$AC$79-$AC$78)),-1)</f>
        <v/>
      </c>
      <c r="T486" s="14">
        <f>IF(G486,O486,NA())</f>
        <v/>
      </c>
      <c r="U486" s="13">
        <f>IF(G486,N486,NA())</f>
        <v/>
      </c>
      <c r="V486" s="14">
        <f>IF(R486,O486,NA())</f>
        <v/>
      </c>
      <c r="W486" s="13">
        <f>IF(R486,N486,NA())</f>
        <v/>
      </c>
      <c r="X486" s="27">
        <f>IF(G486,P486,"")</f>
        <v/>
      </c>
      <c r="Y486" s="27">
        <f>IF(G486,N486,"")</f>
        <v/>
      </c>
      <c r="Z486" s="27">
        <f>IF(R486,O486,"")</f>
        <v/>
      </c>
      <c r="AA486" s="27">
        <f>IF(R486,N486,"")</f>
        <v/>
      </c>
    </row>
    <row r="487">
      <c r="A487" s="31" t="n">
        <v>0.1</v>
      </c>
      <c r="B487" s="31" t="n">
        <v>0.1</v>
      </c>
      <c r="C487" s="31" t="n">
        <v>0.6</v>
      </c>
      <c r="D487" s="31" t="n">
        <v>0.2</v>
      </c>
      <c r="E487" s="27" t="inlineStr">
        <is>
          <t>ON 10%/1M 10%/2M 60%/3M 20%</t>
        </is>
      </c>
      <c r="F487" s="27" t="n">
        <v>25</v>
      </c>
      <c r="G487" s="27">
        <f>A487*$B$7&gt;=$B$9</f>
        <v/>
      </c>
      <c r="H487" s="13">
        <f>$B$7*(A487*E$71+B487*F$71+C487*G$71+D487*H$71)+F487/100*$B$7*J$71-$C$71</f>
        <v/>
      </c>
      <c r="I487" s="13">
        <f>$B$7*(A487*L$71+B487*M$71+C487*N$71+D487*O$71)+F487/100*$B$7*Q$71-$C$71</f>
        <v/>
      </c>
      <c r="J487" s="13">
        <f>$B$7*(A487*S$71+B487*T$71+C487*U$71+D487*V$71)+F487/100*$B$7*X$71-$C$71</f>
        <v/>
      </c>
      <c r="K487" s="13">
        <f>$B$7*(A487*Z$71+B487*AA$71+C487*AB$71+D487*AC$71)+F487/100*$B$7*AE$71-$C$71</f>
        <v/>
      </c>
      <c r="L487" s="13">
        <f>$B$7*(A487*AG$71+B487*AH$71+C487*AI$71+D487*AJ$71)+F487/100*$B$7*AL$71-$C$71</f>
        <v/>
      </c>
      <c r="M487" s="13">
        <f>$B$7*(A487*AN$71+B487*AO$71+C487*AP$71+D487*AQ$71)+F487/100*$B$7*AS$71-$C$71</f>
        <v/>
      </c>
      <c r="N487" s="13">
        <f>SUMPRODUCT($H$24:$M$24,H487:M487)</f>
        <v/>
      </c>
      <c r="O487" s="14">
        <f>SQRT(SUMPRODUCT($H$24:$M$24,(H487:M487-N487)^2))</f>
        <v/>
      </c>
      <c r="P487" s="13">
        <f>MIN(H487:M487)</f>
        <v/>
      </c>
      <c r="Q487" s="13">
        <f>MAX(H487:M487)</f>
        <v/>
      </c>
      <c r="R487" s="27">
        <f>IF(G487,SUMPRODUCT(($G$76:$G$1505)*($N$76:$N$1505&gt;=N487)*($O$76:$O$1505&lt;=O487))=1,FALSE)</f>
        <v/>
      </c>
      <c r="S487" s="16">
        <f>IF(R487,ABS((O487-$AC$76)/MAX(0.0001,$AC$77-$AC$76)-(N487-$AC$78)/MAX(0.0001,$AC$79-$AC$78)),-1)</f>
        <v/>
      </c>
      <c r="T487" s="14">
        <f>IF(G487,O487,NA())</f>
        <v/>
      </c>
      <c r="U487" s="13">
        <f>IF(G487,N487,NA())</f>
        <v/>
      </c>
      <c r="V487" s="14">
        <f>IF(R487,O487,NA())</f>
        <v/>
      </c>
      <c r="W487" s="13">
        <f>IF(R487,N487,NA())</f>
        <v/>
      </c>
      <c r="X487" s="27">
        <f>IF(G487,P487,"")</f>
        <v/>
      </c>
      <c r="Y487" s="27">
        <f>IF(G487,N487,"")</f>
        <v/>
      </c>
      <c r="Z487" s="27">
        <f>IF(R487,O487,"")</f>
        <v/>
      </c>
      <c r="AA487" s="27">
        <f>IF(R487,N487,"")</f>
        <v/>
      </c>
    </row>
    <row r="488">
      <c r="A488" s="31" t="n">
        <v>0.1</v>
      </c>
      <c r="B488" s="31" t="n">
        <v>0.1</v>
      </c>
      <c r="C488" s="31" t="n">
        <v>0.6</v>
      </c>
      <c r="D488" s="31" t="n">
        <v>0.2</v>
      </c>
      <c r="E488" s="27" t="inlineStr">
        <is>
          <t>ON 10%/1M 10%/2M 60%/3M 20%</t>
        </is>
      </c>
      <c r="F488" s="27" t="n">
        <v>50</v>
      </c>
      <c r="G488" s="27">
        <f>A488*$B$7&gt;=$B$9</f>
        <v/>
      </c>
      <c r="H488" s="13">
        <f>$B$7*(A488*E$71+B488*F$71+C488*G$71+D488*H$71)+F488/100*$B$7*J$71-$C$71</f>
        <v/>
      </c>
      <c r="I488" s="13">
        <f>$B$7*(A488*L$71+B488*M$71+C488*N$71+D488*O$71)+F488/100*$B$7*Q$71-$C$71</f>
        <v/>
      </c>
      <c r="J488" s="13">
        <f>$B$7*(A488*S$71+B488*T$71+C488*U$71+D488*V$71)+F488/100*$B$7*X$71-$C$71</f>
        <v/>
      </c>
      <c r="K488" s="13">
        <f>$B$7*(A488*Z$71+B488*AA$71+C488*AB$71+D488*AC$71)+F488/100*$B$7*AE$71-$C$71</f>
        <v/>
      </c>
      <c r="L488" s="13">
        <f>$B$7*(A488*AG$71+B488*AH$71+C488*AI$71+D488*AJ$71)+F488/100*$B$7*AL$71-$C$71</f>
        <v/>
      </c>
      <c r="M488" s="13">
        <f>$B$7*(A488*AN$71+B488*AO$71+C488*AP$71+D488*AQ$71)+F488/100*$B$7*AS$71-$C$71</f>
        <v/>
      </c>
      <c r="N488" s="13">
        <f>SUMPRODUCT($H$24:$M$24,H488:M488)</f>
        <v/>
      </c>
      <c r="O488" s="14">
        <f>SQRT(SUMPRODUCT($H$24:$M$24,(H488:M488-N488)^2))</f>
        <v/>
      </c>
      <c r="P488" s="13">
        <f>MIN(H488:M488)</f>
        <v/>
      </c>
      <c r="Q488" s="13">
        <f>MAX(H488:M488)</f>
        <v/>
      </c>
      <c r="R488" s="27">
        <f>IF(G488,SUMPRODUCT(($G$76:$G$1505)*($N$76:$N$1505&gt;=N488)*($O$76:$O$1505&lt;=O488))=1,FALSE)</f>
        <v/>
      </c>
      <c r="S488" s="16">
        <f>IF(R488,ABS((O488-$AC$76)/MAX(0.0001,$AC$77-$AC$76)-(N488-$AC$78)/MAX(0.0001,$AC$79-$AC$78)),-1)</f>
        <v/>
      </c>
      <c r="T488" s="14">
        <f>IF(G488,O488,NA())</f>
        <v/>
      </c>
      <c r="U488" s="13">
        <f>IF(G488,N488,NA())</f>
        <v/>
      </c>
      <c r="V488" s="14">
        <f>IF(R488,O488,NA())</f>
        <v/>
      </c>
      <c r="W488" s="13">
        <f>IF(R488,N488,NA())</f>
        <v/>
      </c>
      <c r="X488" s="27">
        <f>IF(G488,P488,"")</f>
        <v/>
      </c>
      <c r="Y488" s="27">
        <f>IF(G488,N488,"")</f>
        <v/>
      </c>
      <c r="Z488" s="27">
        <f>IF(R488,O488,"")</f>
        <v/>
      </c>
      <c r="AA488" s="27">
        <f>IF(R488,N488,"")</f>
        <v/>
      </c>
    </row>
    <row r="489">
      <c r="A489" s="31" t="n">
        <v>0.1</v>
      </c>
      <c r="B489" s="31" t="n">
        <v>0.1</v>
      </c>
      <c r="C489" s="31" t="n">
        <v>0.6</v>
      </c>
      <c r="D489" s="31" t="n">
        <v>0.2</v>
      </c>
      <c r="E489" s="27" t="inlineStr">
        <is>
          <t>ON 10%/1M 10%/2M 60%/3M 20%</t>
        </is>
      </c>
      <c r="F489" s="27" t="n">
        <v>75</v>
      </c>
      <c r="G489" s="27">
        <f>A489*$B$7&gt;=$B$9</f>
        <v/>
      </c>
      <c r="H489" s="13">
        <f>$B$7*(A489*E$71+B489*F$71+C489*G$71+D489*H$71)+F489/100*$B$7*J$71-$C$71</f>
        <v/>
      </c>
      <c r="I489" s="13">
        <f>$B$7*(A489*L$71+B489*M$71+C489*N$71+D489*O$71)+F489/100*$B$7*Q$71-$C$71</f>
        <v/>
      </c>
      <c r="J489" s="13">
        <f>$B$7*(A489*S$71+B489*T$71+C489*U$71+D489*V$71)+F489/100*$B$7*X$71-$C$71</f>
        <v/>
      </c>
      <c r="K489" s="13">
        <f>$B$7*(A489*Z$71+B489*AA$71+C489*AB$71+D489*AC$71)+F489/100*$B$7*AE$71-$C$71</f>
        <v/>
      </c>
      <c r="L489" s="13">
        <f>$B$7*(A489*AG$71+B489*AH$71+C489*AI$71+D489*AJ$71)+F489/100*$B$7*AL$71-$C$71</f>
        <v/>
      </c>
      <c r="M489" s="13">
        <f>$B$7*(A489*AN$71+B489*AO$71+C489*AP$71+D489*AQ$71)+F489/100*$B$7*AS$71-$C$71</f>
        <v/>
      </c>
      <c r="N489" s="13">
        <f>SUMPRODUCT($H$24:$M$24,H489:M489)</f>
        <v/>
      </c>
      <c r="O489" s="14">
        <f>SQRT(SUMPRODUCT($H$24:$M$24,(H489:M489-N489)^2))</f>
        <v/>
      </c>
      <c r="P489" s="13">
        <f>MIN(H489:M489)</f>
        <v/>
      </c>
      <c r="Q489" s="13">
        <f>MAX(H489:M489)</f>
        <v/>
      </c>
      <c r="R489" s="27">
        <f>IF(G489,SUMPRODUCT(($G$76:$G$1505)*($N$76:$N$1505&gt;=N489)*($O$76:$O$1505&lt;=O489))=1,FALSE)</f>
        <v/>
      </c>
      <c r="S489" s="16">
        <f>IF(R489,ABS((O489-$AC$76)/MAX(0.0001,$AC$77-$AC$76)-(N489-$AC$78)/MAX(0.0001,$AC$79-$AC$78)),-1)</f>
        <v/>
      </c>
      <c r="T489" s="14">
        <f>IF(G489,O489,NA())</f>
        <v/>
      </c>
      <c r="U489" s="13">
        <f>IF(G489,N489,NA())</f>
        <v/>
      </c>
      <c r="V489" s="14">
        <f>IF(R489,O489,NA())</f>
        <v/>
      </c>
      <c r="W489" s="13">
        <f>IF(R489,N489,NA())</f>
        <v/>
      </c>
      <c r="X489" s="27">
        <f>IF(G489,P489,"")</f>
        <v/>
      </c>
      <c r="Y489" s="27">
        <f>IF(G489,N489,"")</f>
        <v/>
      </c>
      <c r="Z489" s="27">
        <f>IF(R489,O489,"")</f>
        <v/>
      </c>
      <c r="AA489" s="27">
        <f>IF(R489,N489,"")</f>
        <v/>
      </c>
    </row>
    <row r="490">
      <c r="A490" s="31" t="n">
        <v>0.1</v>
      </c>
      <c r="B490" s="31" t="n">
        <v>0.1</v>
      </c>
      <c r="C490" s="31" t="n">
        <v>0.6</v>
      </c>
      <c r="D490" s="31" t="n">
        <v>0.2</v>
      </c>
      <c r="E490" s="27" t="inlineStr">
        <is>
          <t>ON 10%/1M 10%/2M 60%/3M 20%</t>
        </is>
      </c>
      <c r="F490" s="27" t="n">
        <v>100</v>
      </c>
      <c r="G490" s="27">
        <f>A490*$B$7&gt;=$B$9</f>
        <v/>
      </c>
      <c r="H490" s="13">
        <f>$B$7*(A490*E$71+B490*F$71+C490*G$71+D490*H$71)+F490/100*$B$7*J$71-$C$71</f>
        <v/>
      </c>
      <c r="I490" s="13">
        <f>$B$7*(A490*L$71+B490*M$71+C490*N$71+D490*O$71)+F490/100*$B$7*Q$71-$C$71</f>
        <v/>
      </c>
      <c r="J490" s="13">
        <f>$B$7*(A490*S$71+B490*T$71+C490*U$71+D490*V$71)+F490/100*$B$7*X$71-$C$71</f>
        <v/>
      </c>
      <c r="K490" s="13">
        <f>$B$7*(A490*Z$71+B490*AA$71+C490*AB$71+D490*AC$71)+F490/100*$B$7*AE$71-$C$71</f>
        <v/>
      </c>
      <c r="L490" s="13">
        <f>$B$7*(A490*AG$71+B490*AH$71+C490*AI$71+D490*AJ$71)+F490/100*$B$7*AL$71-$C$71</f>
        <v/>
      </c>
      <c r="M490" s="13">
        <f>$B$7*(A490*AN$71+B490*AO$71+C490*AP$71+D490*AQ$71)+F490/100*$B$7*AS$71-$C$71</f>
        <v/>
      </c>
      <c r="N490" s="13">
        <f>SUMPRODUCT($H$24:$M$24,H490:M490)</f>
        <v/>
      </c>
      <c r="O490" s="14">
        <f>SQRT(SUMPRODUCT($H$24:$M$24,(H490:M490-N490)^2))</f>
        <v/>
      </c>
      <c r="P490" s="13">
        <f>MIN(H490:M490)</f>
        <v/>
      </c>
      <c r="Q490" s="13">
        <f>MAX(H490:M490)</f>
        <v/>
      </c>
      <c r="R490" s="27">
        <f>IF(G490,SUMPRODUCT(($G$76:$G$1505)*($N$76:$N$1505&gt;=N490)*($O$76:$O$1505&lt;=O490))=1,FALSE)</f>
        <v/>
      </c>
      <c r="S490" s="16">
        <f>IF(R490,ABS((O490-$AC$76)/MAX(0.0001,$AC$77-$AC$76)-(N490-$AC$78)/MAX(0.0001,$AC$79-$AC$78)),-1)</f>
        <v/>
      </c>
      <c r="T490" s="14">
        <f>IF(G490,O490,NA())</f>
        <v/>
      </c>
      <c r="U490" s="13">
        <f>IF(G490,N490,NA())</f>
        <v/>
      </c>
      <c r="V490" s="14">
        <f>IF(R490,O490,NA())</f>
        <v/>
      </c>
      <c r="W490" s="13">
        <f>IF(R490,N490,NA())</f>
        <v/>
      </c>
      <c r="X490" s="27">
        <f>IF(G490,P490,"")</f>
        <v/>
      </c>
      <c r="Y490" s="27">
        <f>IF(G490,N490,"")</f>
        <v/>
      </c>
      <c r="Z490" s="27">
        <f>IF(R490,O490,"")</f>
        <v/>
      </c>
      <c r="AA490" s="27">
        <f>IF(R490,N490,"")</f>
        <v/>
      </c>
    </row>
    <row r="491">
      <c r="A491" s="31" t="n">
        <v>0.1</v>
      </c>
      <c r="B491" s="31" t="n">
        <v>0.1</v>
      </c>
      <c r="C491" s="31" t="n">
        <v>0.7</v>
      </c>
      <c r="D491" s="31" t="n">
        <v>0.1</v>
      </c>
      <c r="E491" s="27" t="inlineStr">
        <is>
          <t>ON 10%/1M 10%/2M 70%/3M 10%</t>
        </is>
      </c>
      <c r="F491" s="27" t="n">
        <v>0</v>
      </c>
      <c r="G491" s="27">
        <f>A491*$B$7&gt;=$B$9</f>
        <v/>
      </c>
      <c r="H491" s="13">
        <f>$B$7*(A491*E$71+B491*F$71+C491*G$71+D491*H$71)+F491/100*$B$7*J$71-$C$71</f>
        <v/>
      </c>
      <c r="I491" s="13">
        <f>$B$7*(A491*L$71+B491*M$71+C491*N$71+D491*O$71)+F491/100*$B$7*Q$71-$C$71</f>
        <v/>
      </c>
      <c r="J491" s="13">
        <f>$B$7*(A491*S$71+B491*T$71+C491*U$71+D491*V$71)+F491/100*$B$7*X$71-$C$71</f>
        <v/>
      </c>
      <c r="K491" s="13">
        <f>$B$7*(A491*Z$71+B491*AA$71+C491*AB$71+D491*AC$71)+F491/100*$B$7*AE$71-$C$71</f>
        <v/>
      </c>
      <c r="L491" s="13">
        <f>$B$7*(A491*AG$71+B491*AH$71+C491*AI$71+D491*AJ$71)+F491/100*$B$7*AL$71-$C$71</f>
        <v/>
      </c>
      <c r="M491" s="13">
        <f>$B$7*(A491*AN$71+B491*AO$71+C491*AP$71+D491*AQ$71)+F491/100*$B$7*AS$71-$C$71</f>
        <v/>
      </c>
      <c r="N491" s="13">
        <f>SUMPRODUCT($H$24:$M$24,H491:M491)</f>
        <v/>
      </c>
      <c r="O491" s="14">
        <f>SQRT(SUMPRODUCT($H$24:$M$24,(H491:M491-N491)^2))</f>
        <v/>
      </c>
      <c r="P491" s="13">
        <f>MIN(H491:M491)</f>
        <v/>
      </c>
      <c r="Q491" s="13">
        <f>MAX(H491:M491)</f>
        <v/>
      </c>
      <c r="R491" s="27">
        <f>IF(G491,SUMPRODUCT(($G$76:$G$1505)*($N$76:$N$1505&gt;=N491)*($O$76:$O$1505&lt;=O491))=1,FALSE)</f>
        <v/>
      </c>
      <c r="S491" s="16">
        <f>IF(R491,ABS((O491-$AC$76)/MAX(0.0001,$AC$77-$AC$76)-(N491-$AC$78)/MAX(0.0001,$AC$79-$AC$78)),-1)</f>
        <v/>
      </c>
      <c r="T491" s="14">
        <f>IF(G491,O491,NA())</f>
        <v/>
      </c>
      <c r="U491" s="13">
        <f>IF(G491,N491,NA())</f>
        <v/>
      </c>
      <c r="V491" s="14">
        <f>IF(R491,O491,NA())</f>
        <v/>
      </c>
      <c r="W491" s="13">
        <f>IF(R491,N491,NA())</f>
        <v/>
      </c>
      <c r="X491" s="27">
        <f>IF(G491,P491,"")</f>
        <v/>
      </c>
      <c r="Y491" s="27">
        <f>IF(G491,N491,"")</f>
        <v/>
      </c>
      <c r="Z491" s="27">
        <f>IF(R491,O491,"")</f>
        <v/>
      </c>
      <c r="AA491" s="27">
        <f>IF(R491,N491,"")</f>
        <v/>
      </c>
    </row>
    <row r="492">
      <c r="A492" s="31" t="n">
        <v>0.1</v>
      </c>
      <c r="B492" s="31" t="n">
        <v>0.1</v>
      </c>
      <c r="C492" s="31" t="n">
        <v>0.7</v>
      </c>
      <c r="D492" s="31" t="n">
        <v>0.1</v>
      </c>
      <c r="E492" s="27" t="inlineStr">
        <is>
          <t>ON 10%/1M 10%/2M 70%/3M 10%</t>
        </is>
      </c>
      <c r="F492" s="27" t="n">
        <v>25</v>
      </c>
      <c r="G492" s="27">
        <f>A492*$B$7&gt;=$B$9</f>
        <v/>
      </c>
      <c r="H492" s="13">
        <f>$B$7*(A492*E$71+B492*F$71+C492*G$71+D492*H$71)+F492/100*$B$7*J$71-$C$71</f>
        <v/>
      </c>
      <c r="I492" s="13">
        <f>$B$7*(A492*L$71+B492*M$71+C492*N$71+D492*O$71)+F492/100*$B$7*Q$71-$C$71</f>
        <v/>
      </c>
      <c r="J492" s="13">
        <f>$B$7*(A492*S$71+B492*T$71+C492*U$71+D492*V$71)+F492/100*$B$7*X$71-$C$71</f>
        <v/>
      </c>
      <c r="K492" s="13">
        <f>$B$7*(A492*Z$71+B492*AA$71+C492*AB$71+D492*AC$71)+F492/100*$B$7*AE$71-$C$71</f>
        <v/>
      </c>
      <c r="L492" s="13">
        <f>$B$7*(A492*AG$71+B492*AH$71+C492*AI$71+D492*AJ$71)+F492/100*$B$7*AL$71-$C$71</f>
        <v/>
      </c>
      <c r="M492" s="13">
        <f>$B$7*(A492*AN$71+B492*AO$71+C492*AP$71+D492*AQ$71)+F492/100*$B$7*AS$71-$C$71</f>
        <v/>
      </c>
      <c r="N492" s="13">
        <f>SUMPRODUCT($H$24:$M$24,H492:M492)</f>
        <v/>
      </c>
      <c r="O492" s="14">
        <f>SQRT(SUMPRODUCT($H$24:$M$24,(H492:M492-N492)^2))</f>
        <v/>
      </c>
      <c r="P492" s="13">
        <f>MIN(H492:M492)</f>
        <v/>
      </c>
      <c r="Q492" s="13">
        <f>MAX(H492:M492)</f>
        <v/>
      </c>
      <c r="R492" s="27">
        <f>IF(G492,SUMPRODUCT(($G$76:$G$1505)*($N$76:$N$1505&gt;=N492)*($O$76:$O$1505&lt;=O492))=1,FALSE)</f>
        <v/>
      </c>
      <c r="S492" s="16">
        <f>IF(R492,ABS((O492-$AC$76)/MAX(0.0001,$AC$77-$AC$76)-(N492-$AC$78)/MAX(0.0001,$AC$79-$AC$78)),-1)</f>
        <v/>
      </c>
      <c r="T492" s="14">
        <f>IF(G492,O492,NA())</f>
        <v/>
      </c>
      <c r="U492" s="13">
        <f>IF(G492,N492,NA())</f>
        <v/>
      </c>
      <c r="V492" s="14">
        <f>IF(R492,O492,NA())</f>
        <v/>
      </c>
      <c r="W492" s="13">
        <f>IF(R492,N492,NA())</f>
        <v/>
      </c>
      <c r="X492" s="27">
        <f>IF(G492,P492,"")</f>
        <v/>
      </c>
      <c r="Y492" s="27">
        <f>IF(G492,N492,"")</f>
        <v/>
      </c>
      <c r="Z492" s="27">
        <f>IF(R492,O492,"")</f>
        <v/>
      </c>
      <c r="AA492" s="27">
        <f>IF(R492,N492,"")</f>
        <v/>
      </c>
    </row>
    <row r="493">
      <c r="A493" s="31" t="n">
        <v>0.1</v>
      </c>
      <c r="B493" s="31" t="n">
        <v>0.1</v>
      </c>
      <c r="C493" s="31" t="n">
        <v>0.7</v>
      </c>
      <c r="D493" s="31" t="n">
        <v>0.1</v>
      </c>
      <c r="E493" s="27" t="inlineStr">
        <is>
          <t>ON 10%/1M 10%/2M 70%/3M 10%</t>
        </is>
      </c>
      <c r="F493" s="27" t="n">
        <v>50</v>
      </c>
      <c r="G493" s="27">
        <f>A493*$B$7&gt;=$B$9</f>
        <v/>
      </c>
      <c r="H493" s="13">
        <f>$B$7*(A493*E$71+B493*F$71+C493*G$71+D493*H$71)+F493/100*$B$7*J$71-$C$71</f>
        <v/>
      </c>
      <c r="I493" s="13">
        <f>$B$7*(A493*L$71+B493*M$71+C493*N$71+D493*O$71)+F493/100*$B$7*Q$71-$C$71</f>
        <v/>
      </c>
      <c r="J493" s="13">
        <f>$B$7*(A493*S$71+B493*T$71+C493*U$71+D493*V$71)+F493/100*$B$7*X$71-$C$71</f>
        <v/>
      </c>
      <c r="K493" s="13">
        <f>$B$7*(A493*Z$71+B493*AA$71+C493*AB$71+D493*AC$71)+F493/100*$B$7*AE$71-$C$71</f>
        <v/>
      </c>
      <c r="L493" s="13">
        <f>$B$7*(A493*AG$71+B493*AH$71+C493*AI$71+D493*AJ$71)+F493/100*$B$7*AL$71-$C$71</f>
        <v/>
      </c>
      <c r="M493" s="13">
        <f>$B$7*(A493*AN$71+B493*AO$71+C493*AP$71+D493*AQ$71)+F493/100*$B$7*AS$71-$C$71</f>
        <v/>
      </c>
      <c r="N493" s="13">
        <f>SUMPRODUCT($H$24:$M$24,H493:M493)</f>
        <v/>
      </c>
      <c r="O493" s="14">
        <f>SQRT(SUMPRODUCT($H$24:$M$24,(H493:M493-N493)^2))</f>
        <v/>
      </c>
      <c r="P493" s="13">
        <f>MIN(H493:M493)</f>
        <v/>
      </c>
      <c r="Q493" s="13">
        <f>MAX(H493:M493)</f>
        <v/>
      </c>
      <c r="R493" s="27">
        <f>IF(G493,SUMPRODUCT(($G$76:$G$1505)*($N$76:$N$1505&gt;=N493)*($O$76:$O$1505&lt;=O493))=1,FALSE)</f>
        <v/>
      </c>
      <c r="S493" s="16">
        <f>IF(R493,ABS((O493-$AC$76)/MAX(0.0001,$AC$77-$AC$76)-(N493-$AC$78)/MAX(0.0001,$AC$79-$AC$78)),-1)</f>
        <v/>
      </c>
      <c r="T493" s="14">
        <f>IF(G493,O493,NA())</f>
        <v/>
      </c>
      <c r="U493" s="13">
        <f>IF(G493,N493,NA())</f>
        <v/>
      </c>
      <c r="V493" s="14">
        <f>IF(R493,O493,NA())</f>
        <v/>
      </c>
      <c r="W493" s="13">
        <f>IF(R493,N493,NA())</f>
        <v/>
      </c>
      <c r="X493" s="27">
        <f>IF(G493,P493,"")</f>
        <v/>
      </c>
      <c r="Y493" s="27">
        <f>IF(G493,N493,"")</f>
        <v/>
      </c>
      <c r="Z493" s="27">
        <f>IF(R493,O493,"")</f>
        <v/>
      </c>
      <c r="AA493" s="27">
        <f>IF(R493,N493,"")</f>
        <v/>
      </c>
    </row>
    <row r="494">
      <c r="A494" s="31" t="n">
        <v>0.1</v>
      </c>
      <c r="B494" s="31" t="n">
        <v>0.1</v>
      </c>
      <c r="C494" s="31" t="n">
        <v>0.7</v>
      </c>
      <c r="D494" s="31" t="n">
        <v>0.1</v>
      </c>
      <c r="E494" s="27" t="inlineStr">
        <is>
          <t>ON 10%/1M 10%/2M 70%/3M 10%</t>
        </is>
      </c>
      <c r="F494" s="27" t="n">
        <v>75</v>
      </c>
      <c r="G494" s="27">
        <f>A494*$B$7&gt;=$B$9</f>
        <v/>
      </c>
      <c r="H494" s="13">
        <f>$B$7*(A494*E$71+B494*F$71+C494*G$71+D494*H$71)+F494/100*$B$7*J$71-$C$71</f>
        <v/>
      </c>
      <c r="I494" s="13">
        <f>$B$7*(A494*L$71+B494*M$71+C494*N$71+D494*O$71)+F494/100*$B$7*Q$71-$C$71</f>
        <v/>
      </c>
      <c r="J494" s="13">
        <f>$B$7*(A494*S$71+B494*T$71+C494*U$71+D494*V$71)+F494/100*$B$7*X$71-$C$71</f>
        <v/>
      </c>
      <c r="K494" s="13">
        <f>$B$7*(A494*Z$71+B494*AA$71+C494*AB$71+D494*AC$71)+F494/100*$B$7*AE$71-$C$71</f>
        <v/>
      </c>
      <c r="L494" s="13">
        <f>$B$7*(A494*AG$71+B494*AH$71+C494*AI$71+D494*AJ$71)+F494/100*$B$7*AL$71-$C$71</f>
        <v/>
      </c>
      <c r="M494" s="13">
        <f>$B$7*(A494*AN$71+B494*AO$71+C494*AP$71+D494*AQ$71)+F494/100*$B$7*AS$71-$C$71</f>
        <v/>
      </c>
      <c r="N494" s="13">
        <f>SUMPRODUCT($H$24:$M$24,H494:M494)</f>
        <v/>
      </c>
      <c r="O494" s="14">
        <f>SQRT(SUMPRODUCT($H$24:$M$24,(H494:M494-N494)^2))</f>
        <v/>
      </c>
      <c r="P494" s="13">
        <f>MIN(H494:M494)</f>
        <v/>
      </c>
      <c r="Q494" s="13">
        <f>MAX(H494:M494)</f>
        <v/>
      </c>
      <c r="R494" s="27">
        <f>IF(G494,SUMPRODUCT(($G$76:$G$1505)*($N$76:$N$1505&gt;=N494)*($O$76:$O$1505&lt;=O494))=1,FALSE)</f>
        <v/>
      </c>
      <c r="S494" s="16">
        <f>IF(R494,ABS((O494-$AC$76)/MAX(0.0001,$AC$77-$AC$76)-(N494-$AC$78)/MAX(0.0001,$AC$79-$AC$78)),-1)</f>
        <v/>
      </c>
      <c r="T494" s="14">
        <f>IF(G494,O494,NA())</f>
        <v/>
      </c>
      <c r="U494" s="13">
        <f>IF(G494,N494,NA())</f>
        <v/>
      </c>
      <c r="V494" s="14">
        <f>IF(R494,O494,NA())</f>
        <v/>
      </c>
      <c r="W494" s="13">
        <f>IF(R494,N494,NA())</f>
        <v/>
      </c>
      <c r="X494" s="27">
        <f>IF(G494,P494,"")</f>
        <v/>
      </c>
      <c r="Y494" s="27">
        <f>IF(G494,N494,"")</f>
        <v/>
      </c>
      <c r="Z494" s="27">
        <f>IF(R494,O494,"")</f>
        <v/>
      </c>
      <c r="AA494" s="27">
        <f>IF(R494,N494,"")</f>
        <v/>
      </c>
    </row>
    <row r="495">
      <c r="A495" s="31" t="n">
        <v>0.1</v>
      </c>
      <c r="B495" s="31" t="n">
        <v>0.1</v>
      </c>
      <c r="C495" s="31" t="n">
        <v>0.7</v>
      </c>
      <c r="D495" s="31" t="n">
        <v>0.1</v>
      </c>
      <c r="E495" s="27" t="inlineStr">
        <is>
          <t>ON 10%/1M 10%/2M 70%/3M 10%</t>
        </is>
      </c>
      <c r="F495" s="27" t="n">
        <v>100</v>
      </c>
      <c r="G495" s="27">
        <f>A495*$B$7&gt;=$B$9</f>
        <v/>
      </c>
      <c r="H495" s="13">
        <f>$B$7*(A495*E$71+B495*F$71+C495*G$71+D495*H$71)+F495/100*$B$7*J$71-$C$71</f>
        <v/>
      </c>
      <c r="I495" s="13">
        <f>$B$7*(A495*L$71+B495*M$71+C495*N$71+D495*O$71)+F495/100*$B$7*Q$71-$C$71</f>
        <v/>
      </c>
      <c r="J495" s="13">
        <f>$B$7*(A495*S$71+B495*T$71+C495*U$71+D495*V$71)+F495/100*$B$7*X$71-$C$71</f>
        <v/>
      </c>
      <c r="K495" s="13">
        <f>$B$7*(A495*Z$71+B495*AA$71+C495*AB$71+D495*AC$71)+F495/100*$B$7*AE$71-$C$71</f>
        <v/>
      </c>
      <c r="L495" s="13">
        <f>$B$7*(A495*AG$71+B495*AH$71+C495*AI$71+D495*AJ$71)+F495/100*$B$7*AL$71-$C$71</f>
        <v/>
      </c>
      <c r="M495" s="13">
        <f>$B$7*(A495*AN$71+B495*AO$71+C495*AP$71+D495*AQ$71)+F495/100*$B$7*AS$71-$C$71</f>
        <v/>
      </c>
      <c r="N495" s="13">
        <f>SUMPRODUCT($H$24:$M$24,H495:M495)</f>
        <v/>
      </c>
      <c r="O495" s="14">
        <f>SQRT(SUMPRODUCT($H$24:$M$24,(H495:M495-N495)^2))</f>
        <v/>
      </c>
      <c r="P495" s="13">
        <f>MIN(H495:M495)</f>
        <v/>
      </c>
      <c r="Q495" s="13">
        <f>MAX(H495:M495)</f>
        <v/>
      </c>
      <c r="R495" s="27">
        <f>IF(G495,SUMPRODUCT(($G$76:$G$1505)*($N$76:$N$1505&gt;=N495)*($O$76:$O$1505&lt;=O495))=1,FALSE)</f>
        <v/>
      </c>
      <c r="S495" s="16">
        <f>IF(R495,ABS((O495-$AC$76)/MAX(0.0001,$AC$77-$AC$76)-(N495-$AC$78)/MAX(0.0001,$AC$79-$AC$78)),-1)</f>
        <v/>
      </c>
      <c r="T495" s="14">
        <f>IF(G495,O495,NA())</f>
        <v/>
      </c>
      <c r="U495" s="13">
        <f>IF(G495,N495,NA())</f>
        <v/>
      </c>
      <c r="V495" s="14">
        <f>IF(R495,O495,NA())</f>
        <v/>
      </c>
      <c r="W495" s="13">
        <f>IF(R495,N495,NA())</f>
        <v/>
      </c>
      <c r="X495" s="27">
        <f>IF(G495,P495,"")</f>
        <v/>
      </c>
      <c r="Y495" s="27">
        <f>IF(G495,N495,"")</f>
        <v/>
      </c>
      <c r="Z495" s="27">
        <f>IF(R495,O495,"")</f>
        <v/>
      </c>
      <c r="AA495" s="27">
        <f>IF(R495,N495,"")</f>
        <v/>
      </c>
    </row>
    <row r="496">
      <c r="A496" s="31" t="n">
        <v>0.1</v>
      </c>
      <c r="B496" s="31" t="n">
        <v>0.1</v>
      </c>
      <c r="C496" s="31" t="n">
        <v>0.8</v>
      </c>
      <c r="D496" s="31" t="n">
        <v>0</v>
      </c>
      <c r="E496" s="27" t="inlineStr">
        <is>
          <t>ON 10%/1M 10%/2M 80%</t>
        </is>
      </c>
      <c r="F496" s="27" t="n">
        <v>0</v>
      </c>
      <c r="G496" s="27">
        <f>A496*$B$7&gt;=$B$9</f>
        <v/>
      </c>
      <c r="H496" s="13">
        <f>$B$7*(A496*E$71+B496*F$71+C496*G$71+D496*H$71)+F496/100*$B$7*J$71-$C$71</f>
        <v/>
      </c>
      <c r="I496" s="13">
        <f>$B$7*(A496*L$71+B496*M$71+C496*N$71+D496*O$71)+F496/100*$B$7*Q$71-$C$71</f>
        <v/>
      </c>
      <c r="J496" s="13">
        <f>$B$7*(A496*S$71+B496*T$71+C496*U$71+D496*V$71)+F496/100*$B$7*X$71-$C$71</f>
        <v/>
      </c>
      <c r="K496" s="13">
        <f>$B$7*(A496*Z$71+B496*AA$71+C496*AB$71+D496*AC$71)+F496/100*$B$7*AE$71-$C$71</f>
        <v/>
      </c>
      <c r="L496" s="13">
        <f>$B$7*(A496*AG$71+B496*AH$71+C496*AI$71+D496*AJ$71)+F496/100*$B$7*AL$71-$C$71</f>
        <v/>
      </c>
      <c r="M496" s="13">
        <f>$B$7*(A496*AN$71+B496*AO$71+C496*AP$71+D496*AQ$71)+F496/100*$B$7*AS$71-$C$71</f>
        <v/>
      </c>
      <c r="N496" s="13">
        <f>SUMPRODUCT($H$24:$M$24,H496:M496)</f>
        <v/>
      </c>
      <c r="O496" s="14">
        <f>SQRT(SUMPRODUCT($H$24:$M$24,(H496:M496-N496)^2))</f>
        <v/>
      </c>
      <c r="P496" s="13">
        <f>MIN(H496:M496)</f>
        <v/>
      </c>
      <c r="Q496" s="13">
        <f>MAX(H496:M496)</f>
        <v/>
      </c>
      <c r="R496" s="27">
        <f>IF(G496,SUMPRODUCT(($G$76:$G$1505)*($N$76:$N$1505&gt;=N496)*($O$76:$O$1505&lt;=O496))=1,FALSE)</f>
        <v/>
      </c>
      <c r="S496" s="16">
        <f>IF(R496,ABS((O496-$AC$76)/MAX(0.0001,$AC$77-$AC$76)-(N496-$AC$78)/MAX(0.0001,$AC$79-$AC$78)),-1)</f>
        <v/>
      </c>
      <c r="T496" s="14">
        <f>IF(G496,O496,NA())</f>
        <v/>
      </c>
      <c r="U496" s="13">
        <f>IF(G496,N496,NA())</f>
        <v/>
      </c>
      <c r="V496" s="14">
        <f>IF(R496,O496,NA())</f>
        <v/>
      </c>
      <c r="W496" s="13">
        <f>IF(R496,N496,NA())</f>
        <v/>
      </c>
      <c r="X496" s="27">
        <f>IF(G496,P496,"")</f>
        <v/>
      </c>
      <c r="Y496" s="27">
        <f>IF(G496,N496,"")</f>
        <v/>
      </c>
      <c r="Z496" s="27">
        <f>IF(R496,O496,"")</f>
        <v/>
      </c>
      <c r="AA496" s="27">
        <f>IF(R496,N496,"")</f>
        <v/>
      </c>
    </row>
    <row r="497">
      <c r="A497" s="31" t="n">
        <v>0.1</v>
      </c>
      <c r="B497" s="31" t="n">
        <v>0.1</v>
      </c>
      <c r="C497" s="31" t="n">
        <v>0.8</v>
      </c>
      <c r="D497" s="31" t="n">
        <v>0</v>
      </c>
      <c r="E497" s="27" t="inlineStr">
        <is>
          <t>ON 10%/1M 10%/2M 80%</t>
        </is>
      </c>
      <c r="F497" s="27" t="n">
        <v>25</v>
      </c>
      <c r="G497" s="27">
        <f>A497*$B$7&gt;=$B$9</f>
        <v/>
      </c>
      <c r="H497" s="13">
        <f>$B$7*(A497*E$71+B497*F$71+C497*G$71+D497*H$71)+F497/100*$B$7*J$71-$C$71</f>
        <v/>
      </c>
      <c r="I497" s="13">
        <f>$B$7*(A497*L$71+B497*M$71+C497*N$71+D497*O$71)+F497/100*$B$7*Q$71-$C$71</f>
        <v/>
      </c>
      <c r="J497" s="13">
        <f>$B$7*(A497*S$71+B497*T$71+C497*U$71+D497*V$71)+F497/100*$B$7*X$71-$C$71</f>
        <v/>
      </c>
      <c r="K497" s="13">
        <f>$B$7*(A497*Z$71+B497*AA$71+C497*AB$71+D497*AC$71)+F497/100*$B$7*AE$71-$C$71</f>
        <v/>
      </c>
      <c r="L497" s="13">
        <f>$B$7*(A497*AG$71+B497*AH$71+C497*AI$71+D497*AJ$71)+F497/100*$B$7*AL$71-$C$71</f>
        <v/>
      </c>
      <c r="M497" s="13">
        <f>$B$7*(A497*AN$71+B497*AO$71+C497*AP$71+D497*AQ$71)+F497/100*$B$7*AS$71-$C$71</f>
        <v/>
      </c>
      <c r="N497" s="13">
        <f>SUMPRODUCT($H$24:$M$24,H497:M497)</f>
        <v/>
      </c>
      <c r="O497" s="14">
        <f>SQRT(SUMPRODUCT($H$24:$M$24,(H497:M497-N497)^2))</f>
        <v/>
      </c>
      <c r="P497" s="13">
        <f>MIN(H497:M497)</f>
        <v/>
      </c>
      <c r="Q497" s="13">
        <f>MAX(H497:M497)</f>
        <v/>
      </c>
      <c r="R497" s="27">
        <f>IF(G497,SUMPRODUCT(($G$76:$G$1505)*($N$76:$N$1505&gt;=N497)*($O$76:$O$1505&lt;=O497))=1,FALSE)</f>
        <v/>
      </c>
      <c r="S497" s="16">
        <f>IF(R497,ABS((O497-$AC$76)/MAX(0.0001,$AC$77-$AC$76)-(N497-$AC$78)/MAX(0.0001,$AC$79-$AC$78)),-1)</f>
        <v/>
      </c>
      <c r="T497" s="14">
        <f>IF(G497,O497,NA())</f>
        <v/>
      </c>
      <c r="U497" s="13">
        <f>IF(G497,N497,NA())</f>
        <v/>
      </c>
      <c r="V497" s="14">
        <f>IF(R497,O497,NA())</f>
        <v/>
      </c>
      <c r="W497" s="13">
        <f>IF(R497,N497,NA())</f>
        <v/>
      </c>
      <c r="X497" s="27">
        <f>IF(G497,P497,"")</f>
        <v/>
      </c>
      <c r="Y497" s="27">
        <f>IF(G497,N497,"")</f>
        <v/>
      </c>
      <c r="Z497" s="27">
        <f>IF(R497,O497,"")</f>
        <v/>
      </c>
      <c r="AA497" s="27">
        <f>IF(R497,N497,"")</f>
        <v/>
      </c>
    </row>
    <row r="498">
      <c r="A498" s="31" t="n">
        <v>0.1</v>
      </c>
      <c r="B498" s="31" t="n">
        <v>0.1</v>
      </c>
      <c r="C498" s="31" t="n">
        <v>0.8</v>
      </c>
      <c r="D498" s="31" t="n">
        <v>0</v>
      </c>
      <c r="E498" s="27" t="inlineStr">
        <is>
          <t>ON 10%/1M 10%/2M 80%</t>
        </is>
      </c>
      <c r="F498" s="27" t="n">
        <v>50</v>
      </c>
      <c r="G498" s="27">
        <f>A498*$B$7&gt;=$B$9</f>
        <v/>
      </c>
      <c r="H498" s="13">
        <f>$B$7*(A498*E$71+B498*F$71+C498*G$71+D498*H$71)+F498/100*$B$7*J$71-$C$71</f>
        <v/>
      </c>
      <c r="I498" s="13">
        <f>$B$7*(A498*L$71+B498*M$71+C498*N$71+D498*O$71)+F498/100*$B$7*Q$71-$C$71</f>
        <v/>
      </c>
      <c r="J498" s="13">
        <f>$B$7*(A498*S$71+B498*T$71+C498*U$71+D498*V$71)+F498/100*$B$7*X$71-$C$71</f>
        <v/>
      </c>
      <c r="K498" s="13">
        <f>$B$7*(A498*Z$71+B498*AA$71+C498*AB$71+D498*AC$71)+F498/100*$B$7*AE$71-$C$71</f>
        <v/>
      </c>
      <c r="L498" s="13">
        <f>$B$7*(A498*AG$71+B498*AH$71+C498*AI$71+D498*AJ$71)+F498/100*$B$7*AL$71-$C$71</f>
        <v/>
      </c>
      <c r="M498" s="13">
        <f>$B$7*(A498*AN$71+B498*AO$71+C498*AP$71+D498*AQ$71)+F498/100*$B$7*AS$71-$C$71</f>
        <v/>
      </c>
      <c r="N498" s="13">
        <f>SUMPRODUCT($H$24:$M$24,H498:M498)</f>
        <v/>
      </c>
      <c r="O498" s="14">
        <f>SQRT(SUMPRODUCT($H$24:$M$24,(H498:M498-N498)^2))</f>
        <v/>
      </c>
      <c r="P498" s="13">
        <f>MIN(H498:M498)</f>
        <v/>
      </c>
      <c r="Q498" s="13">
        <f>MAX(H498:M498)</f>
        <v/>
      </c>
      <c r="R498" s="27">
        <f>IF(G498,SUMPRODUCT(($G$76:$G$1505)*($N$76:$N$1505&gt;=N498)*($O$76:$O$1505&lt;=O498))=1,FALSE)</f>
        <v/>
      </c>
      <c r="S498" s="16">
        <f>IF(R498,ABS((O498-$AC$76)/MAX(0.0001,$AC$77-$AC$76)-(N498-$AC$78)/MAX(0.0001,$AC$79-$AC$78)),-1)</f>
        <v/>
      </c>
      <c r="T498" s="14">
        <f>IF(G498,O498,NA())</f>
        <v/>
      </c>
      <c r="U498" s="13">
        <f>IF(G498,N498,NA())</f>
        <v/>
      </c>
      <c r="V498" s="14">
        <f>IF(R498,O498,NA())</f>
        <v/>
      </c>
      <c r="W498" s="13">
        <f>IF(R498,N498,NA())</f>
        <v/>
      </c>
      <c r="X498" s="27">
        <f>IF(G498,P498,"")</f>
        <v/>
      </c>
      <c r="Y498" s="27">
        <f>IF(G498,N498,"")</f>
        <v/>
      </c>
      <c r="Z498" s="27">
        <f>IF(R498,O498,"")</f>
        <v/>
      </c>
      <c r="AA498" s="27">
        <f>IF(R498,N498,"")</f>
        <v/>
      </c>
    </row>
    <row r="499">
      <c r="A499" s="31" t="n">
        <v>0.1</v>
      </c>
      <c r="B499" s="31" t="n">
        <v>0.1</v>
      </c>
      <c r="C499" s="31" t="n">
        <v>0.8</v>
      </c>
      <c r="D499" s="31" t="n">
        <v>0</v>
      </c>
      <c r="E499" s="27" t="inlineStr">
        <is>
          <t>ON 10%/1M 10%/2M 80%</t>
        </is>
      </c>
      <c r="F499" s="27" t="n">
        <v>75</v>
      </c>
      <c r="G499" s="27">
        <f>A499*$B$7&gt;=$B$9</f>
        <v/>
      </c>
      <c r="H499" s="13">
        <f>$B$7*(A499*E$71+B499*F$71+C499*G$71+D499*H$71)+F499/100*$B$7*J$71-$C$71</f>
        <v/>
      </c>
      <c r="I499" s="13">
        <f>$B$7*(A499*L$71+B499*M$71+C499*N$71+D499*O$71)+F499/100*$B$7*Q$71-$C$71</f>
        <v/>
      </c>
      <c r="J499" s="13">
        <f>$B$7*(A499*S$71+B499*T$71+C499*U$71+D499*V$71)+F499/100*$B$7*X$71-$C$71</f>
        <v/>
      </c>
      <c r="K499" s="13">
        <f>$B$7*(A499*Z$71+B499*AA$71+C499*AB$71+D499*AC$71)+F499/100*$B$7*AE$71-$C$71</f>
        <v/>
      </c>
      <c r="L499" s="13">
        <f>$B$7*(A499*AG$71+B499*AH$71+C499*AI$71+D499*AJ$71)+F499/100*$B$7*AL$71-$C$71</f>
        <v/>
      </c>
      <c r="M499" s="13">
        <f>$B$7*(A499*AN$71+B499*AO$71+C499*AP$71+D499*AQ$71)+F499/100*$B$7*AS$71-$C$71</f>
        <v/>
      </c>
      <c r="N499" s="13">
        <f>SUMPRODUCT($H$24:$M$24,H499:M499)</f>
        <v/>
      </c>
      <c r="O499" s="14">
        <f>SQRT(SUMPRODUCT($H$24:$M$24,(H499:M499-N499)^2))</f>
        <v/>
      </c>
      <c r="P499" s="13">
        <f>MIN(H499:M499)</f>
        <v/>
      </c>
      <c r="Q499" s="13">
        <f>MAX(H499:M499)</f>
        <v/>
      </c>
      <c r="R499" s="27">
        <f>IF(G499,SUMPRODUCT(($G$76:$G$1505)*($N$76:$N$1505&gt;=N499)*($O$76:$O$1505&lt;=O499))=1,FALSE)</f>
        <v/>
      </c>
      <c r="S499" s="16">
        <f>IF(R499,ABS((O499-$AC$76)/MAX(0.0001,$AC$77-$AC$76)-(N499-$AC$78)/MAX(0.0001,$AC$79-$AC$78)),-1)</f>
        <v/>
      </c>
      <c r="T499" s="14">
        <f>IF(G499,O499,NA())</f>
        <v/>
      </c>
      <c r="U499" s="13">
        <f>IF(G499,N499,NA())</f>
        <v/>
      </c>
      <c r="V499" s="14">
        <f>IF(R499,O499,NA())</f>
        <v/>
      </c>
      <c r="W499" s="13">
        <f>IF(R499,N499,NA())</f>
        <v/>
      </c>
      <c r="X499" s="27">
        <f>IF(G499,P499,"")</f>
        <v/>
      </c>
      <c r="Y499" s="27">
        <f>IF(G499,N499,"")</f>
        <v/>
      </c>
      <c r="Z499" s="27">
        <f>IF(R499,O499,"")</f>
        <v/>
      </c>
      <c r="AA499" s="27">
        <f>IF(R499,N499,"")</f>
        <v/>
      </c>
    </row>
    <row r="500">
      <c r="A500" s="31" t="n">
        <v>0.1</v>
      </c>
      <c r="B500" s="31" t="n">
        <v>0.1</v>
      </c>
      <c r="C500" s="31" t="n">
        <v>0.8</v>
      </c>
      <c r="D500" s="31" t="n">
        <v>0</v>
      </c>
      <c r="E500" s="27" t="inlineStr">
        <is>
          <t>ON 10%/1M 10%/2M 80%</t>
        </is>
      </c>
      <c r="F500" s="27" t="n">
        <v>100</v>
      </c>
      <c r="G500" s="27">
        <f>A500*$B$7&gt;=$B$9</f>
        <v/>
      </c>
      <c r="H500" s="13">
        <f>$B$7*(A500*E$71+B500*F$71+C500*G$71+D500*H$71)+F500/100*$B$7*J$71-$C$71</f>
        <v/>
      </c>
      <c r="I500" s="13">
        <f>$B$7*(A500*L$71+B500*M$71+C500*N$71+D500*O$71)+F500/100*$B$7*Q$71-$C$71</f>
        <v/>
      </c>
      <c r="J500" s="13">
        <f>$B$7*(A500*S$71+B500*T$71+C500*U$71+D500*V$71)+F500/100*$B$7*X$71-$C$71</f>
        <v/>
      </c>
      <c r="K500" s="13">
        <f>$B$7*(A500*Z$71+B500*AA$71+C500*AB$71+D500*AC$71)+F500/100*$B$7*AE$71-$C$71</f>
        <v/>
      </c>
      <c r="L500" s="13">
        <f>$B$7*(A500*AG$71+B500*AH$71+C500*AI$71+D500*AJ$71)+F500/100*$B$7*AL$71-$C$71</f>
        <v/>
      </c>
      <c r="M500" s="13">
        <f>$B$7*(A500*AN$71+B500*AO$71+C500*AP$71+D500*AQ$71)+F500/100*$B$7*AS$71-$C$71</f>
        <v/>
      </c>
      <c r="N500" s="13">
        <f>SUMPRODUCT($H$24:$M$24,H500:M500)</f>
        <v/>
      </c>
      <c r="O500" s="14">
        <f>SQRT(SUMPRODUCT($H$24:$M$24,(H500:M500-N500)^2))</f>
        <v/>
      </c>
      <c r="P500" s="13">
        <f>MIN(H500:M500)</f>
        <v/>
      </c>
      <c r="Q500" s="13">
        <f>MAX(H500:M500)</f>
        <v/>
      </c>
      <c r="R500" s="27">
        <f>IF(G500,SUMPRODUCT(($G$76:$G$1505)*($N$76:$N$1505&gt;=N500)*($O$76:$O$1505&lt;=O500))=1,FALSE)</f>
        <v/>
      </c>
      <c r="S500" s="16">
        <f>IF(R500,ABS((O500-$AC$76)/MAX(0.0001,$AC$77-$AC$76)-(N500-$AC$78)/MAX(0.0001,$AC$79-$AC$78)),-1)</f>
        <v/>
      </c>
      <c r="T500" s="14">
        <f>IF(G500,O500,NA())</f>
        <v/>
      </c>
      <c r="U500" s="13">
        <f>IF(G500,N500,NA())</f>
        <v/>
      </c>
      <c r="V500" s="14">
        <f>IF(R500,O500,NA())</f>
        <v/>
      </c>
      <c r="W500" s="13">
        <f>IF(R500,N500,NA())</f>
        <v/>
      </c>
      <c r="X500" s="27">
        <f>IF(G500,P500,"")</f>
        <v/>
      </c>
      <c r="Y500" s="27">
        <f>IF(G500,N500,"")</f>
        <v/>
      </c>
      <c r="Z500" s="27">
        <f>IF(R500,O500,"")</f>
        <v/>
      </c>
      <c r="AA500" s="27">
        <f>IF(R500,N500,"")</f>
        <v/>
      </c>
    </row>
    <row r="501">
      <c r="A501" s="31" t="n">
        <v>0.1</v>
      </c>
      <c r="B501" s="31" t="n">
        <v>0.2</v>
      </c>
      <c r="C501" s="31" t="n">
        <v>0</v>
      </c>
      <c r="D501" s="31" t="n">
        <v>0.7</v>
      </c>
      <c r="E501" s="27" t="inlineStr">
        <is>
          <t>ON 10%/1M 20%/3M 70%</t>
        </is>
      </c>
      <c r="F501" s="27" t="n">
        <v>0</v>
      </c>
      <c r="G501" s="27">
        <f>A501*$B$7&gt;=$B$9</f>
        <v/>
      </c>
      <c r="H501" s="13">
        <f>$B$7*(A501*E$71+B501*F$71+C501*G$71+D501*H$71)+F501/100*$B$7*J$71-$C$71</f>
        <v/>
      </c>
      <c r="I501" s="13">
        <f>$B$7*(A501*L$71+B501*M$71+C501*N$71+D501*O$71)+F501/100*$B$7*Q$71-$C$71</f>
        <v/>
      </c>
      <c r="J501" s="13">
        <f>$B$7*(A501*S$71+B501*T$71+C501*U$71+D501*V$71)+F501/100*$B$7*X$71-$C$71</f>
        <v/>
      </c>
      <c r="K501" s="13">
        <f>$B$7*(A501*Z$71+B501*AA$71+C501*AB$71+D501*AC$71)+F501/100*$B$7*AE$71-$C$71</f>
        <v/>
      </c>
      <c r="L501" s="13">
        <f>$B$7*(A501*AG$71+B501*AH$71+C501*AI$71+D501*AJ$71)+F501/100*$B$7*AL$71-$C$71</f>
        <v/>
      </c>
      <c r="M501" s="13">
        <f>$B$7*(A501*AN$71+B501*AO$71+C501*AP$71+D501*AQ$71)+F501/100*$B$7*AS$71-$C$71</f>
        <v/>
      </c>
      <c r="N501" s="13">
        <f>SUMPRODUCT($H$24:$M$24,H501:M501)</f>
        <v/>
      </c>
      <c r="O501" s="14">
        <f>SQRT(SUMPRODUCT($H$24:$M$24,(H501:M501-N501)^2))</f>
        <v/>
      </c>
      <c r="P501" s="13">
        <f>MIN(H501:M501)</f>
        <v/>
      </c>
      <c r="Q501" s="13">
        <f>MAX(H501:M501)</f>
        <v/>
      </c>
      <c r="R501" s="27">
        <f>IF(G501,SUMPRODUCT(($G$76:$G$1505)*($N$76:$N$1505&gt;=N501)*($O$76:$O$1505&lt;=O501))=1,FALSE)</f>
        <v/>
      </c>
      <c r="S501" s="16">
        <f>IF(R501,ABS((O501-$AC$76)/MAX(0.0001,$AC$77-$AC$76)-(N501-$AC$78)/MAX(0.0001,$AC$79-$AC$78)),-1)</f>
        <v/>
      </c>
      <c r="T501" s="14">
        <f>IF(G501,O501,NA())</f>
        <v/>
      </c>
      <c r="U501" s="13">
        <f>IF(G501,N501,NA())</f>
        <v/>
      </c>
      <c r="V501" s="14">
        <f>IF(R501,O501,NA())</f>
        <v/>
      </c>
      <c r="W501" s="13">
        <f>IF(R501,N501,NA())</f>
        <v/>
      </c>
      <c r="X501" s="27">
        <f>IF(G501,P501,"")</f>
        <v/>
      </c>
      <c r="Y501" s="27">
        <f>IF(G501,N501,"")</f>
        <v/>
      </c>
      <c r="Z501" s="27">
        <f>IF(R501,O501,"")</f>
        <v/>
      </c>
      <c r="AA501" s="27">
        <f>IF(R501,N501,"")</f>
        <v/>
      </c>
    </row>
    <row r="502">
      <c r="A502" s="31" t="n">
        <v>0.1</v>
      </c>
      <c r="B502" s="31" t="n">
        <v>0.2</v>
      </c>
      <c r="C502" s="31" t="n">
        <v>0</v>
      </c>
      <c r="D502" s="31" t="n">
        <v>0.7</v>
      </c>
      <c r="E502" s="27" t="inlineStr">
        <is>
          <t>ON 10%/1M 20%/3M 70%</t>
        </is>
      </c>
      <c r="F502" s="27" t="n">
        <v>25</v>
      </c>
      <c r="G502" s="27">
        <f>A502*$B$7&gt;=$B$9</f>
        <v/>
      </c>
      <c r="H502" s="13">
        <f>$B$7*(A502*E$71+B502*F$71+C502*G$71+D502*H$71)+F502/100*$B$7*J$71-$C$71</f>
        <v/>
      </c>
      <c r="I502" s="13">
        <f>$B$7*(A502*L$71+B502*M$71+C502*N$71+D502*O$71)+F502/100*$B$7*Q$71-$C$71</f>
        <v/>
      </c>
      <c r="J502" s="13">
        <f>$B$7*(A502*S$71+B502*T$71+C502*U$71+D502*V$71)+F502/100*$B$7*X$71-$C$71</f>
        <v/>
      </c>
      <c r="K502" s="13">
        <f>$B$7*(A502*Z$71+B502*AA$71+C502*AB$71+D502*AC$71)+F502/100*$B$7*AE$71-$C$71</f>
        <v/>
      </c>
      <c r="L502" s="13">
        <f>$B$7*(A502*AG$71+B502*AH$71+C502*AI$71+D502*AJ$71)+F502/100*$B$7*AL$71-$C$71</f>
        <v/>
      </c>
      <c r="M502" s="13">
        <f>$B$7*(A502*AN$71+B502*AO$71+C502*AP$71+D502*AQ$71)+F502/100*$B$7*AS$71-$C$71</f>
        <v/>
      </c>
      <c r="N502" s="13">
        <f>SUMPRODUCT($H$24:$M$24,H502:M502)</f>
        <v/>
      </c>
      <c r="O502" s="14">
        <f>SQRT(SUMPRODUCT($H$24:$M$24,(H502:M502-N502)^2))</f>
        <v/>
      </c>
      <c r="P502" s="13">
        <f>MIN(H502:M502)</f>
        <v/>
      </c>
      <c r="Q502" s="13">
        <f>MAX(H502:M502)</f>
        <v/>
      </c>
      <c r="R502" s="27">
        <f>IF(G502,SUMPRODUCT(($G$76:$G$1505)*($N$76:$N$1505&gt;=N502)*($O$76:$O$1505&lt;=O502))=1,FALSE)</f>
        <v/>
      </c>
      <c r="S502" s="16">
        <f>IF(R502,ABS((O502-$AC$76)/MAX(0.0001,$AC$77-$AC$76)-(N502-$AC$78)/MAX(0.0001,$AC$79-$AC$78)),-1)</f>
        <v/>
      </c>
      <c r="T502" s="14">
        <f>IF(G502,O502,NA())</f>
        <v/>
      </c>
      <c r="U502" s="13">
        <f>IF(G502,N502,NA())</f>
        <v/>
      </c>
      <c r="V502" s="14">
        <f>IF(R502,O502,NA())</f>
        <v/>
      </c>
      <c r="W502" s="13">
        <f>IF(R502,N502,NA())</f>
        <v/>
      </c>
      <c r="X502" s="27">
        <f>IF(G502,P502,"")</f>
        <v/>
      </c>
      <c r="Y502" s="27">
        <f>IF(G502,N502,"")</f>
        <v/>
      </c>
      <c r="Z502" s="27">
        <f>IF(R502,O502,"")</f>
        <v/>
      </c>
      <c r="AA502" s="27">
        <f>IF(R502,N502,"")</f>
        <v/>
      </c>
    </row>
    <row r="503">
      <c r="A503" s="31" t="n">
        <v>0.1</v>
      </c>
      <c r="B503" s="31" t="n">
        <v>0.2</v>
      </c>
      <c r="C503" s="31" t="n">
        <v>0</v>
      </c>
      <c r="D503" s="31" t="n">
        <v>0.7</v>
      </c>
      <c r="E503" s="27" t="inlineStr">
        <is>
          <t>ON 10%/1M 20%/3M 70%</t>
        </is>
      </c>
      <c r="F503" s="27" t="n">
        <v>50</v>
      </c>
      <c r="G503" s="27">
        <f>A503*$B$7&gt;=$B$9</f>
        <v/>
      </c>
      <c r="H503" s="13">
        <f>$B$7*(A503*E$71+B503*F$71+C503*G$71+D503*H$71)+F503/100*$B$7*J$71-$C$71</f>
        <v/>
      </c>
      <c r="I503" s="13">
        <f>$B$7*(A503*L$71+B503*M$71+C503*N$71+D503*O$71)+F503/100*$B$7*Q$71-$C$71</f>
        <v/>
      </c>
      <c r="J503" s="13">
        <f>$B$7*(A503*S$71+B503*T$71+C503*U$71+D503*V$71)+F503/100*$B$7*X$71-$C$71</f>
        <v/>
      </c>
      <c r="K503" s="13">
        <f>$B$7*(A503*Z$71+B503*AA$71+C503*AB$71+D503*AC$71)+F503/100*$B$7*AE$71-$C$71</f>
        <v/>
      </c>
      <c r="L503" s="13">
        <f>$B$7*(A503*AG$71+B503*AH$71+C503*AI$71+D503*AJ$71)+F503/100*$B$7*AL$71-$C$71</f>
        <v/>
      </c>
      <c r="M503" s="13">
        <f>$B$7*(A503*AN$71+B503*AO$71+C503*AP$71+D503*AQ$71)+F503/100*$B$7*AS$71-$C$71</f>
        <v/>
      </c>
      <c r="N503" s="13">
        <f>SUMPRODUCT($H$24:$M$24,H503:M503)</f>
        <v/>
      </c>
      <c r="O503" s="14">
        <f>SQRT(SUMPRODUCT($H$24:$M$24,(H503:M503-N503)^2))</f>
        <v/>
      </c>
      <c r="P503" s="13">
        <f>MIN(H503:M503)</f>
        <v/>
      </c>
      <c r="Q503" s="13">
        <f>MAX(H503:M503)</f>
        <v/>
      </c>
      <c r="R503" s="27">
        <f>IF(G503,SUMPRODUCT(($G$76:$G$1505)*($N$76:$N$1505&gt;=N503)*($O$76:$O$1505&lt;=O503))=1,FALSE)</f>
        <v/>
      </c>
      <c r="S503" s="16">
        <f>IF(R503,ABS((O503-$AC$76)/MAX(0.0001,$AC$77-$AC$76)-(N503-$AC$78)/MAX(0.0001,$AC$79-$AC$78)),-1)</f>
        <v/>
      </c>
      <c r="T503" s="14">
        <f>IF(G503,O503,NA())</f>
        <v/>
      </c>
      <c r="U503" s="13">
        <f>IF(G503,N503,NA())</f>
        <v/>
      </c>
      <c r="V503" s="14">
        <f>IF(R503,O503,NA())</f>
        <v/>
      </c>
      <c r="W503" s="13">
        <f>IF(R503,N503,NA())</f>
        <v/>
      </c>
      <c r="X503" s="27">
        <f>IF(G503,P503,"")</f>
        <v/>
      </c>
      <c r="Y503" s="27">
        <f>IF(G503,N503,"")</f>
        <v/>
      </c>
      <c r="Z503" s="27">
        <f>IF(R503,O503,"")</f>
        <v/>
      </c>
      <c r="AA503" s="27">
        <f>IF(R503,N503,"")</f>
        <v/>
      </c>
    </row>
    <row r="504">
      <c r="A504" s="31" t="n">
        <v>0.1</v>
      </c>
      <c r="B504" s="31" t="n">
        <v>0.2</v>
      </c>
      <c r="C504" s="31" t="n">
        <v>0</v>
      </c>
      <c r="D504" s="31" t="n">
        <v>0.7</v>
      </c>
      <c r="E504" s="27" t="inlineStr">
        <is>
          <t>ON 10%/1M 20%/3M 70%</t>
        </is>
      </c>
      <c r="F504" s="27" t="n">
        <v>75</v>
      </c>
      <c r="G504" s="27">
        <f>A504*$B$7&gt;=$B$9</f>
        <v/>
      </c>
      <c r="H504" s="13">
        <f>$B$7*(A504*E$71+B504*F$71+C504*G$71+D504*H$71)+F504/100*$B$7*J$71-$C$71</f>
        <v/>
      </c>
      <c r="I504" s="13">
        <f>$B$7*(A504*L$71+B504*M$71+C504*N$71+D504*O$71)+F504/100*$B$7*Q$71-$C$71</f>
        <v/>
      </c>
      <c r="J504" s="13">
        <f>$B$7*(A504*S$71+B504*T$71+C504*U$71+D504*V$71)+F504/100*$B$7*X$71-$C$71</f>
        <v/>
      </c>
      <c r="K504" s="13">
        <f>$B$7*(A504*Z$71+B504*AA$71+C504*AB$71+D504*AC$71)+F504/100*$B$7*AE$71-$C$71</f>
        <v/>
      </c>
      <c r="L504" s="13">
        <f>$B$7*(A504*AG$71+B504*AH$71+C504*AI$71+D504*AJ$71)+F504/100*$B$7*AL$71-$C$71</f>
        <v/>
      </c>
      <c r="M504" s="13">
        <f>$B$7*(A504*AN$71+B504*AO$71+C504*AP$71+D504*AQ$71)+F504/100*$B$7*AS$71-$C$71</f>
        <v/>
      </c>
      <c r="N504" s="13">
        <f>SUMPRODUCT($H$24:$M$24,H504:M504)</f>
        <v/>
      </c>
      <c r="O504" s="14">
        <f>SQRT(SUMPRODUCT($H$24:$M$24,(H504:M504-N504)^2))</f>
        <v/>
      </c>
      <c r="P504" s="13">
        <f>MIN(H504:M504)</f>
        <v/>
      </c>
      <c r="Q504" s="13">
        <f>MAX(H504:M504)</f>
        <v/>
      </c>
      <c r="R504" s="27">
        <f>IF(G504,SUMPRODUCT(($G$76:$G$1505)*($N$76:$N$1505&gt;=N504)*($O$76:$O$1505&lt;=O504))=1,FALSE)</f>
        <v/>
      </c>
      <c r="S504" s="16">
        <f>IF(R504,ABS((O504-$AC$76)/MAX(0.0001,$AC$77-$AC$76)-(N504-$AC$78)/MAX(0.0001,$AC$79-$AC$78)),-1)</f>
        <v/>
      </c>
      <c r="T504" s="14">
        <f>IF(G504,O504,NA())</f>
        <v/>
      </c>
      <c r="U504" s="13">
        <f>IF(G504,N504,NA())</f>
        <v/>
      </c>
      <c r="V504" s="14">
        <f>IF(R504,O504,NA())</f>
        <v/>
      </c>
      <c r="W504" s="13">
        <f>IF(R504,N504,NA())</f>
        <v/>
      </c>
      <c r="X504" s="27">
        <f>IF(G504,P504,"")</f>
        <v/>
      </c>
      <c r="Y504" s="27">
        <f>IF(G504,N504,"")</f>
        <v/>
      </c>
      <c r="Z504" s="27">
        <f>IF(R504,O504,"")</f>
        <v/>
      </c>
      <c r="AA504" s="27">
        <f>IF(R504,N504,"")</f>
        <v/>
      </c>
    </row>
    <row r="505">
      <c r="A505" s="31" t="n">
        <v>0.1</v>
      </c>
      <c r="B505" s="31" t="n">
        <v>0.2</v>
      </c>
      <c r="C505" s="31" t="n">
        <v>0</v>
      </c>
      <c r="D505" s="31" t="n">
        <v>0.7</v>
      </c>
      <c r="E505" s="27" t="inlineStr">
        <is>
          <t>ON 10%/1M 20%/3M 70%</t>
        </is>
      </c>
      <c r="F505" s="27" t="n">
        <v>100</v>
      </c>
      <c r="G505" s="27">
        <f>A505*$B$7&gt;=$B$9</f>
        <v/>
      </c>
      <c r="H505" s="13">
        <f>$B$7*(A505*E$71+B505*F$71+C505*G$71+D505*H$71)+F505/100*$B$7*J$71-$C$71</f>
        <v/>
      </c>
      <c r="I505" s="13">
        <f>$B$7*(A505*L$71+B505*M$71+C505*N$71+D505*O$71)+F505/100*$B$7*Q$71-$C$71</f>
        <v/>
      </c>
      <c r="J505" s="13">
        <f>$B$7*(A505*S$71+B505*T$71+C505*U$71+D505*V$71)+F505/100*$B$7*X$71-$C$71</f>
        <v/>
      </c>
      <c r="K505" s="13">
        <f>$B$7*(A505*Z$71+B505*AA$71+C505*AB$71+D505*AC$71)+F505/100*$B$7*AE$71-$C$71</f>
        <v/>
      </c>
      <c r="L505" s="13">
        <f>$B$7*(A505*AG$71+B505*AH$71+C505*AI$71+D505*AJ$71)+F505/100*$B$7*AL$71-$C$71</f>
        <v/>
      </c>
      <c r="M505" s="13">
        <f>$B$7*(A505*AN$71+B505*AO$71+C505*AP$71+D505*AQ$71)+F505/100*$B$7*AS$71-$C$71</f>
        <v/>
      </c>
      <c r="N505" s="13">
        <f>SUMPRODUCT($H$24:$M$24,H505:M505)</f>
        <v/>
      </c>
      <c r="O505" s="14">
        <f>SQRT(SUMPRODUCT($H$24:$M$24,(H505:M505-N505)^2))</f>
        <v/>
      </c>
      <c r="P505" s="13">
        <f>MIN(H505:M505)</f>
        <v/>
      </c>
      <c r="Q505" s="13">
        <f>MAX(H505:M505)</f>
        <v/>
      </c>
      <c r="R505" s="27">
        <f>IF(G505,SUMPRODUCT(($G$76:$G$1505)*($N$76:$N$1505&gt;=N505)*($O$76:$O$1505&lt;=O505))=1,FALSE)</f>
        <v/>
      </c>
      <c r="S505" s="16">
        <f>IF(R505,ABS((O505-$AC$76)/MAX(0.0001,$AC$77-$AC$76)-(N505-$AC$78)/MAX(0.0001,$AC$79-$AC$78)),-1)</f>
        <v/>
      </c>
      <c r="T505" s="14">
        <f>IF(G505,O505,NA())</f>
        <v/>
      </c>
      <c r="U505" s="13">
        <f>IF(G505,N505,NA())</f>
        <v/>
      </c>
      <c r="V505" s="14">
        <f>IF(R505,O505,NA())</f>
        <v/>
      </c>
      <c r="W505" s="13">
        <f>IF(R505,N505,NA())</f>
        <v/>
      </c>
      <c r="X505" s="27">
        <f>IF(G505,P505,"")</f>
        <v/>
      </c>
      <c r="Y505" s="27">
        <f>IF(G505,N505,"")</f>
        <v/>
      </c>
      <c r="Z505" s="27">
        <f>IF(R505,O505,"")</f>
        <v/>
      </c>
      <c r="AA505" s="27">
        <f>IF(R505,N505,"")</f>
        <v/>
      </c>
    </row>
    <row r="506">
      <c r="A506" s="31" t="n">
        <v>0.1</v>
      </c>
      <c r="B506" s="31" t="n">
        <v>0.2</v>
      </c>
      <c r="C506" s="31" t="n">
        <v>0.1</v>
      </c>
      <c r="D506" s="31" t="n">
        <v>0.6</v>
      </c>
      <c r="E506" s="27" t="inlineStr">
        <is>
          <t>ON 10%/1M 20%/2M 10%/3M 60%</t>
        </is>
      </c>
      <c r="F506" s="27" t="n">
        <v>0</v>
      </c>
      <c r="G506" s="27">
        <f>A506*$B$7&gt;=$B$9</f>
        <v/>
      </c>
      <c r="H506" s="13">
        <f>$B$7*(A506*E$71+B506*F$71+C506*G$71+D506*H$71)+F506/100*$B$7*J$71-$C$71</f>
        <v/>
      </c>
      <c r="I506" s="13">
        <f>$B$7*(A506*L$71+B506*M$71+C506*N$71+D506*O$71)+F506/100*$B$7*Q$71-$C$71</f>
        <v/>
      </c>
      <c r="J506" s="13">
        <f>$B$7*(A506*S$71+B506*T$71+C506*U$71+D506*V$71)+F506/100*$B$7*X$71-$C$71</f>
        <v/>
      </c>
      <c r="K506" s="13">
        <f>$B$7*(A506*Z$71+B506*AA$71+C506*AB$71+D506*AC$71)+F506/100*$B$7*AE$71-$C$71</f>
        <v/>
      </c>
      <c r="L506" s="13">
        <f>$B$7*(A506*AG$71+B506*AH$71+C506*AI$71+D506*AJ$71)+F506/100*$B$7*AL$71-$C$71</f>
        <v/>
      </c>
      <c r="M506" s="13">
        <f>$B$7*(A506*AN$71+B506*AO$71+C506*AP$71+D506*AQ$71)+F506/100*$B$7*AS$71-$C$71</f>
        <v/>
      </c>
      <c r="N506" s="13">
        <f>SUMPRODUCT($H$24:$M$24,H506:M506)</f>
        <v/>
      </c>
      <c r="O506" s="14">
        <f>SQRT(SUMPRODUCT($H$24:$M$24,(H506:M506-N506)^2))</f>
        <v/>
      </c>
      <c r="P506" s="13">
        <f>MIN(H506:M506)</f>
        <v/>
      </c>
      <c r="Q506" s="13">
        <f>MAX(H506:M506)</f>
        <v/>
      </c>
      <c r="R506" s="27">
        <f>IF(G506,SUMPRODUCT(($G$76:$G$1505)*($N$76:$N$1505&gt;=N506)*($O$76:$O$1505&lt;=O506))=1,FALSE)</f>
        <v/>
      </c>
      <c r="S506" s="16">
        <f>IF(R506,ABS((O506-$AC$76)/MAX(0.0001,$AC$77-$AC$76)-(N506-$AC$78)/MAX(0.0001,$AC$79-$AC$78)),-1)</f>
        <v/>
      </c>
      <c r="T506" s="14">
        <f>IF(G506,O506,NA())</f>
        <v/>
      </c>
      <c r="U506" s="13">
        <f>IF(G506,N506,NA())</f>
        <v/>
      </c>
      <c r="V506" s="14">
        <f>IF(R506,O506,NA())</f>
        <v/>
      </c>
      <c r="W506" s="13">
        <f>IF(R506,N506,NA())</f>
        <v/>
      </c>
      <c r="X506" s="27">
        <f>IF(G506,P506,"")</f>
        <v/>
      </c>
      <c r="Y506" s="27">
        <f>IF(G506,N506,"")</f>
        <v/>
      </c>
      <c r="Z506" s="27">
        <f>IF(R506,O506,"")</f>
        <v/>
      </c>
      <c r="AA506" s="27">
        <f>IF(R506,N506,"")</f>
        <v/>
      </c>
    </row>
    <row r="507">
      <c r="A507" s="31" t="n">
        <v>0.1</v>
      </c>
      <c r="B507" s="31" t="n">
        <v>0.2</v>
      </c>
      <c r="C507" s="31" t="n">
        <v>0.1</v>
      </c>
      <c r="D507" s="31" t="n">
        <v>0.6</v>
      </c>
      <c r="E507" s="27" t="inlineStr">
        <is>
          <t>ON 10%/1M 20%/2M 10%/3M 60%</t>
        </is>
      </c>
      <c r="F507" s="27" t="n">
        <v>25</v>
      </c>
      <c r="G507" s="27">
        <f>A507*$B$7&gt;=$B$9</f>
        <v/>
      </c>
      <c r="H507" s="13">
        <f>$B$7*(A507*E$71+B507*F$71+C507*G$71+D507*H$71)+F507/100*$B$7*J$71-$C$71</f>
        <v/>
      </c>
      <c r="I507" s="13">
        <f>$B$7*(A507*L$71+B507*M$71+C507*N$71+D507*O$71)+F507/100*$B$7*Q$71-$C$71</f>
        <v/>
      </c>
      <c r="J507" s="13">
        <f>$B$7*(A507*S$71+B507*T$71+C507*U$71+D507*V$71)+F507/100*$B$7*X$71-$C$71</f>
        <v/>
      </c>
      <c r="K507" s="13">
        <f>$B$7*(A507*Z$71+B507*AA$71+C507*AB$71+D507*AC$71)+F507/100*$B$7*AE$71-$C$71</f>
        <v/>
      </c>
      <c r="L507" s="13">
        <f>$B$7*(A507*AG$71+B507*AH$71+C507*AI$71+D507*AJ$71)+F507/100*$B$7*AL$71-$C$71</f>
        <v/>
      </c>
      <c r="M507" s="13">
        <f>$B$7*(A507*AN$71+B507*AO$71+C507*AP$71+D507*AQ$71)+F507/100*$B$7*AS$71-$C$71</f>
        <v/>
      </c>
      <c r="N507" s="13">
        <f>SUMPRODUCT($H$24:$M$24,H507:M507)</f>
        <v/>
      </c>
      <c r="O507" s="14">
        <f>SQRT(SUMPRODUCT($H$24:$M$24,(H507:M507-N507)^2))</f>
        <v/>
      </c>
      <c r="P507" s="13">
        <f>MIN(H507:M507)</f>
        <v/>
      </c>
      <c r="Q507" s="13">
        <f>MAX(H507:M507)</f>
        <v/>
      </c>
      <c r="R507" s="27">
        <f>IF(G507,SUMPRODUCT(($G$76:$G$1505)*($N$76:$N$1505&gt;=N507)*($O$76:$O$1505&lt;=O507))=1,FALSE)</f>
        <v/>
      </c>
      <c r="S507" s="16">
        <f>IF(R507,ABS((O507-$AC$76)/MAX(0.0001,$AC$77-$AC$76)-(N507-$AC$78)/MAX(0.0001,$AC$79-$AC$78)),-1)</f>
        <v/>
      </c>
      <c r="T507" s="14">
        <f>IF(G507,O507,NA())</f>
        <v/>
      </c>
      <c r="U507" s="13">
        <f>IF(G507,N507,NA())</f>
        <v/>
      </c>
      <c r="V507" s="14">
        <f>IF(R507,O507,NA())</f>
        <v/>
      </c>
      <c r="W507" s="13">
        <f>IF(R507,N507,NA())</f>
        <v/>
      </c>
      <c r="X507" s="27">
        <f>IF(G507,P507,"")</f>
        <v/>
      </c>
      <c r="Y507" s="27">
        <f>IF(G507,N507,"")</f>
        <v/>
      </c>
      <c r="Z507" s="27">
        <f>IF(R507,O507,"")</f>
        <v/>
      </c>
      <c r="AA507" s="27">
        <f>IF(R507,N507,"")</f>
        <v/>
      </c>
    </row>
    <row r="508">
      <c r="A508" s="31" t="n">
        <v>0.1</v>
      </c>
      <c r="B508" s="31" t="n">
        <v>0.2</v>
      </c>
      <c r="C508" s="31" t="n">
        <v>0.1</v>
      </c>
      <c r="D508" s="31" t="n">
        <v>0.6</v>
      </c>
      <c r="E508" s="27" t="inlineStr">
        <is>
          <t>ON 10%/1M 20%/2M 10%/3M 60%</t>
        </is>
      </c>
      <c r="F508" s="27" t="n">
        <v>50</v>
      </c>
      <c r="G508" s="27">
        <f>A508*$B$7&gt;=$B$9</f>
        <v/>
      </c>
      <c r="H508" s="13">
        <f>$B$7*(A508*E$71+B508*F$71+C508*G$71+D508*H$71)+F508/100*$B$7*J$71-$C$71</f>
        <v/>
      </c>
      <c r="I508" s="13">
        <f>$B$7*(A508*L$71+B508*M$71+C508*N$71+D508*O$71)+F508/100*$B$7*Q$71-$C$71</f>
        <v/>
      </c>
      <c r="J508" s="13">
        <f>$B$7*(A508*S$71+B508*T$71+C508*U$71+D508*V$71)+F508/100*$B$7*X$71-$C$71</f>
        <v/>
      </c>
      <c r="K508" s="13">
        <f>$B$7*(A508*Z$71+B508*AA$71+C508*AB$71+D508*AC$71)+F508/100*$B$7*AE$71-$C$71</f>
        <v/>
      </c>
      <c r="L508" s="13">
        <f>$B$7*(A508*AG$71+B508*AH$71+C508*AI$71+D508*AJ$71)+F508/100*$B$7*AL$71-$C$71</f>
        <v/>
      </c>
      <c r="M508" s="13">
        <f>$B$7*(A508*AN$71+B508*AO$71+C508*AP$71+D508*AQ$71)+F508/100*$B$7*AS$71-$C$71</f>
        <v/>
      </c>
      <c r="N508" s="13">
        <f>SUMPRODUCT($H$24:$M$24,H508:M508)</f>
        <v/>
      </c>
      <c r="O508" s="14">
        <f>SQRT(SUMPRODUCT($H$24:$M$24,(H508:M508-N508)^2))</f>
        <v/>
      </c>
      <c r="P508" s="13">
        <f>MIN(H508:M508)</f>
        <v/>
      </c>
      <c r="Q508" s="13">
        <f>MAX(H508:M508)</f>
        <v/>
      </c>
      <c r="R508" s="27">
        <f>IF(G508,SUMPRODUCT(($G$76:$G$1505)*($N$76:$N$1505&gt;=N508)*($O$76:$O$1505&lt;=O508))=1,FALSE)</f>
        <v/>
      </c>
      <c r="S508" s="16">
        <f>IF(R508,ABS((O508-$AC$76)/MAX(0.0001,$AC$77-$AC$76)-(N508-$AC$78)/MAX(0.0001,$AC$79-$AC$78)),-1)</f>
        <v/>
      </c>
      <c r="T508" s="14">
        <f>IF(G508,O508,NA())</f>
        <v/>
      </c>
      <c r="U508" s="13">
        <f>IF(G508,N508,NA())</f>
        <v/>
      </c>
      <c r="V508" s="14">
        <f>IF(R508,O508,NA())</f>
        <v/>
      </c>
      <c r="W508" s="13">
        <f>IF(R508,N508,NA())</f>
        <v/>
      </c>
      <c r="X508" s="27">
        <f>IF(G508,P508,"")</f>
        <v/>
      </c>
      <c r="Y508" s="27">
        <f>IF(G508,N508,"")</f>
        <v/>
      </c>
      <c r="Z508" s="27">
        <f>IF(R508,O508,"")</f>
        <v/>
      </c>
      <c r="AA508" s="27">
        <f>IF(R508,N508,"")</f>
        <v/>
      </c>
    </row>
    <row r="509">
      <c r="A509" s="31" t="n">
        <v>0.1</v>
      </c>
      <c r="B509" s="31" t="n">
        <v>0.2</v>
      </c>
      <c r="C509" s="31" t="n">
        <v>0.1</v>
      </c>
      <c r="D509" s="31" t="n">
        <v>0.6</v>
      </c>
      <c r="E509" s="27" t="inlineStr">
        <is>
          <t>ON 10%/1M 20%/2M 10%/3M 60%</t>
        </is>
      </c>
      <c r="F509" s="27" t="n">
        <v>75</v>
      </c>
      <c r="G509" s="27">
        <f>A509*$B$7&gt;=$B$9</f>
        <v/>
      </c>
      <c r="H509" s="13">
        <f>$B$7*(A509*E$71+B509*F$71+C509*G$71+D509*H$71)+F509/100*$B$7*J$71-$C$71</f>
        <v/>
      </c>
      <c r="I509" s="13">
        <f>$B$7*(A509*L$71+B509*M$71+C509*N$71+D509*O$71)+F509/100*$B$7*Q$71-$C$71</f>
        <v/>
      </c>
      <c r="J509" s="13">
        <f>$B$7*(A509*S$71+B509*T$71+C509*U$71+D509*V$71)+F509/100*$B$7*X$71-$C$71</f>
        <v/>
      </c>
      <c r="K509" s="13">
        <f>$B$7*(A509*Z$71+B509*AA$71+C509*AB$71+D509*AC$71)+F509/100*$B$7*AE$71-$C$71</f>
        <v/>
      </c>
      <c r="L509" s="13">
        <f>$B$7*(A509*AG$71+B509*AH$71+C509*AI$71+D509*AJ$71)+F509/100*$B$7*AL$71-$C$71</f>
        <v/>
      </c>
      <c r="M509" s="13">
        <f>$B$7*(A509*AN$71+B509*AO$71+C509*AP$71+D509*AQ$71)+F509/100*$B$7*AS$71-$C$71</f>
        <v/>
      </c>
      <c r="N509" s="13">
        <f>SUMPRODUCT($H$24:$M$24,H509:M509)</f>
        <v/>
      </c>
      <c r="O509" s="14">
        <f>SQRT(SUMPRODUCT($H$24:$M$24,(H509:M509-N509)^2))</f>
        <v/>
      </c>
      <c r="P509" s="13">
        <f>MIN(H509:M509)</f>
        <v/>
      </c>
      <c r="Q509" s="13">
        <f>MAX(H509:M509)</f>
        <v/>
      </c>
      <c r="R509" s="27">
        <f>IF(G509,SUMPRODUCT(($G$76:$G$1505)*($N$76:$N$1505&gt;=N509)*($O$76:$O$1505&lt;=O509))=1,FALSE)</f>
        <v/>
      </c>
      <c r="S509" s="16">
        <f>IF(R509,ABS((O509-$AC$76)/MAX(0.0001,$AC$77-$AC$76)-(N509-$AC$78)/MAX(0.0001,$AC$79-$AC$78)),-1)</f>
        <v/>
      </c>
      <c r="T509" s="14">
        <f>IF(G509,O509,NA())</f>
        <v/>
      </c>
      <c r="U509" s="13">
        <f>IF(G509,N509,NA())</f>
        <v/>
      </c>
      <c r="V509" s="14">
        <f>IF(R509,O509,NA())</f>
        <v/>
      </c>
      <c r="W509" s="13">
        <f>IF(R509,N509,NA())</f>
        <v/>
      </c>
      <c r="X509" s="27">
        <f>IF(G509,P509,"")</f>
        <v/>
      </c>
      <c r="Y509" s="27">
        <f>IF(G509,N509,"")</f>
        <v/>
      </c>
      <c r="Z509" s="27">
        <f>IF(R509,O509,"")</f>
        <v/>
      </c>
      <c r="AA509" s="27">
        <f>IF(R509,N509,"")</f>
        <v/>
      </c>
    </row>
    <row r="510">
      <c r="A510" s="31" t="n">
        <v>0.1</v>
      </c>
      <c r="B510" s="31" t="n">
        <v>0.2</v>
      </c>
      <c r="C510" s="31" t="n">
        <v>0.1</v>
      </c>
      <c r="D510" s="31" t="n">
        <v>0.6</v>
      </c>
      <c r="E510" s="27" t="inlineStr">
        <is>
          <t>ON 10%/1M 20%/2M 10%/3M 60%</t>
        </is>
      </c>
      <c r="F510" s="27" t="n">
        <v>100</v>
      </c>
      <c r="G510" s="27">
        <f>A510*$B$7&gt;=$B$9</f>
        <v/>
      </c>
      <c r="H510" s="13">
        <f>$B$7*(A510*E$71+B510*F$71+C510*G$71+D510*H$71)+F510/100*$B$7*J$71-$C$71</f>
        <v/>
      </c>
      <c r="I510" s="13">
        <f>$B$7*(A510*L$71+B510*M$71+C510*N$71+D510*O$71)+F510/100*$B$7*Q$71-$C$71</f>
        <v/>
      </c>
      <c r="J510" s="13">
        <f>$B$7*(A510*S$71+B510*T$71+C510*U$71+D510*V$71)+F510/100*$B$7*X$71-$C$71</f>
        <v/>
      </c>
      <c r="K510" s="13">
        <f>$B$7*(A510*Z$71+B510*AA$71+C510*AB$71+D510*AC$71)+F510/100*$B$7*AE$71-$C$71</f>
        <v/>
      </c>
      <c r="L510" s="13">
        <f>$B$7*(A510*AG$71+B510*AH$71+C510*AI$71+D510*AJ$71)+F510/100*$B$7*AL$71-$C$71</f>
        <v/>
      </c>
      <c r="M510" s="13">
        <f>$B$7*(A510*AN$71+B510*AO$71+C510*AP$71+D510*AQ$71)+F510/100*$B$7*AS$71-$C$71</f>
        <v/>
      </c>
      <c r="N510" s="13">
        <f>SUMPRODUCT($H$24:$M$24,H510:M510)</f>
        <v/>
      </c>
      <c r="O510" s="14">
        <f>SQRT(SUMPRODUCT($H$24:$M$24,(H510:M510-N510)^2))</f>
        <v/>
      </c>
      <c r="P510" s="13">
        <f>MIN(H510:M510)</f>
        <v/>
      </c>
      <c r="Q510" s="13">
        <f>MAX(H510:M510)</f>
        <v/>
      </c>
      <c r="R510" s="27">
        <f>IF(G510,SUMPRODUCT(($G$76:$G$1505)*($N$76:$N$1505&gt;=N510)*($O$76:$O$1505&lt;=O510))=1,FALSE)</f>
        <v/>
      </c>
      <c r="S510" s="16">
        <f>IF(R510,ABS((O510-$AC$76)/MAX(0.0001,$AC$77-$AC$76)-(N510-$AC$78)/MAX(0.0001,$AC$79-$AC$78)),-1)</f>
        <v/>
      </c>
      <c r="T510" s="14">
        <f>IF(G510,O510,NA())</f>
        <v/>
      </c>
      <c r="U510" s="13">
        <f>IF(G510,N510,NA())</f>
        <v/>
      </c>
      <c r="V510" s="14">
        <f>IF(R510,O510,NA())</f>
        <v/>
      </c>
      <c r="W510" s="13">
        <f>IF(R510,N510,NA())</f>
        <v/>
      </c>
      <c r="X510" s="27">
        <f>IF(G510,P510,"")</f>
        <v/>
      </c>
      <c r="Y510" s="27">
        <f>IF(G510,N510,"")</f>
        <v/>
      </c>
      <c r="Z510" s="27">
        <f>IF(R510,O510,"")</f>
        <v/>
      </c>
      <c r="AA510" s="27">
        <f>IF(R510,N510,"")</f>
        <v/>
      </c>
    </row>
    <row r="511">
      <c r="A511" s="31" t="n">
        <v>0.1</v>
      </c>
      <c r="B511" s="31" t="n">
        <v>0.2</v>
      </c>
      <c r="C511" s="31" t="n">
        <v>0.2</v>
      </c>
      <c r="D511" s="31" t="n">
        <v>0.5</v>
      </c>
      <c r="E511" s="27" t="inlineStr">
        <is>
          <t>ON 10%/1M 20%/2M 20%/3M 50%</t>
        </is>
      </c>
      <c r="F511" s="27" t="n">
        <v>0</v>
      </c>
      <c r="G511" s="27">
        <f>A511*$B$7&gt;=$B$9</f>
        <v/>
      </c>
      <c r="H511" s="13">
        <f>$B$7*(A511*E$71+B511*F$71+C511*G$71+D511*H$71)+F511/100*$B$7*J$71-$C$71</f>
        <v/>
      </c>
      <c r="I511" s="13">
        <f>$B$7*(A511*L$71+B511*M$71+C511*N$71+D511*O$71)+F511/100*$B$7*Q$71-$C$71</f>
        <v/>
      </c>
      <c r="J511" s="13">
        <f>$B$7*(A511*S$71+B511*T$71+C511*U$71+D511*V$71)+F511/100*$B$7*X$71-$C$71</f>
        <v/>
      </c>
      <c r="K511" s="13">
        <f>$B$7*(A511*Z$71+B511*AA$71+C511*AB$71+D511*AC$71)+F511/100*$B$7*AE$71-$C$71</f>
        <v/>
      </c>
      <c r="L511" s="13">
        <f>$B$7*(A511*AG$71+B511*AH$71+C511*AI$71+D511*AJ$71)+F511/100*$B$7*AL$71-$C$71</f>
        <v/>
      </c>
      <c r="M511" s="13">
        <f>$B$7*(A511*AN$71+B511*AO$71+C511*AP$71+D511*AQ$71)+F511/100*$B$7*AS$71-$C$71</f>
        <v/>
      </c>
      <c r="N511" s="13">
        <f>SUMPRODUCT($H$24:$M$24,H511:M511)</f>
        <v/>
      </c>
      <c r="O511" s="14">
        <f>SQRT(SUMPRODUCT($H$24:$M$24,(H511:M511-N511)^2))</f>
        <v/>
      </c>
      <c r="P511" s="13">
        <f>MIN(H511:M511)</f>
        <v/>
      </c>
      <c r="Q511" s="13">
        <f>MAX(H511:M511)</f>
        <v/>
      </c>
      <c r="R511" s="27">
        <f>IF(G511,SUMPRODUCT(($G$76:$G$1505)*($N$76:$N$1505&gt;=N511)*($O$76:$O$1505&lt;=O511))=1,FALSE)</f>
        <v/>
      </c>
      <c r="S511" s="16">
        <f>IF(R511,ABS((O511-$AC$76)/MAX(0.0001,$AC$77-$AC$76)-(N511-$AC$78)/MAX(0.0001,$AC$79-$AC$78)),-1)</f>
        <v/>
      </c>
      <c r="T511" s="14">
        <f>IF(G511,O511,NA())</f>
        <v/>
      </c>
      <c r="U511" s="13">
        <f>IF(G511,N511,NA())</f>
        <v/>
      </c>
      <c r="V511" s="14">
        <f>IF(R511,O511,NA())</f>
        <v/>
      </c>
      <c r="W511" s="13">
        <f>IF(R511,N511,NA())</f>
        <v/>
      </c>
      <c r="X511" s="27">
        <f>IF(G511,P511,"")</f>
        <v/>
      </c>
      <c r="Y511" s="27">
        <f>IF(G511,N511,"")</f>
        <v/>
      </c>
      <c r="Z511" s="27">
        <f>IF(R511,O511,"")</f>
        <v/>
      </c>
      <c r="AA511" s="27">
        <f>IF(R511,N511,"")</f>
        <v/>
      </c>
    </row>
    <row r="512">
      <c r="A512" s="31" t="n">
        <v>0.1</v>
      </c>
      <c r="B512" s="31" t="n">
        <v>0.2</v>
      </c>
      <c r="C512" s="31" t="n">
        <v>0.2</v>
      </c>
      <c r="D512" s="31" t="n">
        <v>0.5</v>
      </c>
      <c r="E512" s="27" t="inlineStr">
        <is>
          <t>ON 10%/1M 20%/2M 20%/3M 50%</t>
        </is>
      </c>
      <c r="F512" s="27" t="n">
        <v>25</v>
      </c>
      <c r="G512" s="27">
        <f>A512*$B$7&gt;=$B$9</f>
        <v/>
      </c>
      <c r="H512" s="13">
        <f>$B$7*(A512*E$71+B512*F$71+C512*G$71+D512*H$71)+F512/100*$B$7*J$71-$C$71</f>
        <v/>
      </c>
      <c r="I512" s="13">
        <f>$B$7*(A512*L$71+B512*M$71+C512*N$71+D512*O$71)+F512/100*$B$7*Q$71-$C$71</f>
        <v/>
      </c>
      <c r="J512" s="13">
        <f>$B$7*(A512*S$71+B512*T$71+C512*U$71+D512*V$71)+F512/100*$B$7*X$71-$C$71</f>
        <v/>
      </c>
      <c r="K512" s="13">
        <f>$B$7*(A512*Z$71+B512*AA$71+C512*AB$71+D512*AC$71)+F512/100*$B$7*AE$71-$C$71</f>
        <v/>
      </c>
      <c r="L512" s="13">
        <f>$B$7*(A512*AG$71+B512*AH$71+C512*AI$71+D512*AJ$71)+F512/100*$B$7*AL$71-$C$71</f>
        <v/>
      </c>
      <c r="M512" s="13">
        <f>$B$7*(A512*AN$71+B512*AO$71+C512*AP$71+D512*AQ$71)+F512/100*$B$7*AS$71-$C$71</f>
        <v/>
      </c>
      <c r="N512" s="13">
        <f>SUMPRODUCT($H$24:$M$24,H512:M512)</f>
        <v/>
      </c>
      <c r="O512" s="14">
        <f>SQRT(SUMPRODUCT($H$24:$M$24,(H512:M512-N512)^2))</f>
        <v/>
      </c>
      <c r="P512" s="13">
        <f>MIN(H512:M512)</f>
        <v/>
      </c>
      <c r="Q512" s="13">
        <f>MAX(H512:M512)</f>
        <v/>
      </c>
      <c r="R512" s="27">
        <f>IF(G512,SUMPRODUCT(($G$76:$G$1505)*($N$76:$N$1505&gt;=N512)*($O$76:$O$1505&lt;=O512))=1,FALSE)</f>
        <v/>
      </c>
      <c r="S512" s="16">
        <f>IF(R512,ABS((O512-$AC$76)/MAX(0.0001,$AC$77-$AC$76)-(N512-$AC$78)/MAX(0.0001,$AC$79-$AC$78)),-1)</f>
        <v/>
      </c>
      <c r="T512" s="14">
        <f>IF(G512,O512,NA())</f>
        <v/>
      </c>
      <c r="U512" s="13">
        <f>IF(G512,N512,NA())</f>
        <v/>
      </c>
      <c r="V512" s="14">
        <f>IF(R512,O512,NA())</f>
        <v/>
      </c>
      <c r="W512" s="13">
        <f>IF(R512,N512,NA())</f>
        <v/>
      </c>
      <c r="X512" s="27">
        <f>IF(G512,P512,"")</f>
        <v/>
      </c>
      <c r="Y512" s="27">
        <f>IF(G512,N512,"")</f>
        <v/>
      </c>
      <c r="Z512" s="27">
        <f>IF(R512,O512,"")</f>
        <v/>
      </c>
      <c r="AA512" s="27">
        <f>IF(R512,N512,"")</f>
        <v/>
      </c>
    </row>
    <row r="513">
      <c r="A513" s="31" t="n">
        <v>0.1</v>
      </c>
      <c r="B513" s="31" t="n">
        <v>0.2</v>
      </c>
      <c r="C513" s="31" t="n">
        <v>0.2</v>
      </c>
      <c r="D513" s="31" t="n">
        <v>0.5</v>
      </c>
      <c r="E513" s="27" t="inlineStr">
        <is>
          <t>ON 10%/1M 20%/2M 20%/3M 50%</t>
        </is>
      </c>
      <c r="F513" s="27" t="n">
        <v>50</v>
      </c>
      <c r="G513" s="27">
        <f>A513*$B$7&gt;=$B$9</f>
        <v/>
      </c>
      <c r="H513" s="13">
        <f>$B$7*(A513*E$71+B513*F$71+C513*G$71+D513*H$71)+F513/100*$B$7*J$71-$C$71</f>
        <v/>
      </c>
      <c r="I513" s="13">
        <f>$B$7*(A513*L$71+B513*M$71+C513*N$71+D513*O$71)+F513/100*$B$7*Q$71-$C$71</f>
        <v/>
      </c>
      <c r="J513" s="13">
        <f>$B$7*(A513*S$71+B513*T$71+C513*U$71+D513*V$71)+F513/100*$B$7*X$71-$C$71</f>
        <v/>
      </c>
      <c r="K513" s="13">
        <f>$B$7*(A513*Z$71+B513*AA$71+C513*AB$71+D513*AC$71)+F513/100*$B$7*AE$71-$C$71</f>
        <v/>
      </c>
      <c r="L513" s="13">
        <f>$B$7*(A513*AG$71+B513*AH$71+C513*AI$71+D513*AJ$71)+F513/100*$B$7*AL$71-$C$71</f>
        <v/>
      </c>
      <c r="M513" s="13">
        <f>$B$7*(A513*AN$71+B513*AO$71+C513*AP$71+D513*AQ$71)+F513/100*$B$7*AS$71-$C$71</f>
        <v/>
      </c>
      <c r="N513" s="13">
        <f>SUMPRODUCT($H$24:$M$24,H513:M513)</f>
        <v/>
      </c>
      <c r="O513" s="14">
        <f>SQRT(SUMPRODUCT($H$24:$M$24,(H513:M513-N513)^2))</f>
        <v/>
      </c>
      <c r="P513" s="13">
        <f>MIN(H513:M513)</f>
        <v/>
      </c>
      <c r="Q513" s="13">
        <f>MAX(H513:M513)</f>
        <v/>
      </c>
      <c r="R513" s="27">
        <f>IF(G513,SUMPRODUCT(($G$76:$G$1505)*($N$76:$N$1505&gt;=N513)*($O$76:$O$1505&lt;=O513))=1,FALSE)</f>
        <v/>
      </c>
      <c r="S513" s="16">
        <f>IF(R513,ABS((O513-$AC$76)/MAX(0.0001,$AC$77-$AC$76)-(N513-$AC$78)/MAX(0.0001,$AC$79-$AC$78)),-1)</f>
        <v/>
      </c>
      <c r="T513" s="14">
        <f>IF(G513,O513,NA())</f>
        <v/>
      </c>
      <c r="U513" s="13">
        <f>IF(G513,N513,NA())</f>
        <v/>
      </c>
      <c r="V513" s="14">
        <f>IF(R513,O513,NA())</f>
        <v/>
      </c>
      <c r="W513" s="13">
        <f>IF(R513,N513,NA())</f>
        <v/>
      </c>
      <c r="X513" s="27">
        <f>IF(G513,P513,"")</f>
        <v/>
      </c>
      <c r="Y513" s="27">
        <f>IF(G513,N513,"")</f>
        <v/>
      </c>
      <c r="Z513" s="27">
        <f>IF(R513,O513,"")</f>
        <v/>
      </c>
      <c r="AA513" s="27">
        <f>IF(R513,N513,"")</f>
        <v/>
      </c>
    </row>
    <row r="514">
      <c r="A514" s="31" t="n">
        <v>0.1</v>
      </c>
      <c r="B514" s="31" t="n">
        <v>0.2</v>
      </c>
      <c r="C514" s="31" t="n">
        <v>0.2</v>
      </c>
      <c r="D514" s="31" t="n">
        <v>0.5</v>
      </c>
      <c r="E514" s="27" t="inlineStr">
        <is>
          <t>ON 10%/1M 20%/2M 20%/3M 50%</t>
        </is>
      </c>
      <c r="F514" s="27" t="n">
        <v>75</v>
      </c>
      <c r="G514" s="27">
        <f>A514*$B$7&gt;=$B$9</f>
        <v/>
      </c>
      <c r="H514" s="13">
        <f>$B$7*(A514*E$71+B514*F$71+C514*G$71+D514*H$71)+F514/100*$B$7*J$71-$C$71</f>
        <v/>
      </c>
      <c r="I514" s="13">
        <f>$B$7*(A514*L$71+B514*M$71+C514*N$71+D514*O$71)+F514/100*$B$7*Q$71-$C$71</f>
        <v/>
      </c>
      <c r="J514" s="13">
        <f>$B$7*(A514*S$71+B514*T$71+C514*U$71+D514*V$71)+F514/100*$B$7*X$71-$C$71</f>
        <v/>
      </c>
      <c r="K514" s="13">
        <f>$B$7*(A514*Z$71+B514*AA$71+C514*AB$71+D514*AC$71)+F514/100*$B$7*AE$71-$C$71</f>
        <v/>
      </c>
      <c r="L514" s="13">
        <f>$B$7*(A514*AG$71+B514*AH$71+C514*AI$71+D514*AJ$71)+F514/100*$B$7*AL$71-$C$71</f>
        <v/>
      </c>
      <c r="M514" s="13">
        <f>$B$7*(A514*AN$71+B514*AO$71+C514*AP$71+D514*AQ$71)+F514/100*$B$7*AS$71-$C$71</f>
        <v/>
      </c>
      <c r="N514" s="13">
        <f>SUMPRODUCT($H$24:$M$24,H514:M514)</f>
        <v/>
      </c>
      <c r="O514" s="14">
        <f>SQRT(SUMPRODUCT($H$24:$M$24,(H514:M514-N514)^2))</f>
        <v/>
      </c>
      <c r="P514" s="13">
        <f>MIN(H514:M514)</f>
        <v/>
      </c>
      <c r="Q514" s="13">
        <f>MAX(H514:M514)</f>
        <v/>
      </c>
      <c r="R514" s="27">
        <f>IF(G514,SUMPRODUCT(($G$76:$G$1505)*($N$76:$N$1505&gt;=N514)*($O$76:$O$1505&lt;=O514))=1,FALSE)</f>
        <v/>
      </c>
      <c r="S514" s="16">
        <f>IF(R514,ABS((O514-$AC$76)/MAX(0.0001,$AC$77-$AC$76)-(N514-$AC$78)/MAX(0.0001,$AC$79-$AC$78)),-1)</f>
        <v/>
      </c>
      <c r="T514" s="14">
        <f>IF(G514,O514,NA())</f>
        <v/>
      </c>
      <c r="U514" s="13">
        <f>IF(G514,N514,NA())</f>
        <v/>
      </c>
      <c r="V514" s="14">
        <f>IF(R514,O514,NA())</f>
        <v/>
      </c>
      <c r="W514" s="13">
        <f>IF(R514,N514,NA())</f>
        <v/>
      </c>
      <c r="X514" s="27">
        <f>IF(G514,P514,"")</f>
        <v/>
      </c>
      <c r="Y514" s="27">
        <f>IF(G514,N514,"")</f>
        <v/>
      </c>
      <c r="Z514" s="27">
        <f>IF(R514,O514,"")</f>
        <v/>
      </c>
      <c r="AA514" s="27">
        <f>IF(R514,N514,"")</f>
        <v/>
      </c>
    </row>
    <row r="515">
      <c r="A515" s="31" t="n">
        <v>0.1</v>
      </c>
      <c r="B515" s="31" t="n">
        <v>0.2</v>
      </c>
      <c r="C515" s="31" t="n">
        <v>0.2</v>
      </c>
      <c r="D515" s="31" t="n">
        <v>0.5</v>
      </c>
      <c r="E515" s="27" t="inlineStr">
        <is>
          <t>ON 10%/1M 20%/2M 20%/3M 50%</t>
        </is>
      </c>
      <c r="F515" s="27" t="n">
        <v>100</v>
      </c>
      <c r="G515" s="27">
        <f>A515*$B$7&gt;=$B$9</f>
        <v/>
      </c>
      <c r="H515" s="13">
        <f>$B$7*(A515*E$71+B515*F$71+C515*G$71+D515*H$71)+F515/100*$B$7*J$71-$C$71</f>
        <v/>
      </c>
      <c r="I515" s="13">
        <f>$B$7*(A515*L$71+B515*M$71+C515*N$71+D515*O$71)+F515/100*$B$7*Q$71-$C$71</f>
        <v/>
      </c>
      <c r="J515" s="13">
        <f>$B$7*(A515*S$71+B515*T$71+C515*U$71+D515*V$71)+F515/100*$B$7*X$71-$C$71</f>
        <v/>
      </c>
      <c r="K515" s="13">
        <f>$B$7*(A515*Z$71+B515*AA$71+C515*AB$71+D515*AC$71)+F515/100*$B$7*AE$71-$C$71</f>
        <v/>
      </c>
      <c r="L515" s="13">
        <f>$B$7*(A515*AG$71+B515*AH$71+C515*AI$71+D515*AJ$71)+F515/100*$B$7*AL$71-$C$71</f>
        <v/>
      </c>
      <c r="M515" s="13">
        <f>$B$7*(A515*AN$71+B515*AO$71+C515*AP$71+D515*AQ$71)+F515/100*$B$7*AS$71-$C$71</f>
        <v/>
      </c>
      <c r="N515" s="13">
        <f>SUMPRODUCT($H$24:$M$24,H515:M515)</f>
        <v/>
      </c>
      <c r="O515" s="14">
        <f>SQRT(SUMPRODUCT($H$24:$M$24,(H515:M515-N515)^2))</f>
        <v/>
      </c>
      <c r="P515" s="13">
        <f>MIN(H515:M515)</f>
        <v/>
      </c>
      <c r="Q515" s="13">
        <f>MAX(H515:M515)</f>
        <v/>
      </c>
      <c r="R515" s="27">
        <f>IF(G515,SUMPRODUCT(($G$76:$G$1505)*($N$76:$N$1505&gt;=N515)*($O$76:$O$1505&lt;=O515))=1,FALSE)</f>
        <v/>
      </c>
      <c r="S515" s="16">
        <f>IF(R515,ABS((O515-$AC$76)/MAX(0.0001,$AC$77-$AC$76)-(N515-$AC$78)/MAX(0.0001,$AC$79-$AC$78)),-1)</f>
        <v/>
      </c>
      <c r="T515" s="14">
        <f>IF(G515,O515,NA())</f>
        <v/>
      </c>
      <c r="U515" s="13">
        <f>IF(G515,N515,NA())</f>
        <v/>
      </c>
      <c r="V515" s="14">
        <f>IF(R515,O515,NA())</f>
        <v/>
      </c>
      <c r="W515" s="13">
        <f>IF(R515,N515,NA())</f>
        <v/>
      </c>
      <c r="X515" s="27">
        <f>IF(G515,P515,"")</f>
        <v/>
      </c>
      <c r="Y515" s="27">
        <f>IF(G515,N515,"")</f>
        <v/>
      </c>
      <c r="Z515" s="27">
        <f>IF(R515,O515,"")</f>
        <v/>
      </c>
      <c r="AA515" s="27">
        <f>IF(R515,N515,"")</f>
        <v/>
      </c>
    </row>
    <row r="516">
      <c r="A516" s="31" t="n">
        <v>0.1</v>
      </c>
      <c r="B516" s="31" t="n">
        <v>0.2</v>
      </c>
      <c r="C516" s="31" t="n">
        <v>0.3</v>
      </c>
      <c r="D516" s="31" t="n">
        <v>0.4</v>
      </c>
      <c r="E516" s="27" t="inlineStr">
        <is>
          <t>ON 10%/1M 20%/2M 30%/3M 40%</t>
        </is>
      </c>
      <c r="F516" s="27" t="n">
        <v>0</v>
      </c>
      <c r="G516" s="27">
        <f>A516*$B$7&gt;=$B$9</f>
        <v/>
      </c>
      <c r="H516" s="13">
        <f>$B$7*(A516*E$71+B516*F$71+C516*G$71+D516*H$71)+F516/100*$B$7*J$71-$C$71</f>
        <v/>
      </c>
      <c r="I516" s="13">
        <f>$B$7*(A516*L$71+B516*M$71+C516*N$71+D516*O$71)+F516/100*$B$7*Q$71-$C$71</f>
        <v/>
      </c>
      <c r="J516" s="13">
        <f>$B$7*(A516*S$71+B516*T$71+C516*U$71+D516*V$71)+F516/100*$B$7*X$71-$C$71</f>
        <v/>
      </c>
      <c r="K516" s="13">
        <f>$B$7*(A516*Z$71+B516*AA$71+C516*AB$71+D516*AC$71)+F516/100*$B$7*AE$71-$C$71</f>
        <v/>
      </c>
      <c r="L516" s="13">
        <f>$B$7*(A516*AG$71+B516*AH$71+C516*AI$71+D516*AJ$71)+F516/100*$B$7*AL$71-$C$71</f>
        <v/>
      </c>
      <c r="M516" s="13">
        <f>$B$7*(A516*AN$71+B516*AO$71+C516*AP$71+D516*AQ$71)+F516/100*$B$7*AS$71-$C$71</f>
        <v/>
      </c>
      <c r="N516" s="13">
        <f>SUMPRODUCT($H$24:$M$24,H516:M516)</f>
        <v/>
      </c>
      <c r="O516" s="14">
        <f>SQRT(SUMPRODUCT($H$24:$M$24,(H516:M516-N516)^2))</f>
        <v/>
      </c>
      <c r="P516" s="13">
        <f>MIN(H516:M516)</f>
        <v/>
      </c>
      <c r="Q516" s="13">
        <f>MAX(H516:M516)</f>
        <v/>
      </c>
      <c r="R516" s="27">
        <f>IF(G516,SUMPRODUCT(($G$76:$G$1505)*($N$76:$N$1505&gt;=N516)*($O$76:$O$1505&lt;=O516))=1,FALSE)</f>
        <v/>
      </c>
      <c r="S516" s="16">
        <f>IF(R516,ABS((O516-$AC$76)/MAX(0.0001,$AC$77-$AC$76)-(N516-$AC$78)/MAX(0.0001,$AC$79-$AC$78)),-1)</f>
        <v/>
      </c>
      <c r="T516" s="14">
        <f>IF(G516,O516,NA())</f>
        <v/>
      </c>
      <c r="U516" s="13">
        <f>IF(G516,N516,NA())</f>
        <v/>
      </c>
      <c r="V516" s="14">
        <f>IF(R516,O516,NA())</f>
        <v/>
      </c>
      <c r="W516" s="13">
        <f>IF(R516,N516,NA())</f>
        <v/>
      </c>
      <c r="X516" s="27">
        <f>IF(G516,P516,"")</f>
        <v/>
      </c>
      <c r="Y516" s="27">
        <f>IF(G516,N516,"")</f>
        <v/>
      </c>
      <c r="Z516" s="27">
        <f>IF(R516,O516,"")</f>
        <v/>
      </c>
      <c r="AA516" s="27">
        <f>IF(R516,N516,"")</f>
        <v/>
      </c>
    </row>
    <row r="517">
      <c r="A517" s="31" t="n">
        <v>0.1</v>
      </c>
      <c r="B517" s="31" t="n">
        <v>0.2</v>
      </c>
      <c r="C517" s="31" t="n">
        <v>0.3</v>
      </c>
      <c r="D517" s="31" t="n">
        <v>0.4</v>
      </c>
      <c r="E517" s="27" t="inlineStr">
        <is>
          <t>ON 10%/1M 20%/2M 30%/3M 40%</t>
        </is>
      </c>
      <c r="F517" s="27" t="n">
        <v>25</v>
      </c>
      <c r="G517" s="27">
        <f>A517*$B$7&gt;=$B$9</f>
        <v/>
      </c>
      <c r="H517" s="13">
        <f>$B$7*(A517*E$71+B517*F$71+C517*G$71+D517*H$71)+F517/100*$B$7*J$71-$C$71</f>
        <v/>
      </c>
      <c r="I517" s="13">
        <f>$B$7*(A517*L$71+B517*M$71+C517*N$71+D517*O$71)+F517/100*$B$7*Q$71-$C$71</f>
        <v/>
      </c>
      <c r="J517" s="13">
        <f>$B$7*(A517*S$71+B517*T$71+C517*U$71+D517*V$71)+F517/100*$B$7*X$71-$C$71</f>
        <v/>
      </c>
      <c r="K517" s="13">
        <f>$B$7*(A517*Z$71+B517*AA$71+C517*AB$71+D517*AC$71)+F517/100*$B$7*AE$71-$C$71</f>
        <v/>
      </c>
      <c r="L517" s="13">
        <f>$B$7*(A517*AG$71+B517*AH$71+C517*AI$71+D517*AJ$71)+F517/100*$B$7*AL$71-$C$71</f>
        <v/>
      </c>
      <c r="M517" s="13">
        <f>$B$7*(A517*AN$71+B517*AO$71+C517*AP$71+D517*AQ$71)+F517/100*$B$7*AS$71-$C$71</f>
        <v/>
      </c>
      <c r="N517" s="13">
        <f>SUMPRODUCT($H$24:$M$24,H517:M517)</f>
        <v/>
      </c>
      <c r="O517" s="14">
        <f>SQRT(SUMPRODUCT($H$24:$M$24,(H517:M517-N517)^2))</f>
        <v/>
      </c>
      <c r="P517" s="13">
        <f>MIN(H517:M517)</f>
        <v/>
      </c>
      <c r="Q517" s="13">
        <f>MAX(H517:M517)</f>
        <v/>
      </c>
      <c r="R517" s="27">
        <f>IF(G517,SUMPRODUCT(($G$76:$G$1505)*($N$76:$N$1505&gt;=N517)*($O$76:$O$1505&lt;=O517))=1,FALSE)</f>
        <v/>
      </c>
      <c r="S517" s="16">
        <f>IF(R517,ABS((O517-$AC$76)/MAX(0.0001,$AC$77-$AC$76)-(N517-$AC$78)/MAX(0.0001,$AC$79-$AC$78)),-1)</f>
        <v/>
      </c>
      <c r="T517" s="14">
        <f>IF(G517,O517,NA())</f>
        <v/>
      </c>
      <c r="U517" s="13">
        <f>IF(G517,N517,NA())</f>
        <v/>
      </c>
      <c r="V517" s="14">
        <f>IF(R517,O517,NA())</f>
        <v/>
      </c>
      <c r="W517" s="13">
        <f>IF(R517,N517,NA())</f>
        <v/>
      </c>
      <c r="X517" s="27">
        <f>IF(G517,P517,"")</f>
        <v/>
      </c>
      <c r="Y517" s="27">
        <f>IF(G517,N517,"")</f>
        <v/>
      </c>
      <c r="Z517" s="27">
        <f>IF(R517,O517,"")</f>
        <v/>
      </c>
      <c r="AA517" s="27">
        <f>IF(R517,N517,"")</f>
        <v/>
      </c>
    </row>
    <row r="518">
      <c r="A518" s="31" t="n">
        <v>0.1</v>
      </c>
      <c r="B518" s="31" t="n">
        <v>0.2</v>
      </c>
      <c r="C518" s="31" t="n">
        <v>0.3</v>
      </c>
      <c r="D518" s="31" t="n">
        <v>0.4</v>
      </c>
      <c r="E518" s="27" t="inlineStr">
        <is>
          <t>ON 10%/1M 20%/2M 30%/3M 40%</t>
        </is>
      </c>
      <c r="F518" s="27" t="n">
        <v>50</v>
      </c>
      <c r="G518" s="27">
        <f>A518*$B$7&gt;=$B$9</f>
        <v/>
      </c>
      <c r="H518" s="13">
        <f>$B$7*(A518*E$71+B518*F$71+C518*G$71+D518*H$71)+F518/100*$B$7*J$71-$C$71</f>
        <v/>
      </c>
      <c r="I518" s="13">
        <f>$B$7*(A518*L$71+B518*M$71+C518*N$71+D518*O$71)+F518/100*$B$7*Q$71-$C$71</f>
        <v/>
      </c>
      <c r="J518" s="13">
        <f>$B$7*(A518*S$71+B518*T$71+C518*U$71+D518*V$71)+F518/100*$B$7*X$71-$C$71</f>
        <v/>
      </c>
      <c r="K518" s="13">
        <f>$B$7*(A518*Z$71+B518*AA$71+C518*AB$71+D518*AC$71)+F518/100*$B$7*AE$71-$C$71</f>
        <v/>
      </c>
      <c r="L518" s="13">
        <f>$B$7*(A518*AG$71+B518*AH$71+C518*AI$71+D518*AJ$71)+F518/100*$B$7*AL$71-$C$71</f>
        <v/>
      </c>
      <c r="M518" s="13">
        <f>$B$7*(A518*AN$71+B518*AO$71+C518*AP$71+D518*AQ$71)+F518/100*$B$7*AS$71-$C$71</f>
        <v/>
      </c>
      <c r="N518" s="13">
        <f>SUMPRODUCT($H$24:$M$24,H518:M518)</f>
        <v/>
      </c>
      <c r="O518" s="14">
        <f>SQRT(SUMPRODUCT($H$24:$M$24,(H518:M518-N518)^2))</f>
        <v/>
      </c>
      <c r="P518" s="13">
        <f>MIN(H518:M518)</f>
        <v/>
      </c>
      <c r="Q518" s="13">
        <f>MAX(H518:M518)</f>
        <v/>
      </c>
      <c r="R518" s="27">
        <f>IF(G518,SUMPRODUCT(($G$76:$G$1505)*($N$76:$N$1505&gt;=N518)*($O$76:$O$1505&lt;=O518))=1,FALSE)</f>
        <v/>
      </c>
      <c r="S518" s="16">
        <f>IF(R518,ABS((O518-$AC$76)/MAX(0.0001,$AC$77-$AC$76)-(N518-$AC$78)/MAX(0.0001,$AC$79-$AC$78)),-1)</f>
        <v/>
      </c>
      <c r="T518" s="14">
        <f>IF(G518,O518,NA())</f>
        <v/>
      </c>
      <c r="U518" s="13">
        <f>IF(G518,N518,NA())</f>
        <v/>
      </c>
      <c r="V518" s="14">
        <f>IF(R518,O518,NA())</f>
        <v/>
      </c>
      <c r="W518" s="13">
        <f>IF(R518,N518,NA())</f>
        <v/>
      </c>
      <c r="X518" s="27">
        <f>IF(G518,P518,"")</f>
        <v/>
      </c>
      <c r="Y518" s="27">
        <f>IF(G518,N518,"")</f>
        <v/>
      </c>
      <c r="Z518" s="27">
        <f>IF(R518,O518,"")</f>
        <v/>
      </c>
      <c r="AA518" s="27">
        <f>IF(R518,N518,"")</f>
        <v/>
      </c>
    </row>
    <row r="519">
      <c r="A519" s="31" t="n">
        <v>0.1</v>
      </c>
      <c r="B519" s="31" t="n">
        <v>0.2</v>
      </c>
      <c r="C519" s="31" t="n">
        <v>0.3</v>
      </c>
      <c r="D519" s="31" t="n">
        <v>0.4</v>
      </c>
      <c r="E519" s="27" t="inlineStr">
        <is>
          <t>ON 10%/1M 20%/2M 30%/3M 40%</t>
        </is>
      </c>
      <c r="F519" s="27" t="n">
        <v>75</v>
      </c>
      <c r="G519" s="27">
        <f>A519*$B$7&gt;=$B$9</f>
        <v/>
      </c>
      <c r="H519" s="13">
        <f>$B$7*(A519*E$71+B519*F$71+C519*G$71+D519*H$71)+F519/100*$B$7*J$71-$C$71</f>
        <v/>
      </c>
      <c r="I519" s="13">
        <f>$B$7*(A519*L$71+B519*M$71+C519*N$71+D519*O$71)+F519/100*$B$7*Q$71-$C$71</f>
        <v/>
      </c>
      <c r="J519" s="13">
        <f>$B$7*(A519*S$71+B519*T$71+C519*U$71+D519*V$71)+F519/100*$B$7*X$71-$C$71</f>
        <v/>
      </c>
      <c r="K519" s="13">
        <f>$B$7*(A519*Z$71+B519*AA$71+C519*AB$71+D519*AC$71)+F519/100*$B$7*AE$71-$C$71</f>
        <v/>
      </c>
      <c r="L519" s="13">
        <f>$B$7*(A519*AG$71+B519*AH$71+C519*AI$71+D519*AJ$71)+F519/100*$B$7*AL$71-$C$71</f>
        <v/>
      </c>
      <c r="M519" s="13">
        <f>$B$7*(A519*AN$71+B519*AO$71+C519*AP$71+D519*AQ$71)+F519/100*$B$7*AS$71-$C$71</f>
        <v/>
      </c>
      <c r="N519" s="13">
        <f>SUMPRODUCT($H$24:$M$24,H519:M519)</f>
        <v/>
      </c>
      <c r="O519" s="14">
        <f>SQRT(SUMPRODUCT($H$24:$M$24,(H519:M519-N519)^2))</f>
        <v/>
      </c>
      <c r="P519" s="13">
        <f>MIN(H519:M519)</f>
        <v/>
      </c>
      <c r="Q519" s="13">
        <f>MAX(H519:M519)</f>
        <v/>
      </c>
      <c r="R519" s="27">
        <f>IF(G519,SUMPRODUCT(($G$76:$G$1505)*($N$76:$N$1505&gt;=N519)*($O$76:$O$1505&lt;=O519))=1,FALSE)</f>
        <v/>
      </c>
      <c r="S519" s="16">
        <f>IF(R519,ABS((O519-$AC$76)/MAX(0.0001,$AC$77-$AC$76)-(N519-$AC$78)/MAX(0.0001,$AC$79-$AC$78)),-1)</f>
        <v/>
      </c>
      <c r="T519" s="14">
        <f>IF(G519,O519,NA())</f>
        <v/>
      </c>
      <c r="U519" s="13">
        <f>IF(G519,N519,NA())</f>
        <v/>
      </c>
      <c r="V519" s="14">
        <f>IF(R519,O519,NA())</f>
        <v/>
      </c>
      <c r="W519" s="13">
        <f>IF(R519,N519,NA())</f>
        <v/>
      </c>
      <c r="X519" s="27">
        <f>IF(G519,P519,"")</f>
        <v/>
      </c>
      <c r="Y519" s="27">
        <f>IF(G519,N519,"")</f>
        <v/>
      </c>
      <c r="Z519" s="27">
        <f>IF(R519,O519,"")</f>
        <v/>
      </c>
      <c r="AA519" s="27">
        <f>IF(R519,N519,"")</f>
        <v/>
      </c>
    </row>
    <row r="520">
      <c r="A520" s="31" t="n">
        <v>0.1</v>
      </c>
      <c r="B520" s="31" t="n">
        <v>0.2</v>
      </c>
      <c r="C520" s="31" t="n">
        <v>0.3</v>
      </c>
      <c r="D520" s="31" t="n">
        <v>0.4</v>
      </c>
      <c r="E520" s="27" t="inlineStr">
        <is>
          <t>ON 10%/1M 20%/2M 30%/3M 40%</t>
        </is>
      </c>
      <c r="F520" s="27" t="n">
        <v>100</v>
      </c>
      <c r="G520" s="27">
        <f>A520*$B$7&gt;=$B$9</f>
        <v/>
      </c>
      <c r="H520" s="13">
        <f>$B$7*(A520*E$71+B520*F$71+C520*G$71+D520*H$71)+F520/100*$B$7*J$71-$C$71</f>
        <v/>
      </c>
      <c r="I520" s="13">
        <f>$B$7*(A520*L$71+B520*M$71+C520*N$71+D520*O$71)+F520/100*$B$7*Q$71-$C$71</f>
        <v/>
      </c>
      <c r="J520" s="13">
        <f>$B$7*(A520*S$71+B520*T$71+C520*U$71+D520*V$71)+F520/100*$B$7*X$71-$C$71</f>
        <v/>
      </c>
      <c r="K520" s="13">
        <f>$B$7*(A520*Z$71+B520*AA$71+C520*AB$71+D520*AC$71)+F520/100*$B$7*AE$71-$C$71</f>
        <v/>
      </c>
      <c r="L520" s="13">
        <f>$B$7*(A520*AG$71+B520*AH$71+C520*AI$71+D520*AJ$71)+F520/100*$B$7*AL$71-$C$71</f>
        <v/>
      </c>
      <c r="M520" s="13">
        <f>$B$7*(A520*AN$71+B520*AO$71+C520*AP$71+D520*AQ$71)+F520/100*$B$7*AS$71-$C$71</f>
        <v/>
      </c>
      <c r="N520" s="13">
        <f>SUMPRODUCT($H$24:$M$24,H520:M520)</f>
        <v/>
      </c>
      <c r="O520" s="14">
        <f>SQRT(SUMPRODUCT($H$24:$M$24,(H520:M520-N520)^2))</f>
        <v/>
      </c>
      <c r="P520" s="13">
        <f>MIN(H520:M520)</f>
        <v/>
      </c>
      <c r="Q520" s="13">
        <f>MAX(H520:M520)</f>
        <v/>
      </c>
      <c r="R520" s="27">
        <f>IF(G520,SUMPRODUCT(($G$76:$G$1505)*($N$76:$N$1505&gt;=N520)*($O$76:$O$1505&lt;=O520))=1,FALSE)</f>
        <v/>
      </c>
      <c r="S520" s="16">
        <f>IF(R520,ABS((O520-$AC$76)/MAX(0.0001,$AC$77-$AC$76)-(N520-$AC$78)/MAX(0.0001,$AC$79-$AC$78)),-1)</f>
        <v/>
      </c>
      <c r="T520" s="14">
        <f>IF(G520,O520,NA())</f>
        <v/>
      </c>
      <c r="U520" s="13">
        <f>IF(G520,N520,NA())</f>
        <v/>
      </c>
      <c r="V520" s="14">
        <f>IF(R520,O520,NA())</f>
        <v/>
      </c>
      <c r="W520" s="13">
        <f>IF(R520,N520,NA())</f>
        <v/>
      </c>
      <c r="X520" s="27">
        <f>IF(G520,P520,"")</f>
        <v/>
      </c>
      <c r="Y520" s="27">
        <f>IF(G520,N520,"")</f>
        <v/>
      </c>
      <c r="Z520" s="27">
        <f>IF(R520,O520,"")</f>
        <v/>
      </c>
      <c r="AA520" s="27">
        <f>IF(R520,N520,"")</f>
        <v/>
      </c>
    </row>
    <row r="521">
      <c r="A521" s="31" t="n">
        <v>0.1</v>
      </c>
      <c r="B521" s="31" t="n">
        <v>0.2</v>
      </c>
      <c r="C521" s="31" t="n">
        <v>0.4</v>
      </c>
      <c r="D521" s="31" t="n">
        <v>0.3</v>
      </c>
      <c r="E521" s="27" t="inlineStr">
        <is>
          <t>ON 10%/1M 20%/2M 40%/3M 30%</t>
        </is>
      </c>
      <c r="F521" s="27" t="n">
        <v>0</v>
      </c>
      <c r="G521" s="27">
        <f>A521*$B$7&gt;=$B$9</f>
        <v/>
      </c>
      <c r="H521" s="13">
        <f>$B$7*(A521*E$71+B521*F$71+C521*G$71+D521*H$71)+F521/100*$B$7*J$71-$C$71</f>
        <v/>
      </c>
      <c r="I521" s="13">
        <f>$B$7*(A521*L$71+B521*M$71+C521*N$71+D521*O$71)+F521/100*$B$7*Q$71-$C$71</f>
        <v/>
      </c>
      <c r="J521" s="13">
        <f>$B$7*(A521*S$71+B521*T$71+C521*U$71+D521*V$71)+F521/100*$B$7*X$71-$C$71</f>
        <v/>
      </c>
      <c r="K521" s="13">
        <f>$B$7*(A521*Z$71+B521*AA$71+C521*AB$71+D521*AC$71)+F521/100*$B$7*AE$71-$C$71</f>
        <v/>
      </c>
      <c r="L521" s="13">
        <f>$B$7*(A521*AG$71+B521*AH$71+C521*AI$71+D521*AJ$71)+F521/100*$B$7*AL$71-$C$71</f>
        <v/>
      </c>
      <c r="M521" s="13">
        <f>$B$7*(A521*AN$71+B521*AO$71+C521*AP$71+D521*AQ$71)+F521/100*$B$7*AS$71-$C$71</f>
        <v/>
      </c>
      <c r="N521" s="13">
        <f>SUMPRODUCT($H$24:$M$24,H521:M521)</f>
        <v/>
      </c>
      <c r="O521" s="14">
        <f>SQRT(SUMPRODUCT($H$24:$M$24,(H521:M521-N521)^2))</f>
        <v/>
      </c>
      <c r="P521" s="13">
        <f>MIN(H521:M521)</f>
        <v/>
      </c>
      <c r="Q521" s="13">
        <f>MAX(H521:M521)</f>
        <v/>
      </c>
      <c r="R521" s="27">
        <f>IF(G521,SUMPRODUCT(($G$76:$G$1505)*($N$76:$N$1505&gt;=N521)*($O$76:$O$1505&lt;=O521))=1,FALSE)</f>
        <v/>
      </c>
      <c r="S521" s="16">
        <f>IF(R521,ABS((O521-$AC$76)/MAX(0.0001,$AC$77-$AC$76)-(N521-$AC$78)/MAX(0.0001,$AC$79-$AC$78)),-1)</f>
        <v/>
      </c>
      <c r="T521" s="14">
        <f>IF(G521,O521,NA())</f>
        <v/>
      </c>
      <c r="U521" s="13">
        <f>IF(G521,N521,NA())</f>
        <v/>
      </c>
      <c r="V521" s="14">
        <f>IF(R521,O521,NA())</f>
        <v/>
      </c>
      <c r="W521" s="13">
        <f>IF(R521,N521,NA())</f>
        <v/>
      </c>
      <c r="X521" s="27">
        <f>IF(G521,P521,"")</f>
        <v/>
      </c>
      <c r="Y521" s="27">
        <f>IF(G521,N521,"")</f>
        <v/>
      </c>
      <c r="Z521" s="27">
        <f>IF(R521,O521,"")</f>
        <v/>
      </c>
      <c r="AA521" s="27">
        <f>IF(R521,N521,"")</f>
        <v/>
      </c>
    </row>
    <row r="522">
      <c r="A522" s="31" t="n">
        <v>0.1</v>
      </c>
      <c r="B522" s="31" t="n">
        <v>0.2</v>
      </c>
      <c r="C522" s="31" t="n">
        <v>0.4</v>
      </c>
      <c r="D522" s="31" t="n">
        <v>0.3</v>
      </c>
      <c r="E522" s="27" t="inlineStr">
        <is>
          <t>ON 10%/1M 20%/2M 40%/3M 30%</t>
        </is>
      </c>
      <c r="F522" s="27" t="n">
        <v>25</v>
      </c>
      <c r="G522" s="27">
        <f>A522*$B$7&gt;=$B$9</f>
        <v/>
      </c>
      <c r="H522" s="13">
        <f>$B$7*(A522*E$71+B522*F$71+C522*G$71+D522*H$71)+F522/100*$B$7*J$71-$C$71</f>
        <v/>
      </c>
      <c r="I522" s="13">
        <f>$B$7*(A522*L$71+B522*M$71+C522*N$71+D522*O$71)+F522/100*$B$7*Q$71-$C$71</f>
        <v/>
      </c>
      <c r="J522" s="13">
        <f>$B$7*(A522*S$71+B522*T$71+C522*U$71+D522*V$71)+F522/100*$B$7*X$71-$C$71</f>
        <v/>
      </c>
      <c r="K522" s="13">
        <f>$B$7*(A522*Z$71+B522*AA$71+C522*AB$71+D522*AC$71)+F522/100*$B$7*AE$71-$C$71</f>
        <v/>
      </c>
      <c r="L522" s="13">
        <f>$B$7*(A522*AG$71+B522*AH$71+C522*AI$71+D522*AJ$71)+F522/100*$B$7*AL$71-$C$71</f>
        <v/>
      </c>
      <c r="M522" s="13">
        <f>$B$7*(A522*AN$71+B522*AO$71+C522*AP$71+D522*AQ$71)+F522/100*$B$7*AS$71-$C$71</f>
        <v/>
      </c>
      <c r="N522" s="13">
        <f>SUMPRODUCT($H$24:$M$24,H522:M522)</f>
        <v/>
      </c>
      <c r="O522" s="14">
        <f>SQRT(SUMPRODUCT($H$24:$M$24,(H522:M522-N522)^2))</f>
        <v/>
      </c>
      <c r="P522" s="13">
        <f>MIN(H522:M522)</f>
        <v/>
      </c>
      <c r="Q522" s="13">
        <f>MAX(H522:M522)</f>
        <v/>
      </c>
      <c r="R522" s="27">
        <f>IF(G522,SUMPRODUCT(($G$76:$G$1505)*($N$76:$N$1505&gt;=N522)*($O$76:$O$1505&lt;=O522))=1,FALSE)</f>
        <v/>
      </c>
      <c r="S522" s="16">
        <f>IF(R522,ABS((O522-$AC$76)/MAX(0.0001,$AC$77-$AC$76)-(N522-$AC$78)/MAX(0.0001,$AC$79-$AC$78)),-1)</f>
        <v/>
      </c>
      <c r="T522" s="14">
        <f>IF(G522,O522,NA())</f>
        <v/>
      </c>
      <c r="U522" s="13">
        <f>IF(G522,N522,NA())</f>
        <v/>
      </c>
      <c r="V522" s="14">
        <f>IF(R522,O522,NA())</f>
        <v/>
      </c>
      <c r="W522" s="13">
        <f>IF(R522,N522,NA())</f>
        <v/>
      </c>
      <c r="X522" s="27">
        <f>IF(G522,P522,"")</f>
        <v/>
      </c>
      <c r="Y522" s="27">
        <f>IF(G522,N522,"")</f>
        <v/>
      </c>
      <c r="Z522" s="27">
        <f>IF(R522,O522,"")</f>
        <v/>
      </c>
      <c r="AA522" s="27">
        <f>IF(R522,N522,"")</f>
        <v/>
      </c>
    </row>
    <row r="523">
      <c r="A523" s="31" t="n">
        <v>0.1</v>
      </c>
      <c r="B523" s="31" t="n">
        <v>0.2</v>
      </c>
      <c r="C523" s="31" t="n">
        <v>0.4</v>
      </c>
      <c r="D523" s="31" t="n">
        <v>0.3</v>
      </c>
      <c r="E523" s="27" t="inlineStr">
        <is>
          <t>ON 10%/1M 20%/2M 40%/3M 30%</t>
        </is>
      </c>
      <c r="F523" s="27" t="n">
        <v>50</v>
      </c>
      <c r="G523" s="27">
        <f>A523*$B$7&gt;=$B$9</f>
        <v/>
      </c>
      <c r="H523" s="13">
        <f>$B$7*(A523*E$71+B523*F$71+C523*G$71+D523*H$71)+F523/100*$B$7*J$71-$C$71</f>
        <v/>
      </c>
      <c r="I523" s="13">
        <f>$B$7*(A523*L$71+B523*M$71+C523*N$71+D523*O$71)+F523/100*$B$7*Q$71-$C$71</f>
        <v/>
      </c>
      <c r="J523" s="13">
        <f>$B$7*(A523*S$71+B523*T$71+C523*U$71+D523*V$71)+F523/100*$B$7*X$71-$C$71</f>
        <v/>
      </c>
      <c r="K523" s="13">
        <f>$B$7*(A523*Z$71+B523*AA$71+C523*AB$71+D523*AC$71)+F523/100*$B$7*AE$71-$C$71</f>
        <v/>
      </c>
      <c r="L523" s="13">
        <f>$B$7*(A523*AG$71+B523*AH$71+C523*AI$71+D523*AJ$71)+F523/100*$B$7*AL$71-$C$71</f>
        <v/>
      </c>
      <c r="M523" s="13">
        <f>$B$7*(A523*AN$71+B523*AO$71+C523*AP$71+D523*AQ$71)+F523/100*$B$7*AS$71-$C$71</f>
        <v/>
      </c>
      <c r="N523" s="13">
        <f>SUMPRODUCT($H$24:$M$24,H523:M523)</f>
        <v/>
      </c>
      <c r="O523" s="14">
        <f>SQRT(SUMPRODUCT($H$24:$M$24,(H523:M523-N523)^2))</f>
        <v/>
      </c>
      <c r="P523" s="13">
        <f>MIN(H523:M523)</f>
        <v/>
      </c>
      <c r="Q523" s="13">
        <f>MAX(H523:M523)</f>
        <v/>
      </c>
      <c r="R523" s="27">
        <f>IF(G523,SUMPRODUCT(($G$76:$G$1505)*($N$76:$N$1505&gt;=N523)*($O$76:$O$1505&lt;=O523))=1,FALSE)</f>
        <v/>
      </c>
      <c r="S523" s="16">
        <f>IF(R523,ABS((O523-$AC$76)/MAX(0.0001,$AC$77-$AC$76)-(N523-$AC$78)/MAX(0.0001,$AC$79-$AC$78)),-1)</f>
        <v/>
      </c>
      <c r="T523" s="14">
        <f>IF(G523,O523,NA())</f>
        <v/>
      </c>
      <c r="U523" s="13">
        <f>IF(G523,N523,NA())</f>
        <v/>
      </c>
      <c r="V523" s="14">
        <f>IF(R523,O523,NA())</f>
        <v/>
      </c>
      <c r="W523" s="13">
        <f>IF(R523,N523,NA())</f>
        <v/>
      </c>
      <c r="X523" s="27">
        <f>IF(G523,P523,"")</f>
        <v/>
      </c>
      <c r="Y523" s="27">
        <f>IF(G523,N523,"")</f>
        <v/>
      </c>
      <c r="Z523" s="27">
        <f>IF(R523,O523,"")</f>
        <v/>
      </c>
      <c r="AA523" s="27">
        <f>IF(R523,N523,"")</f>
        <v/>
      </c>
    </row>
    <row r="524">
      <c r="A524" s="31" t="n">
        <v>0.1</v>
      </c>
      <c r="B524" s="31" t="n">
        <v>0.2</v>
      </c>
      <c r="C524" s="31" t="n">
        <v>0.4</v>
      </c>
      <c r="D524" s="31" t="n">
        <v>0.3</v>
      </c>
      <c r="E524" s="27" t="inlineStr">
        <is>
          <t>ON 10%/1M 20%/2M 40%/3M 30%</t>
        </is>
      </c>
      <c r="F524" s="27" t="n">
        <v>75</v>
      </c>
      <c r="G524" s="27">
        <f>A524*$B$7&gt;=$B$9</f>
        <v/>
      </c>
      <c r="H524" s="13">
        <f>$B$7*(A524*E$71+B524*F$71+C524*G$71+D524*H$71)+F524/100*$B$7*J$71-$C$71</f>
        <v/>
      </c>
      <c r="I524" s="13">
        <f>$B$7*(A524*L$71+B524*M$71+C524*N$71+D524*O$71)+F524/100*$B$7*Q$71-$C$71</f>
        <v/>
      </c>
      <c r="J524" s="13">
        <f>$B$7*(A524*S$71+B524*T$71+C524*U$71+D524*V$71)+F524/100*$B$7*X$71-$C$71</f>
        <v/>
      </c>
      <c r="K524" s="13">
        <f>$B$7*(A524*Z$71+B524*AA$71+C524*AB$71+D524*AC$71)+F524/100*$B$7*AE$71-$C$71</f>
        <v/>
      </c>
      <c r="L524" s="13">
        <f>$B$7*(A524*AG$71+B524*AH$71+C524*AI$71+D524*AJ$71)+F524/100*$B$7*AL$71-$C$71</f>
        <v/>
      </c>
      <c r="M524" s="13">
        <f>$B$7*(A524*AN$71+B524*AO$71+C524*AP$71+D524*AQ$71)+F524/100*$B$7*AS$71-$C$71</f>
        <v/>
      </c>
      <c r="N524" s="13">
        <f>SUMPRODUCT($H$24:$M$24,H524:M524)</f>
        <v/>
      </c>
      <c r="O524" s="14">
        <f>SQRT(SUMPRODUCT($H$24:$M$24,(H524:M524-N524)^2))</f>
        <v/>
      </c>
      <c r="P524" s="13">
        <f>MIN(H524:M524)</f>
        <v/>
      </c>
      <c r="Q524" s="13">
        <f>MAX(H524:M524)</f>
        <v/>
      </c>
      <c r="R524" s="27">
        <f>IF(G524,SUMPRODUCT(($G$76:$G$1505)*($N$76:$N$1505&gt;=N524)*($O$76:$O$1505&lt;=O524))=1,FALSE)</f>
        <v/>
      </c>
      <c r="S524" s="16">
        <f>IF(R524,ABS((O524-$AC$76)/MAX(0.0001,$AC$77-$AC$76)-(N524-$AC$78)/MAX(0.0001,$AC$79-$AC$78)),-1)</f>
        <v/>
      </c>
      <c r="T524" s="14">
        <f>IF(G524,O524,NA())</f>
        <v/>
      </c>
      <c r="U524" s="13">
        <f>IF(G524,N524,NA())</f>
        <v/>
      </c>
      <c r="V524" s="14">
        <f>IF(R524,O524,NA())</f>
        <v/>
      </c>
      <c r="W524" s="13">
        <f>IF(R524,N524,NA())</f>
        <v/>
      </c>
      <c r="X524" s="27">
        <f>IF(G524,P524,"")</f>
        <v/>
      </c>
      <c r="Y524" s="27">
        <f>IF(G524,N524,"")</f>
        <v/>
      </c>
      <c r="Z524" s="27">
        <f>IF(R524,O524,"")</f>
        <v/>
      </c>
      <c r="AA524" s="27">
        <f>IF(R524,N524,"")</f>
        <v/>
      </c>
    </row>
    <row r="525">
      <c r="A525" s="31" t="n">
        <v>0.1</v>
      </c>
      <c r="B525" s="31" t="n">
        <v>0.2</v>
      </c>
      <c r="C525" s="31" t="n">
        <v>0.4</v>
      </c>
      <c r="D525" s="31" t="n">
        <v>0.3</v>
      </c>
      <c r="E525" s="27" t="inlineStr">
        <is>
          <t>ON 10%/1M 20%/2M 40%/3M 30%</t>
        </is>
      </c>
      <c r="F525" s="27" t="n">
        <v>100</v>
      </c>
      <c r="G525" s="27">
        <f>A525*$B$7&gt;=$B$9</f>
        <v/>
      </c>
      <c r="H525" s="13">
        <f>$B$7*(A525*E$71+B525*F$71+C525*G$71+D525*H$71)+F525/100*$B$7*J$71-$C$71</f>
        <v/>
      </c>
      <c r="I525" s="13">
        <f>$B$7*(A525*L$71+B525*M$71+C525*N$71+D525*O$71)+F525/100*$B$7*Q$71-$C$71</f>
        <v/>
      </c>
      <c r="J525" s="13">
        <f>$B$7*(A525*S$71+B525*T$71+C525*U$71+D525*V$71)+F525/100*$B$7*X$71-$C$71</f>
        <v/>
      </c>
      <c r="K525" s="13">
        <f>$B$7*(A525*Z$71+B525*AA$71+C525*AB$71+D525*AC$71)+F525/100*$B$7*AE$71-$C$71</f>
        <v/>
      </c>
      <c r="L525" s="13">
        <f>$B$7*(A525*AG$71+B525*AH$71+C525*AI$71+D525*AJ$71)+F525/100*$B$7*AL$71-$C$71</f>
        <v/>
      </c>
      <c r="M525" s="13">
        <f>$B$7*(A525*AN$71+B525*AO$71+C525*AP$71+D525*AQ$71)+F525/100*$B$7*AS$71-$C$71</f>
        <v/>
      </c>
      <c r="N525" s="13">
        <f>SUMPRODUCT($H$24:$M$24,H525:M525)</f>
        <v/>
      </c>
      <c r="O525" s="14">
        <f>SQRT(SUMPRODUCT($H$24:$M$24,(H525:M525-N525)^2))</f>
        <v/>
      </c>
      <c r="P525" s="13">
        <f>MIN(H525:M525)</f>
        <v/>
      </c>
      <c r="Q525" s="13">
        <f>MAX(H525:M525)</f>
        <v/>
      </c>
      <c r="R525" s="27">
        <f>IF(G525,SUMPRODUCT(($G$76:$G$1505)*($N$76:$N$1505&gt;=N525)*($O$76:$O$1505&lt;=O525))=1,FALSE)</f>
        <v/>
      </c>
      <c r="S525" s="16">
        <f>IF(R525,ABS((O525-$AC$76)/MAX(0.0001,$AC$77-$AC$76)-(N525-$AC$78)/MAX(0.0001,$AC$79-$AC$78)),-1)</f>
        <v/>
      </c>
      <c r="T525" s="14">
        <f>IF(G525,O525,NA())</f>
        <v/>
      </c>
      <c r="U525" s="13">
        <f>IF(G525,N525,NA())</f>
        <v/>
      </c>
      <c r="V525" s="14">
        <f>IF(R525,O525,NA())</f>
        <v/>
      </c>
      <c r="W525" s="13">
        <f>IF(R525,N525,NA())</f>
        <v/>
      </c>
      <c r="X525" s="27">
        <f>IF(G525,P525,"")</f>
        <v/>
      </c>
      <c r="Y525" s="27">
        <f>IF(G525,N525,"")</f>
        <v/>
      </c>
      <c r="Z525" s="27">
        <f>IF(R525,O525,"")</f>
        <v/>
      </c>
      <c r="AA525" s="27">
        <f>IF(R525,N525,"")</f>
        <v/>
      </c>
    </row>
    <row r="526">
      <c r="A526" s="31" t="n">
        <v>0.1</v>
      </c>
      <c r="B526" s="31" t="n">
        <v>0.2</v>
      </c>
      <c r="C526" s="31" t="n">
        <v>0.5</v>
      </c>
      <c r="D526" s="31" t="n">
        <v>0.2</v>
      </c>
      <c r="E526" s="27" t="inlineStr">
        <is>
          <t>ON 10%/1M 20%/2M 50%/3M 20%</t>
        </is>
      </c>
      <c r="F526" s="27" t="n">
        <v>0</v>
      </c>
      <c r="G526" s="27">
        <f>A526*$B$7&gt;=$B$9</f>
        <v/>
      </c>
      <c r="H526" s="13">
        <f>$B$7*(A526*E$71+B526*F$71+C526*G$71+D526*H$71)+F526/100*$B$7*J$71-$C$71</f>
        <v/>
      </c>
      <c r="I526" s="13">
        <f>$B$7*(A526*L$71+B526*M$71+C526*N$71+D526*O$71)+F526/100*$B$7*Q$71-$C$71</f>
        <v/>
      </c>
      <c r="J526" s="13">
        <f>$B$7*(A526*S$71+B526*T$71+C526*U$71+D526*V$71)+F526/100*$B$7*X$71-$C$71</f>
        <v/>
      </c>
      <c r="K526" s="13">
        <f>$B$7*(A526*Z$71+B526*AA$71+C526*AB$71+D526*AC$71)+F526/100*$B$7*AE$71-$C$71</f>
        <v/>
      </c>
      <c r="L526" s="13">
        <f>$B$7*(A526*AG$71+B526*AH$71+C526*AI$71+D526*AJ$71)+F526/100*$B$7*AL$71-$C$71</f>
        <v/>
      </c>
      <c r="M526" s="13">
        <f>$B$7*(A526*AN$71+B526*AO$71+C526*AP$71+D526*AQ$71)+F526/100*$B$7*AS$71-$C$71</f>
        <v/>
      </c>
      <c r="N526" s="13">
        <f>SUMPRODUCT($H$24:$M$24,H526:M526)</f>
        <v/>
      </c>
      <c r="O526" s="14">
        <f>SQRT(SUMPRODUCT($H$24:$M$24,(H526:M526-N526)^2))</f>
        <v/>
      </c>
      <c r="P526" s="13">
        <f>MIN(H526:M526)</f>
        <v/>
      </c>
      <c r="Q526" s="13">
        <f>MAX(H526:M526)</f>
        <v/>
      </c>
      <c r="R526" s="27">
        <f>IF(G526,SUMPRODUCT(($G$76:$G$1505)*($N$76:$N$1505&gt;=N526)*($O$76:$O$1505&lt;=O526))=1,FALSE)</f>
        <v/>
      </c>
      <c r="S526" s="16">
        <f>IF(R526,ABS((O526-$AC$76)/MAX(0.0001,$AC$77-$AC$76)-(N526-$AC$78)/MAX(0.0001,$AC$79-$AC$78)),-1)</f>
        <v/>
      </c>
      <c r="T526" s="14">
        <f>IF(G526,O526,NA())</f>
        <v/>
      </c>
      <c r="U526" s="13">
        <f>IF(G526,N526,NA())</f>
        <v/>
      </c>
      <c r="V526" s="14">
        <f>IF(R526,O526,NA())</f>
        <v/>
      </c>
      <c r="W526" s="13">
        <f>IF(R526,N526,NA())</f>
        <v/>
      </c>
      <c r="X526" s="27">
        <f>IF(G526,P526,"")</f>
        <v/>
      </c>
      <c r="Y526" s="27">
        <f>IF(G526,N526,"")</f>
        <v/>
      </c>
      <c r="Z526" s="27">
        <f>IF(R526,O526,"")</f>
        <v/>
      </c>
      <c r="AA526" s="27">
        <f>IF(R526,N526,"")</f>
        <v/>
      </c>
    </row>
    <row r="527">
      <c r="A527" s="31" t="n">
        <v>0.1</v>
      </c>
      <c r="B527" s="31" t="n">
        <v>0.2</v>
      </c>
      <c r="C527" s="31" t="n">
        <v>0.5</v>
      </c>
      <c r="D527" s="31" t="n">
        <v>0.2</v>
      </c>
      <c r="E527" s="27" t="inlineStr">
        <is>
          <t>ON 10%/1M 20%/2M 50%/3M 20%</t>
        </is>
      </c>
      <c r="F527" s="27" t="n">
        <v>25</v>
      </c>
      <c r="G527" s="27">
        <f>A527*$B$7&gt;=$B$9</f>
        <v/>
      </c>
      <c r="H527" s="13">
        <f>$B$7*(A527*E$71+B527*F$71+C527*G$71+D527*H$71)+F527/100*$B$7*J$71-$C$71</f>
        <v/>
      </c>
      <c r="I527" s="13">
        <f>$B$7*(A527*L$71+B527*M$71+C527*N$71+D527*O$71)+F527/100*$B$7*Q$71-$C$71</f>
        <v/>
      </c>
      <c r="J527" s="13">
        <f>$B$7*(A527*S$71+B527*T$71+C527*U$71+D527*V$71)+F527/100*$B$7*X$71-$C$71</f>
        <v/>
      </c>
      <c r="K527" s="13">
        <f>$B$7*(A527*Z$71+B527*AA$71+C527*AB$71+D527*AC$71)+F527/100*$B$7*AE$71-$C$71</f>
        <v/>
      </c>
      <c r="L527" s="13">
        <f>$B$7*(A527*AG$71+B527*AH$71+C527*AI$71+D527*AJ$71)+F527/100*$B$7*AL$71-$C$71</f>
        <v/>
      </c>
      <c r="M527" s="13">
        <f>$B$7*(A527*AN$71+B527*AO$71+C527*AP$71+D527*AQ$71)+F527/100*$B$7*AS$71-$C$71</f>
        <v/>
      </c>
      <c r="N527" s="13">
        <f>SUMPRODUCT($H$24:$M$24,H527:M527)</f>
        <v/>
      </c>
      <c r="O527" s="14">
        <f>SQRT(SUMPRODUCT($H$24:$M$24,(H527:M527-N527)^2))</f>
        <v/>
      </c>
      <c r="P527" s="13">
        <f>MIN(H527:M527)</f>
        <v/>
      </c>
      <c r="Q527" s="13">
        <f>MAX(H527:M527)</f>
        <v/>
      </c>
      <c r="R527" s="27">
        <f>IF(G527,SUMPRODUCT(($G$76:$G$1505)*($N$76:$N$1505&gt;=N527)*($O$76:$O$1505&lt;=O527))=1,FALSE)</f>
        <v/>
      </c>
      <c r="S527" s="16">
        <f>IF(R527,ABS((O527-$AC$76)/MAX(0.0001,$AC$77-$AC$76)-(N527-$AC$78)/MAX(0.0001,$AC$79-$AC$78)),-1)</f>
        <v/>
      </c>
      <c r="T527" s="14">
        <f>IF(G527,O527,NA())</f>
        <v/>
      </c>
      <c r="U527" s="13">
        <f>IF(G527,N527,NA())</f>
        <v/>
      </c>
      <c r="V527" s="14">
        <f>IF(R527,O527,NA())</f>
        <v/>
      </c>
      <c r="W527" s="13">
        <f>IF(R527,N527,NA())</f>
        <v/>
      </c>
      <c r="X527" s="27">
        <f>IF(G527,P527,"")</f>
        <v/>
      </c>
      <c r="Y527" s="27">
        <f>IF(G527,N527,"")</f>
        <v/>
      </c>
      <c r="Z527" s="27">
        <f>IF(R527,O527,"")</f>
        <v/>
      </c>
      <c r="AA527" s="27">
        <f>IF(R527,N527,"")</f>
        <v/>
      </c>
    </row>
    <row r="528">
      <c r="A528" s="31" t="n">
        <v>0.1</v>
      </c>
      <c r="B528" s="31" t="n">
        <v>0.2</v>
      </c>
      <c r="C528" s="31" t="n">
        <v>0.5</v>
      </c>
      <c r="D528" s="31" t="n">
        <v>0.2</v>
      </c>
      <c r="E528" s="27" t="inlineStr">
        <is>
          <t>ON 10%/1M 20%/2M 50%/3M 20%</t>
        </is>
      </c>
      <c r="F528" s="27" t="n">
        <v>50</v>
      </c>
      <c r="G528" s="27">
        <f>A528*$B$7&gt;=$B$9</f>
        <v/>
      </c>
      <c r="H528" s="13">
        <f>$B$7*(A528*E$71+B528*F$71+C528*G$71+D528*H$71)+F528/100*$B$7*J$71-$C$71</f>
        <v/>
      </c>
      <c r="I528" s="13">
        <f>$B$7*(A528*L$71+B528*M$71+C528*N$71+D528*O$71)+F528/100*$B$7*Q$71-$C$71</f>
        <v/>
      </c>
      <c r="J528" s="13">
        <f>$B$7*(A528*S$71+B528*T$71+C528*U$71+D528*V$71)+F528/100*$B$7*X$71-$C$71</f>
        <v/>
      </c>
      <c r="K528" s="13">
        <f>$B$7*(A528*Z$71+B528*AA$71+C528*AB$71+D528*AC$71)+F528/100*$B$7*AE$71-$C$71</f>
        <v/>
      </c>
      <c r="L528" s="13">
        <f>$B$7*(A528*AG$71+B528*AH$71+C528*AI$71+D528*AJ$71)+F528/100*$B$7*AL$71-$C$71</f>
        <v/>
      </c>
      <c r="M528" s="13">
        <f>$B$7*(A528*AN$71+B528*AO$71+C528*AP$71+D528*AQ$71)+F528/100*$B$7*AS$71-$C$71</f>
        <v/>
      </c>
      <c r="N528" s="13">
        <f>SUMPRODUCT($H$24:$M$24,H528:M528)</f>
        <v/>
      </c>
      <c r="O528" s="14">
        <f>SQRT(SUMPRODUCT($H$24:$M$24,(H528:M528-N528)^2))</f>
        <v/>
      </c>
      <c r="P528" s="13">
        <f>MIN(H528:M528)</f>
        <v/>
      </c>
      <c r="Q528" s="13">
        <f>MAX(H528:M528)</f>
        <v/>
      </c>
      <c r="R528" s="27">
        <f>IF(G528,SUMPRODUCT(($G$76:$G$1505)*($N$76:$N$1505&gt;=N528)*($O$76:$O$1505&lt;=O528))=1,FALSE)</f>
        <v/>
      </c>
      <c r="S528" s="16">
        <f>IF(R528,ABS((O528-$AC$76)/MAX(0.0001,$AC$77-$AC$76)-(N528-$AC$78)/MAX(0.0001,$AC$79-$AC$78)),-1)</f>
        <v/>
      </c>
      <c r="T528" s="14">
        <f>IF(G528,O528,NA())</f>
        <v/>
      </c>
      <c r="U528" s="13">
        <f>IF(G528,N528,NA())</f>
        <v/>
      </c>
      <c r="V528" s="14">
        <f>IF(R528,O528,NA())</f>
        <v/>
      </c>
      <c r="W528" s="13">
        <f>IF(R528,N528,NA())</f>
        <v/>
      </c>
      <c r="X528" s="27">
        <f>IF(G528,P528,"")</f>
        <v/>
      </c>
      <c r="Y528" s="27">
        <f>IF(G528,N528,"")</f>
        <v/>
      </c>
      <c r="Z528" s="27">
        <f>IF(R528,O528,"")</f>
        <v/>
      </c>
      <c r="AA528" s="27">
        <f>IF(R528,N528,"")</f>
        <v/>
      </c>
    </row>
    <row r="529">
      <c r="A529" s="31" t="n">
        <v>0.1</v>
      </c>
      <c r="B529" s="31" t="n">
        <v>0.2</v>
      </c>
      <c r="C529" s="31" t="n">
        <v>0.5</v>
      </c>
      <c r="D529" s="31" t="n">
        <v>0.2</v>
      </c>
      <c r="E529" s="27" t="inlineStr">
        <is>
          <t>ON 10%/1M 20%/2M 50%/3M 20%</t>
        </is>
      </c>
      <c r="F529" s="27" t="n">
        <v>75</v>
      </c>
      <c r="G529" s="27">
        <f>A529*$B$7&gt;=$B$9</f>
        <v/>
      </c>
      <c r="H529" s="13">
        <f>$B$7*(A529*E$71+B529*F$71+C529*G$71+D529*H$71)+F529/100*$B$7*J$71-$C$71</f>
        <v/>
      </c>
      <c r="I529" s="13">
        <f>$B$7*(A529*L$71+B529*M$71+C529*N$71+D529*O$71)+F529/100*$B$7*Q$71-$C$71</f>
        <v/>
      </c>
      <c r="J529" s="13">
        <f>$B$7*(A529*S$71+B529*T$71+C529*U$71+D529*V$71)+F529/100*$B$7*X$71-$C$71</f>
        <v/>
      </c>
      <c r="K529" s="13">
        <f>$B$7*(A529*Z$71+B529*AA$71+C529*AB$71+D529*AC$71)+F529/100*$B$7*AE$71-$C$71</f>
        <v/>
      </c>
      <c r="L529" s="13">
        <f>$B$7*(A529*AG$71+B529*AH$71+C529*AI$71+D529*AJ$71)+F529/100*$B$7*AL$71-$C$71</f>
        <v/>
      </c>
      <c r="M529" s="13">
        <f>$B$7*(A529*AN$71+B529*AO$71+C529*AP$71+D529*AQ$71)+F529/100*$B$7*AS$71-$C$71</f>
        <v/>
      </c>
      <c r="N529" s="13">
        <f>SUMPRODUCT($H$24:$M$24,H529:M529)</f>
        <v/>
      </c>
      <c r="O529" s="14">
        <f>SQRT(SUMPRODUCT($H$24:$M$24,(H529:M529-N529)^2))</f>
        <v/>
      </c>
      <c r="P529" s="13">
        <f>MIN(H529:M529)</f>
        <v/>
      </c>
      <c r="Q529" s="13">
        <f>MAX(H529:M529)</f>
        <v/>
      </c>
      <c r="R529" s="27">
        <f>IF(G529,SUMPRODUCT(($G$76:$G$1505)*($N$76:$N$1505&gt;=N529)*($O$76:$O$1505&lt;=O529))=1,FALSE)</f>
        <v/>
      </c>
      <c r="S529" s="16">
        <f>IF(R529,ABS((O529-$AC$76)/MAX(0.0001,$AC$77-$AC$76)-(N529-$AC$78)/MAX(0.0001,$AC$79-$AC$78)),-1)</f>
        <v/>
      </c>
      <c r="T529" s="14">
        <f>IF(G529,O529,NA())</f>
        <v/>
      </c>
      <c r="U529" s="13">
        <f>IF(G529,N529,NA())</f>
        <v/>
      </c>
      <c r="V529" s="14">
        <f>IF(R529,O529,NA())</f>
        <v/>
      </c>
      <c r="W529" s="13">
        <f>IF(R529,N529,NA())</f>
        <v/>
      </c>
      <c r="X529" s="27">
        <f>IF(G529,P529,"")</f>
        <v/>
      </c>
      <c r="Y529" s="27">
        <f>IF(G529,N529,"")</f>
        <v/>
      </c>
      <c r="Z529" s="27">
        <f>IF(R529,O529,"")</f>
        <v/>
      </c>
      <c r="AA529" s="27">
        <f>IF(R529,N529,"")</f>
        <v/>
      </c>
    </row>
    <row r="530">
      <c r="A530" s="31" t="n">
        <v>0.1</v>
      </c>
      <c r="B530" s="31" t="n">
        <v>0.2</v>
      </c>
      <c r="C530" s="31" t="n">
        <v>0.5</v>
      </c>
      <c r="D530" s="31" t="n">
        <v>0.2</v>
      </c>
      <c r="E530" s="27" t="inlineStr">
        <is>
          <t>ON 10%/1M 20%/2M 50%/3M 20%</t>
        </is>
      </c>
      <c r="F530" s="27" t="n">
        <v>100</v>
      </c>
      <c r="G530" s="27">
        <f>A530*$B$7&gt;=$B$9</f>
        <v/>
      </c>
      <c r="H530" s="13">
        <f>$B$7*(A530*E$71+B530*F$71+C530*G$71+D530*H$71)+F530/100*$B$7*J$71-$C$71</f>
        <v/>
      </c>
      <c r="I530" s="13">
        <f>$B$7*(A530*L$71+B530*M$71+C530*N$71+D530*O$71)+F530/100*$B$7*Q$71-$C$71</f>
        <v/>
      </c>
      <c r="J530" s="13">
        <f>$B$7*(A530*S$71+B530*T$71+C530*U$71+D530*V$71)+F530/100*$B$7*X$71-$C$71</f>
        <v/>
      </c>
      <c r="K530" s="13">
        <f>$B$7*(A530*Z$71+B530*AA$71+C530*AB$71+D530*AC$71)+F530/100*$B$7*AE$71-$C$71</f>
        <v/>
      </c>
      <c r="L530" s="13">
        <f>$B$7*(A530*AG$71+B530*AH$71+C530*AI$71+D530*AJ$71)+F530/100*$B$7*AL$71-$C$71</f>
        <v/>
      </c>
      <c r="M530" s="13">
        <f>$B$7*(A530*AN$71+B530*AO$71+C530*AP$71+D530*AQ$71)+F530/100*$B$7*AS$71-$C$71</f>
        <v/>
      </c>
      <c r="N530" s="13">
        <f>SUMPRODUCT($H$24:$M$24,H530:M530)</f>
        <v/>
      </c>
      <c r="O530" s="14">
        <f>SQRT(SUMPRODUCT($H$24:$M$24,(H530:M530-N530)^2))</f>
        <v/>
      </c>
      <c r="P530" s="13">
        <f>MIN(H530:M530)</f>
        <v/>
      </c>
      <c r="Q530" s="13">
        <f>MAX(H530:M530)</f>
        <v/>
      </c>
      <c r="R530" s="27">
        <f>IF(G530,SUMPRODUCT(($G$76:$G$1505)*($N$76:$N$1505&gt;=N530)*($O$76:$O$1505&lt;=O530))=1,FALSE)</f>
        <v/>
      </c>
      <c r="S530" s="16">
        <f>IF(R530,ABS((O530-$AC$76)/MAX(0.0001,$AC$77-$AC$76)-(N530-$AC$78)/MAX(0.0001,$AC$79-$AC$78)),-1)</f>
        <v/>
      </c>
      <c r="T530" s="14">
        <f>IF(G530,O530,NA())</f>
        <v/>
      </c>
      <c r="U530" s="13">
        <f>IF(G530,N530,NA())</f>
        <v/>
      </c>
      <c r="V530" s="14">
        <f>IF(R530,O530,NA())</f>
        <v/>
      </c>
      <c r="W530" s="13">
        <f>IF(R530,N530,NA())</f>
        <v/>
      </c>
      <c r="X530" s="27">
        <f>IF(G530,P530,"")</f>
        <v/>
      </c>
      <c r="Y530" s="27">
        <f>IF(G530,N530,"")</f>
        <v/>
      </c>
      <c r="Z530" s="27">
        <f>IF(R530,O530,"")</f>
        <v/>
      </c>
      <c r="AA530" s="27">
        <f>IF(R530,N530,"")</f>
        <v/>
      </c>
    </row>
    <row r="531">
      <c r="A531" s="31" t="n">
        <v>0.1</v>
      </c>
      <c r="B531" s="31" t="n">
        <v>0.2</v>
      </c>
      <c r="C531" s="31" t="n">
        <v>0.6</v>
      </c>
      <c r="D531" s="31" t="n">
        <v>0.1</v>
      </c>
      <c r="E531" s="27" t="inlineStr">
        <is>
          <t>ON 10%/1M 20%/2M 60%/3M 10%</t>
        </is>
      </c>
      <c r="F531" s="27" t="n">
        <v>0</v>
      </c>
      <c r="G531" s="27">
        <f>A531*$B$7&gt;=$B$9</f>
        <v/>
      </c>
      <c r="H531" s="13">
        <f>$B$7*(A531*E$71+B531*F$71+C531*G$71+D531*H$71)+F531/100*$B$7*J$71-$C$71</f>
        <v/>
      </c>
      <c r="I531" s="13">
        <f>$B$7*(A531*L$71+B531*M$71+C531*N$71+D531*O$71)+F531/100*$B$7*Q$71-$C$71</f>
        <v/>
      </c>
      <c r="J531" s="13">
        <f>$B$7*(A531*S$71+B531*T$71+C531*U$71+D531*V$71)+F531/100*$B$7*X$71-$C$71</f>
        <v/>
      </c>
      <c r="K531" s="13">
        <f>$B$7*(A531*Z$71+B531*AA$71+C531*AB$71+D531*AC$71)+F531/100*$B$7*AE$71-$C$71</f>
        <v/>
      </c>
      <c r="L531" s="13">
        <f>$B$7*(A531*AG$71+B531*AH$71+C531*AI$71+D531*AJ$71)+F531/100*$B$7*AL$71-$C$71</f>
        <v/>
      </c>
      <c r="M531" s="13">
        <f>$B$7*(A531*AN$71+B531*AO$71+C531*AP$71+D531*AQ$71)+F531/100*$B$7*AS$71-$C$71</f>
        <v/>
      </c>
      <c r="N531" s="13">
        <f>SUMPRODUCT($H$24:$M$24,H531:M531)</f>
        <v/>
      </c>
      <c r="O531" s="14">
        <f>SQRT(SUMPRODUCT($H$24:$M$24,(H531:M531-N531)^2))</f>
        <v/>
      </c>
      <c r="P531" s="13">
        <f>MIN(H531:M531)</f>
        <v/>
      </c>
      <c r="Q531" s="13">
        <f>MAX(H531:M531)</f>
        <v/>
      </c>
      <c r="R531" s="27">
        <f>IF(G531,SUMPRODUCT(($G$76:$G$1505)*($N$76:$N$1505&gt;=N531)*($O$76:$O$1505&lt;=O531))=1,FALSE)</f>
        <v/>
      </c>
      <c r="S531" s="16">
        <f>IF(R531,ABS((O531-$AC$76)/MAX(0.0001,$AC$77-$AC$76)-(N531-$AC$78)/MAX(0.0001,$AC$79-$AC$78)),-1)</f>
        <v/>
      </c>
      <c r="T531" s="14">
        <f>IF(G531,O531,NA())</f>
        <v/>
      </c>
      <c r="U531" s="13">
        <f>IF(G531,N531,NA())</f>
        <v/>
      </c>
      <c r="V531" s="14">
        <f>IF(R531,O531,NA())</f>
        <v/>
      </c>
      <c r="W531" s="13">
        <f>IF(R531,N531,NA())</f>
        <v/>
      </c>
      <c r="X531" s="27">
        <f>IF(G531,P531,"")</f>
        <v/>
      </c>
      <c r="Y531" s="27">
        <f>IF(G531,N531,"")</f>
        <v/>
      </c>
      <c r="Z531" s="27">
        <f>IF(R531,O531,"")</f>
        <v/>
      </c>
      <c r="AA531" s="27">
        <f>IF(R531,N531,"")</f>
        <v/>
      </c>
    </row>
    <row r="532">
      <c r="A532" s="31" t="n">
        <v>0.1</v>
      </c>
      <c r="B532" s="31" t="n">
        <v>0.2</v>
      </c>
      <c r="C532" s="31" t="n">
        <v>0.6</v>
      </c>
      <c r="D532" s="31" t="n">
        <v>0.1</v>
      </c>
      <c r="E532" s="27" t="inlineStr">
        <is>
          <t>ON 10%/1M 20%/2M 60%/3M 10%</t>
        </is>
      </c>
      <c r="F532" s="27" t="n">
        <v>25</v>
      </c>
      <c r="G532" s="27">
        <f>A532*$B$7&gt;=$B$9</f>
        <v/>
      </c>
      <c r="H532" s="13">
        <f>$B$7*(A532*E$71+B532*F$71+C532*G$71+D532*H$71)+F532/100*$B$7*J$71-$C$71</f>
        <v/>
      </c>
      <c r="I532" s="13">
        <f>$B$7*(A532*L$71+B532*M$71+C532*N$71+D532*O$71)+F532/100*$B$7*Q$71-$C$71</f>
        <v/>
      </c>
      <c r="J532" s="13">
        <f>$B$7*(A532*S$71+B532*T$71+C532*U$71+D532*V$71)+F532/100*$B$7*X$71-$C$71</f>
        <v/>
      </c>
      <c r="K532" s="13">
        <f>$B$7*(A532*Z$71+B532*AA$71+C532*AB$71+D532*AC$71)+F532/100*$B$7*AE$71-$C$71</f>
        <v/>
      </c>
      <c r="L532" s="13">
        <f>$B$7*(A532*AG$71+B532*AH$71+C532*AI$71+D532*AJ$71)+F532/100*$B$7*AL$71-$C$71</f>
        <v/>
      </c>
      <c r="M532" s="13">
        <f>$B$7*(A532*AN$71+B532*AO$71+C532*AP$71+D532*AQ$71)+F532/100*$B$7*AS$71-$C$71</f>
        <v/>
      </c>
      <c r="N532" s="13">
        <f>SUMPRODUCT($H$24:$M$24,H532:M532)</f>
        <v/>
      </c>
      <c r="O532" s="14">
        <f>SQRT(SUMPRODUCT($H$24:$M$24,(H532:M532-N532)^2))</f>
        <v/>
      </c>
      <c r="P532" s="13">
        <f>MIN(H532:M532)</f>
        <v/>
      </c>
      <c r="Q532" s="13">
        <f>MAX(H532:M532)</f>
        <v/>
      </c>
      <c r="R532" s="27">
        <f>IF(G532,SUMPRODUCT(($G$76:$G$1505)*($N$76:$N$1505&gt;=N532)*($O$76:$O$1505&lt;=O532))=1,FALSE)</f>
        <v/>
      </c>
      <c r="S532" s="16">
        <f>IF(R532,ABS((O532-$AC$76)/MAX(0.0001,$AC$77-$AC$76)-(N532-$AC$78)/MAX(0.0001,$AC$79-$AC$78)),-1)</f>
        <v/>
      </c>
      <c r="T532" s="14">
        <f>IF(G532,O532,NA())</f>
        <v/>
      </c>
      <c r="U532" s="13">
        <f>IF(G532,N532,NA())</f>
        <v/>
      </c>
      <c r="V532" s="14">
        <f>IF(R532,O532,NA())</f>
        <v/>
      </c>
      <c r="W532" s="13">
        <f>IF(R532,N532,NA())</f>
        <v/>
      </c>
      <c r="X532" s="27">
        <f>IF(G532,P532,"")</f>
        <v/>
      </c>
      <c r="Y532" s="27">
        <f>IF(G532,N532,"")</f>
        <v/>
      </c>
      <c r="Z532" s="27">
        <f>IF(R532,O532,"")</f>
        <v/>
      </c>
      <c r="AA532" s="27">
        <f>IF(R532,N532,"")</f>
        <v/>
      </c>
    </row>
    <row r="533">
      <c r="A533" s="31" t="n">
        <v>0.1</v>
      </c>
      <c r="B533" s="31" t="n">
        <v>0.2</v>
      </c>
      <c r="C533" s="31" t="n">
        <v>0.6</v>
      </c>
      <c r="D533" s="31" t="n">
        <v>0.1</v>
      </c>
      <c r="E533" s="27" t="inlineStr">
        <is>
          <t>ON 10%/1M 20%/2M 60%/3M 10%</t>
        </is>
      </c>
      <c r="F533" s="27" t="n">
        <v>50</v>
      </c>
      <c r="G533" s="27">
        <f>A533*$B$7&gt;=$B$9</f>
        <v/>
      </c>
      <c r="H533" s="13">
        <f>$B$7*(A533*E$71+B533*F$71+C533*G$71+D533*H$71)+F533/100*$B$7*J$71-$C$71</f>
        <v/>
      </c>
      <c r="I533" s="13">
        <f>$B$7*(A533*L$71+B533*M$71+C533*N$71+D533*O$71)+F533/100*$B$7*Q$71-$C$71</f>
        <v/>
      </c>
      <c r="J533" s="13">
        <f>$B$7*(A533*S$71+B533*T$71+C533*U$71+D533*V$71)+F533/100*$B$7*X$71-$C$71</f>
        <v/>
      </c>
      <c r="K533" s="13">
        <f>$B$7*(A533*Z$71+B533*AA$71+C533*AB$71+D533*AC$71)+F533/100*$B$7*AE$71-$C$71</f>
        <v/>
      </c>
      <c r="L533" s="13">
        <f>$B$7*(A533*AG$71+B533*AH$71+C533*AI$71+D533*AJ$71)+F533/100*$B$7*AL$71-$C$71</f>
        <v/>
      </c>
      <c r="M533" s="13">
        <f>$B$7*(A533*AN$71+B533*AO$71+C533*AP$71+D533*AQ$71)+F533/100*$B$7*AS$71-$C$71</f>
        <v/>
      </c>
      <c r="N533" s="13">
        <f>SUMPRODUCT($H$24:$M$24,H533:M533)</f>
        <v/>
      </c>
      <c r="O533" s="14">
        <f>SQRT(SUMPRODUCT($H$24:$M$24,(H533:M533-N533)^2))</f>
        <v/>
      </c>
      <c r="P533" s="13">
        <f>MIN(H533:M533)</f>
        <v/>
      </c>
      <c r="Q533" s="13">
        <f>MAX(H533:M533)</f>
        <v/>
      </c>
      <c r="R533" s="27">
        <f>IF(G533,SUMPRODUCT(($G$76:$G$1505)*($N$76:$N$1505&gt;=N533)*($O$76:$O$1505&lt;=O533))=1,FALSE)</f>
        <v/>
      </c>
      <c r="S533" s="16">
        <f>IF(R533,ABS((O533-$AC$76)/MAX(0.0001,$AC$77-$AC$76)-(N533-$AC$78)/MAX(0.0001,$AC$79-$AC$78)),-1)</f>
        <v/>
      </c>
      <c r="T533" s="14">
        <f>IF(G533,O533,NA())</f>
        <v/>
      </c>
      <c r="U533" s="13">
        <f>IF(G533,N533,NA())</f>
        <v/>
      </c>
      <c r="V533" s="14">
        <f>IF(R533,O533,NA())</f>
        <v/>
      </c>
      <c r="W533" s="13">
        <f>IF(R533,N533,NA())</f>
        <v/>
      </c>
      <c r="X533" s="27">
        <f>IF(G533,P533,"")</f>
        <v/>
      </c>
      <c r="Y533" s="27">
        <f>IF(G533,N533,"")</f>
        <v/>
      </c>
      <c r="Z533" s="27">
        <f>IF(R533,O533,"")</f>
        <v/>
      </c>
      <c r="AA533" s="27">
        <f>IF(R533,N533,"")</f>
        <v/>
      </c>
    </row>
    <row r="534">
      <c r="A534" s="31" t="n">
        <v>0.1</v>
      </c>
      <c r="B534" s="31" t="n">
        <v>0.2</v>
      </c>
      <c r="C534" s="31" t="n">
        <v>0.6</v>
      </c>
      <c r="D534" s="31" t="n">
        <v>0.1</v>
      </c>
      <c r="E534" s="27" t="inlineStr">
        <is>
          <t>ON 10%/1M 20%/2M 60%/3M 10%</t>
        </is>
      </c>
      <c r="F534" s="27" t="n">
        <v>75</v>
      </c>
      <c r="G534" s="27">
        <f>A534*$B$7&gt;=$B$9</f>
        <v/>
      </c>
      <c r="H534" s="13">
        <f>$B$7*(A534*E$71+B534*F$71+C534*G$71+D534*H$71)+F534/100*$B$7*J$71-$C$71</f>
        <v/>
      </c>
      <c r="I534" s="13">
        <f>$B$7*(A534*L$71+B534*M$71+C534*N$71+D534*O$71)+F534/100*$B$7*Q$71-$C$71</f>
        <v/>
      </c>
      <c r="J534" s="13">
        <f>$B$7*(A534*S$71+B534*T$71+C534*U$71+D534*V$71)+F534/100*$B$7*X$71-$C$71</f>
        <v/>
      </c>
      <c r="K534" s="13">
        <f>$B$7*(A534*Z$71+B534*AA$71+C534*AB$71+D534*AC$71)+F534/100*$B$7*AE$71-$C$71</f>
        <v/>
      </c>
      <c r="L534" s="13">
        <f>$B$7*(A534*AG$71+B534*AH$71+C534*AI$71+D534*AJ$71)+F534/100*$B$7*AL$71-$C$71</f>
        <v/>
      </c>
      <c r="M534" s="13">
        <f>$B$7*(A534*AN$71+B534*AO$71+C534*AP$71+D534*AQ$71)+F534/100*$B$7*AS$71-$C$71</f>
        <v/>
      </c>
      <c r="N534" s="13">
        <f>SUMPRODUCT($H$24:$M$24,H534:M534)</f>
        <v/>
      </c>
      <c r="O534" s="14">
        <f>SQRT(SUMPRODUCT($H$24:$M$24,(H534:M534-N534)^2))</f>
        <v/>
      </c>
      <c r="P534" s="13">
        <f>MIN(H534:M534)</f>
        <v/>
      </c>
      <c r="Q534" s="13">
        <f>MAX(H534:M534)</f>
        <v/>
      </c>
      <c r="R534" s="27">
        <f>IF(G534,SUMPRODUCT(($G$76:$G$1505)*($N$76:$N$1505&gt;=N534)*($O$76:$O$1505&lt;=O534))=1,FALSE)</f>
        <v/>
      </c>
      <c r="S534" s="16">
        <f>IF(R534,ABS((O534-$AC$76)/MAX(0.0001,$AC$77-$AC$76)-(N534-$AC$78)/MAX(0.0001,$AC$79-$AC$78)),-1)</f>
        <v/>
      </c>
      <c r="T534" s="14">
        <f>IF(G534,O534,NA())</f>
        <v/>
      </c>
      <c r="U534" s="13">
        <f>IF(G534,N534,NA())</f>
        <v/>
      </c>
      <c r="V534" s="14">
        <f>IF(R534,O534,NA())</f>
        <v/>
      </c>
      <c r="W534" s="13">
        <f>IF(R534,N534,NA())</f>
        <v/>
      </c>
      <c r="X534" s="27">
        <f>IF(G534,P534,"")</f>
        <v/>
      </c>
      <c r="Y534" s="27">
        <f>IF(G534,N534,"")</f>
        <v/>
      </c>
      <c r="Z534" s="27">
        <f>IF(R534,O534,"")</f>
        <v/>
      </c>
      <c r="AA534" s="27">
        <f>IF(R534,N534,"")</f>
        <v/>
      </c>
    </row>
    <row r="535">
      <c r="A535" s="31" t="n">
        <v>0.1</v>
      </c>
      <c r="B535" s="31" t="n">
        <v>0.2</v>
      </c>
      <c r="C535" s="31" t="n">
        <v>0.6</v>
      </c>
      <c r="D535" s="31" t="n">
        <v>0.1</v>
      </c>
      <c r="E535" s="27" t="inlineStr">
        <is>
          <t>ON 10%/1M 20%/2M 60%/3M 10%</t>
        </is>
      </c>
      <c r="F535" s="27" t="n">
        <v>100</v>
      </c>
      <c r="G535" s="27">
        <f>A535*$B$7&gt;=$B$9</f>
        <v/>
      </c>
      <c r="H535" s="13">
        <f>$B$7*(A535*E$71+B535*F$71+C535*G$71+D535*H$71)+F535/100*$B$7*J$71-$C$71</f>
        <v/>
      </c>
      <c r="I535" s="13">
        <f>$B$7*(A535*L$71+B535*M$71+C535*N$71+D535*O$71)+F535/100*$B$7*Q$71-$C$71</f>
        <v/>
      </c>
      <c r="J535" s="13">
        <f>$B$7*(A535*S$71+B535*T$71+C535*U$71+D535*V$71)+F535/100*$B$7*X$71-$C$71</f>
        <v/>
      </c>
      <c r="K535" s="13">
        <f>$B$7*(A535*Z$71+B535*AA$71+C535*AB$71+D535*AC$71)+F535/100*$B$7*AE$71-$C$71</f>
        <v/>
      </c>
      <c r="L535" s="13">
        <f>$B$7*(A535*AG$71+B535*AH$71+C535*AI$71+D535*AJ$71)+F535/100*$B$7*AL$71-$C$71</f>
        <v/>
      </c>
      <c r="M535" s="13">
        <f>$B$7*(A535*AN$71+B535*AO$71+C535*AP$71+D535*AQ$71)+F535/100*$B$7*AS$71-$C$71</f>
        <v/>
      </c>
      <c r="N535" s="13">
        <f>SUMPRODUCT($H$24:$M$24,H535:M535)</f>
        <v/>
      </c>
      <c r="O535" s="14">
        <f>SQRT(SUMPRODUCT($H$24:$M$24,(H535:M535-N535)^2))</f>
        <v/>
      </c>
      <c r="P535" s="13">
        <f>MIN(H535:M535)</f>
        <v/>
      </c>
      <c r="Q535" s="13">
        <f>MAX(H535:M535)</f>
        <v/>
      </c>
      <c r="R535" s="27">
        <f>IF(G535,SUMPRODUCT(($G$76:$G$1505)*($N$76:$N$1505&gt;=N535)*($O$76:$O$1505&lt;=O535))=1,FALSE)</f>
        <v/>
      </c>
      <c r="S535" s="16">
        <f>IF(R535,ABS((O535-$AC$76)/MAX(0.0001,$AC$77-$AC$76)-(N535-$AC$78)/MAX(0.0001,$AC$79-$AC$78)),-1)</f>
        <v/>
      </c>
      <c r="T535" s="14">
        <f>IF(G535,O535,NA())</f>
        <v/>
      </c>
      <c r="U535" s="13">
        <f>IF(G535,N535,NA())</f>
        <v/>
      </c>
      <c r="V535" s="14">
        <f>IF(R535,O535,NA())</f>
        <v/>
      </c>
      <c r="W535" s="13">
        <f>IF(R535,N535,NA())</f>
        <v/>
      </c>
      <c r="X535" s="27">
        <f>IF(G535,P535,"")</f>
        <v/>
      </c>
      <c r="Y535" s="27">
        <f>IF(G535,N535,"")</f>
        <v/>
      </c>
      <c r="Z535" s="27">
        <f>IF(R535,O535,"")</f>
        <v/>
      </c>
      <c r="AA535" s="27">
        <f>IF(R535,N535,"")</f>
        <v/>
      </c>
    </row>
    <row r="536">
      <c r="A536" s="31" t="n">
        <v>0.1</v>
      </c>
      <c r="B536" s="31" t="n">
        <v>0.2</v>
      </c>
      <c r="C536" s="31" t="n">
        <v>0.7</v>
      </c>
      <c r="D536" s="31" t="n">
        <v>0</v>
      </c>
      <c r="E536" s="27" t="inlineStr">
        <is>
          <t>ON 10%/1M 20%/2M 70%</t>
        </is>
      </c>
      <c r="F536" s="27" t="n">
        <v>0</v>
      </c>
      <c r="G536" s="27">
        <f>A536*$B$7&gt;=$B$9</f>
        <v/>
      </c>
      <c r="H536" s="13">
        <f>$B$7*(A536*E$71+B536*F$71+C536*G$71+D536*H$71)+F536/100*$B$7*J$71-$C$71</f>
        <v/>
      </c>
      <c r="I536" s="13">
        <f>$B$7*(A536*L$71+B536*M$71+C536*N$71+D536*O$71)+F536/100*$B$7*Q$71-$C$71</f>
        <v/>
      </c>
      <c r="J536" s="13">
        <f>$B$7*(A536*S$71+B536*T$71+C536*U$71+D536*V$71)+F536/100*$B$7*X$71-$C$71</f>
        <v/>
      </c>
      <c r="K536" s="13">
        <f>$B$7*(A536*Z$71+B536*AA$71+C536*AB$71+D536*AC$71)+F536/100*$B$7*AE$71-$C$71</f>
        <v/>
      </c>
      <c r="L536" s="13">
        <f>$B$7*(A536*AG$71+B536*AH$71+C536*AI$71+D536*AJ$71)+F536/100*$B$7*AL$71-$C$71</f>
        <v/>
      </c>
      <c r="M536" s="13">
        <f>$B$7*(A536*AN$71+B536*AO$71+C536*AP$71+D536*AQ$71)+F536/100*$B$7*AS$71-$C$71</f>
        <v/>
      </c>
      <c r="N536" s="13">
        <f>SUMPRODUCT($H$24:$M$24,H536:M536)</f>
        <v/>
      </c>
      <c r="O536" s="14">
        <f>SQRT(SUMPRODUCT($H$24:$M$24,(H536:M536-N536)^2))</f>
        <v/>
      </c>
      <c r="P536" s="13">
        <f>MIN(H536:M536)</f>
        <v/>
      </c>
      <c r="Q536" s="13">
        <f>MAX(H536:M536)</f>
        <v/>
      </c>
      <c r="R536" s="27">
        <f>IF(G536,SUMPRODUCT(($G$76:$G$1505)*($N$76:$N$1505&gt;=N536)*($O$76:$O$1505&lt;=O536))=1,FALSE)</f>
        <v/>
      </c>
      <c r="S536" s="16">
        <f>IF(R536,ABS((O536-$AC$76)/MAX(0.0001,$AC$77-$AC$76)-(N536-$AC$78)/MAX(0.0001,$AC$79-$AC$78)),-1)</f>
        <v/>
      </c>
      <c r="T536" s="14">
        <f>IF(G536,O536,NA())</f>
        <v/>
      </c>
      <c r="U536" s="13">
        <f>IF(G536,N536,NA())</f>
        <v/>
      </c>
      <c r="V536" s="14">
        <f>IF(R536,O536,NA())</f>
        <v/>
      </c>
      <c r="W536" s="13">
        <f>IF(R536,N536,NA())</f>
        <v/>
      </c>
      <c r="X536" s="27">
        <f>IF(G536,P536,"")</f>
        <v/>
      </c>
      <c r="Y536" s="27">
        <f>IF(G536,N536,"")</f>
        <v/>
      </c>
      <c r="Z536" s="27">
        <f>IF(R536,O536,"")</f>
        <v/>
      </c>
      <c r="AA536" s="27">
        <f>IF(R536,N536,"")</f>
        <v/>
      </c>
    </row>
    <row r="537">
      <c r="A537" s="31" t="n">
        <v>0.1</v>
      </c>
      <c r="B537" s="31" t="n">
        <v>0.2</v>
      </c>
      <c r="C537" s="31" t="n">
        <v>0.7</v>
      </c>
      <c r="D537" s="31" t="n">
        <v>0</v>
      </c>
      <c r="E537" s="27" t="inlineStr">
        <is>
          <t>ON 10%/1M 20%/2M 70%</t>
        </is>
      </c>
      <c r="F537" s="27" t="n">
        <v>25</v>
      </c>
      <c r="G537" s="27">
        <f>A537*$B$7&gt;=$B$9</f>
        <v/>
      </c>
      <c r="H537" s="13">
        <f>$B$7*(A537*E$71+B537*F$71+C537*G$71+D537*H$71)+F537/100*$B$7*J$71-$C$71</f>
        <v/>
      </c>
      <c r="I537" s="13">
        <f>$B$7*(A537*L$71+B537*M$71+C537*N$71+D537*O$71)+F537/100*$B$7*Q$71-$C$71</f>
        <v/>
      </c>
      <c r="J537" s="13">
        <f>$B$7*(A537*S$71+B537*T$71+C537*U$71+D537*V$71)+F537/100*$B$7*X$71-$C$71</f>
        <v/>
      </c>
      <c r="K537" s="13">
        <f>$B$7*(A537*Z$71+B537*AA$71+C537*AB$71+D537*AC$71)+F537/100*$B$7*AE$71-$C$71</f>
        <v/>
      </c>
      <c r="L537" s="13">
        <f>$B$7*(A537*AG$71+B537*AH$71+C537*AI$71+D537*AJ$71)+F537/100*$B$7*AL$71-$C$71</f>
        <v/>
      </c>
      <c r="M537" s="13">
        <f>$B$7*(A537*AN$71+B537*AO$71+C537*AP$71+D537*AQ$71)+F537/100*$B$7*AS$71-$C$71</f>
        <v/>
      </c>
      <c r="N537" s="13">
        <f>SUMPRODUCT($H$24:$M$24,H537:M537)</f>
        <v/>
      </c>
      <c r="O537" s="14">
        <f>SQRT(SUMPRODUCT($H$24:$M$24,(H537:M537-N537)^2))</f>
        <v/>
      </c>
      <c r="P537" s="13">
        <f>MIN(H537:M537)</f>
        <v/>
      </c>
      <c r="Q537" s="13">
        <f>MAX(H537:M537)</f>
        <v/>
      </c>
      <c r="R537" s="27">
        <f>IF(G537,SUMPRODUCT(($G$76:$G$1505)*($N$76:$N$1505&gt;=N537)*($O$76:$O$1505&lt;=O537))=1,FALSE)</f>
        <v/>
      </c>
      <c r="S537" s="16">
        <f>IF(R537,ABS((O537-$AC$76)/MAX(0.0001,$AC$77-$AC$76)-(N537-$AC$78)/MAX(0.0001,$AC$79-$AC$78)),-1)</f>
        <v/>
      </c>
      <c r="T537" s="14">
        <f>IF(G537,O537,NA())</f>
        <v/>
      </c>
      <c r="U537" s="13">
        <f>IF(G537,N537,NA())</f>
        <v/>
      </c>
      <c r="V537" s="14">
        <f>IF(R537,O537,NA())</f>
        <v/>
      </c>
      <c r="W537" s="13">
        <f>IF(R537,N537,NA())</f>
        <v/>
      </c>
      <c r="X537" s="27">
        <f>IF(G537,P537,"")</f>
        <v/>
      </c>
      <c r="Y537" s="27">
        <f>IF(G537,N537,"")</f>
        <v/>
      </c>
      <c r="Z537" s="27">
        <f>IF(R537,O537,"")</f>
        <v/>
      </c>
      <c r="AA537" s="27">
        <f>IF(R537,N537,"")</f>
        <v/>
      </c>
    </row>
    <row r="538">
      <c r="A538" s="31" t="n">
        <v>0.1</v>
      </c>
      <c r="B538" s="31" t="n">
        <v>0.2</v>
      </c>
      <c r="C538" s="31" t="n">
        <v>0.7</v>
      </c>
      <c r="D538" s="31" t="n">
        <v>0</v>
      </c>
      <c r="E538" s="27" t="inlineStr">
        <is>
          <t>ON 10%/1M 20%/2M 70%</t>
        </is>
      </c>
      <c r="F538" s="27" t="n">
        <v>50</v>
      </c>
      <c r="G538" s="27">
        <f>A538*$B$7&gt;=$B$9</f>
        <v/>
      </c>
      <c r="H538" s="13">
        <f>$B$7*(A538*E$71+B538*F$71+C538*G$71+D538*H$71)+F538/100*$B$7*J$71-$C$71</f>
        <v/>
      </c>
      <c r="I538" s="13">
        <f>$B$7*(A538*L$71+B538*M$71+C538*N$71+D538*O$71)+F538/100*$B$7*Q$71-$C$71</f>
        <v/>
      </c>
      <c r="J538" s="13">
        <f>$B$7*(A538*S$71+B538*T$71+C538*U$71+D538*V$71)+F538/100*$B$7*X$71-$C$71</f>
        <v/>
      </c>
      <c r="K538" s="13">
        <f>$B$7*(A538*Z$71+B538*AA$71+C538*AB$71+D538*AC$71)+F538/100*$B$7*AE$71-$C$71</f>
        <v/>
      </c>
      <c r="L538" s="13">
        <f>$B$7*(A538*AG$71+B538*AH$71+C538*AI$71+D538*AJ$71)+F538/100*$B$7*AL$71-$C$71</f>
        <v/>
      </c>
      <c r="M538" s="13">
        <f>$B$7*(A538*AN$71+B538*AO$71+C538*AP$71+D538*AQ$71)+F538/100*$B$7*AS$71-$C$71</f>
        <v/>
      </c>
      <c r="N538" s="13">
        <f>SUMPRODUCT($H$24:$M$24,H538:M538)</f>
        <v/>
      </c>
      <c r="O538" s="14">
        <f>SQRT(SUMPRODUCT($H$24:$M$24,(H538:M538-N538)^2))</f>
        <v/>
      </c>
      <c r="P538" s="13">
        <f>MIN(H538:M538)</f>
        <v/>
      </c>
      <c r="Q538" s="13">
        <f>MAX(H538:M538)</f>
        <v/>
      </c>
      <c r="R538" s="27">
        <f>IF(G538,SUMPRODUCT(($G$76:$G$1505)*($N$76:$N$1505&gt;=N538)*($O$76:$O$1505&lt;=O538))=1,FALSE)</f>
        <v/>
      </c>
      <c r="S538" s="16">
        <f>IF(R538,ABS((O538-$AC$76)/MAX(0.0001,$AC$77-$AC$76)-(N538-$AC$78)/MAX(0.0001,$AC$79-$AC$78)),-1)</f>
        <v/>
      </c>
      <c r="T538" s="14">
        <f>IF(G538,O538,NA())</f>
        <v/>
      </c>
      <c r="U538" s="13">
        <f>IF(G538,N538,NA())</f>
        <v/>
      </c>
      <c r="V538" s="14">
        <f>IF(R538,O538,NA())</f>
        <v/>
      </c>
      <c r="W538" s="13">
        <f>IF(R538,N538,NA())</f>
        <v/>
      </c>
      <c r="X538" s="27">
        <f>IF(G538,P538,"")</f>
        <v/>
      </c>
      <c r="Y538" s="27">
        <f>IF(G538,N538,"")</f>
        <v/>
      </c>
      <c r="Z538" s="27">
        <f>IF(R538,O538,"")</f>
        <v/>
      </c>
      <c r="AA538" s="27">
        <f>IF(R538,N538,"")</f>
        <v/>
      </c>
    </row>
    <row r="539">
      <c r="A539" s="31" t="n">
        <v>0.1</v>
      </c>
      <c r="B539" s="31" t="n">
        <v>0.2</v>
      </c>
      <c r="C539" s="31" t="n">
        <v>0.7</v>
      </c>
      <c r="D539" s="31" t="n">
        <v>0</v>
      </c>
      <c r="E539" s="27" t="inlineStr">
        <is>
          <t>ON 10%/1M 20%/2M 70%</t>
        </is>
      </c>
      <c r="F539" s="27" t="n">
        <v>75</v>
      </c>
      <c r="G539" s="27">
        <f>A539*$B$7&gt;=$B$9</f>
        <v/>
      </c>
      <c r="H539" s="13">
        <f>$B$7*(A539*E$71+B539*F$71+C539*G$71+D539*H$71)+F539/100*$B$7*J$71-$C$71</f>
        <v/>
      </c>
      <c r="I539" s="13">
        <f>$B$7*(A539*L$71+B539*M$71+C539*N$71+D539*O$71)+F539/100*$B$7*Q$71-$C$71</f>
        <v/>
      </c>
      <c r="J539" s="13">
        <f>$B$7*(A539*S$71+B539*T$71+C539*U$71+D539*V$71)+F539/100*$B$7*X$71-$C$71</f>
        <v/>
      </c>
      <c r="K539" s="13">
        <f>$B$7*(A539*Z$71+B539*AA$71+C539*AB$71+D539*AC$71)+F539/100*$B$7*AE$71-$C$71</f>
        <v/>
      </c>
      <c r="L539" s="13">
        <f>$B$7*(A539*AG$71+B539*AH$71+C539*AI$71+D539*AJ$71)+F539/100*$B$7*AL$71-$C$71</f>
        <v/>
      </c>
      <c r="M539" s="13">
        <f>$B$7*(A539*AN$71+B539*AO$71+C539*AP$71+D539*AQ$71)+F539/100*$B$7*AS$71-$C$71</f>
        <v/>
      </c>
      <c r="N539" s="13">
        <f>SUMPRODUCT($H$24:$M$24,H539:M539)</f>
        <v/>
      </c>
      <c r="O539" s="14">
        <f>SQRT(SUMPRODUCT($H$24:$M$24,(H539:M539-N539)^2))</f>
        <v/>
      </c>
      <c r="P539" s="13">
        <f>MIN(H539:M539)</f>
        <v/>
      </c>
      <c r="Q539" s="13">
        <f>MAX(H539:M539)</f>
        <v/>
      </c>
      <c r="R539" s="27">
        <f>IF(G539,SUMPRODUCT(($G$76:$G$1505)*($N$76:$N$1505&gt;=N539)*($O$76:$O$1505&lt;=O539))=1,FALSE)</f>
        <v/>
      </c>
      <c r="S539" s="16">
        <f>IF(R539,ABS((O539-$AC$76)/MAX(0.0001,$AC$77-$AC$76)-(N539-$AC$78)/MAX(0.0001,$AC$79-$AC$78)),-1)</f>
        <v/>
      </c>
      <c r="T539" s="14">
        <f>IF(G539,O539,NA())</f>
        <v/>
      </c>
      <c r="U539" s="13">
        <f>IF(G539,N539,NA())</f>
        <v/>
      </c>
      <c r="V539" s="14">
        <f>IF(R539,O539,NA())</f>
        <v/>
      </c>
      <c r="W539" s="13">
        <f>IF(R539,N539,NA())</f>
        <v/>
      </c>
      <c r="X539" s="27">
        <f>IF(G539,P539,"")</f>
        <v/>
      </c>
      <c r="Y539" s="27">
        <f>IF(G539,N539,"")</f>
        <v/>
      </c>
      <c r="Z539" s="27">
        <f>IF(R539,O539,"")</f>
        <v/>
      </c>
      <c r="AA539" s="27">
        <f>IF(R539,N539,"")</f>
        <v/>
      </c>
    </row>
    <row r="540">
      <c r="A540" s="31" t="n">
        <v>0.1</v>
      </c>
      <c r="B540" s="31" t="n">
        <v>0.2</v>
      </c>
      <c r="C540" s="31" t="n">
        <v>0.7</v>
      </c>
      <c r="D540" s="31" t="n">
        <v>0</v>
      </c>
      <c r="E540" s="27" t="inlineStr">
        <is>
          <t>ON 10%/1M 20%/2M 70%</t>
        </is>
      </c>
      <c r="F540" s="27" t="n">
        <v>100</v>
      </c>
      <c r="G540" s="27">
        <f>A540*$B$7&gt;=$B$9</f>
        <v/>
      </c>
      <c r="H540" s="13">
        <f>$B$7*(A540*E$71+B540*F$71+C540*G$71+D540*H$71)+F540/100*$B$7*J$71-$C$71</f>
        <v/>
      </c>
      <c r="I540" s="13">
        <f>$B$7*(A540*L$71+B540*M$71+C540*N$71+D540*O$71)+F540/100*$B$7*Q$71-$C$71</f>
        <v/>
      </c>
      <c r="J540" s="13">
        <f>$B$7*(A540*S$71+B540*T$71+C540*U$71+D540*V$71)+F540/100*$B$7*X$71-$C$71</f>
        <v/>
      </c>
      <c r="K540" s="13">
        <f>$B$7*(A540*Z$71+B540*AA$71+C540*AB$71+D540*AC$71)+F540/100*$B$7*AE$71-$C$71</f>
        <v/>
      </c>
      <c r="L540" s="13">
        <f>$B$7*(A540*AG$71+B540*AH$71+C540*AI$71+D540*AJ$71)+F540/100*$B$7*AL$71-$C$71</f>
        <v/>
      </c>
      <c r="M540" s="13">
        <f>$B$7*(A540*AN$71+B540*AO$71+C540*AP$71+D540*AQ$71)+F540/100*$B$7*AS$71-$C$71</f>
        <v/>
      </c>
      <c r="N540" s="13">
        <f>SUMPRODUCT($H$24:$M$24,H540:M540)</f>
        <v/>
      </c>
      <c r="O540" s="14">
        <f>SQRT(SUMPRODUCT($H$24:$M$24,(H540:M540-N540)^2))</f>
        <v/>
      </c>
      <c r="P540" s="13">
        <f>MIN(H540:M540)</f>
        <v/>
      </c>
      <c r="Q540" s="13">
        <f>MAX(H540:M540)</f>
        <v/>
      </c>
      <c r="R540" s="27">
        <f>IF(G540,SUMPRODUCT(($G$76:$G$1505)*($N$76:$N$1505&gt;=N540)*($O$76:$O$1505&lt;=O540))=1,FALSE)</f>
        <v/>
      </c>
      <c r="S540" s="16">
        <f>IF(R540,ABS((O540-$AC$76)/MAX(0.0001,$AC$77-$AC$76)-(N540-$AC$78)/MAX(0.0001,$AC$79-$AC$78)),-1)</f>
        <v/>
      </c>
      <c r="T540" s="14">
        <f>IF(G540,O540,NA())</f>
        <v/>
      </c>
      <c r="U540" s="13">
        <f>IF(G540,N540,NA())</f>
        <v/>
      </c>
      <c r="V540" s="14">
        <f>IF(R540,O540,NA())</f>
        <v/>
      </c>
      <c r="W540" s="13">
        <f>IF(R540,N540,NA())</f>
        <v/>
      </c>
      <c r="X540" s="27">
        <f>IF(G540,P540,"")</f>
        <v/>
      </c>
      <c r="Y540" s="27">
        <f>IF(G540,N540,"")</f>
        <v/>
      </c>
      <c r="Z540" s="27">
        <f>IF(R540,O540,"")</f>
        <v/>
      </c>
      <c r="AA540" s="27">
        <f>IF(R540,N540,"")</f>
        <v/>
      </c>
    </row>
    <row r="541">
      <c r="A541" s="31" t="n">
        <v>0.1</v>
      </c>
      <c r="B541" s="31" t="n">
        <v>0.3</v>
      </c>
      <c r="C541" s="31" t="n">
        <v>0</v>
      </c>
      <c r="D541" s="31" t="n">
        <v>0.6</v>
      </c>
      <c r="E541" s="27" t="inlineStr">
        <is>
          <t>ON 10%/1M 30%/3M 60%</t>
        </is>
      </c>
      <c r="F541" s="27" t="n">
        <v>0</v>
      </c>
      <c r="G541" s="27">
        <f>A541*$B$7&gt;=$B$9</f>
        <v/>
      </c>
      <c r="H541" s="13">
        <f>$B$7*(A541*E$71+B541*F$71+C541*G$71+D541*H$71)+F541/100*$B$7*J$71-$C$71</f>
        <v/>
      </c>
      <c r="I541" s="13">
        <f>$B$7*(A541*L$71+B541*M$71+C541*N$71+D541*O$71)+F541/100*$B$7*Q$71-$C$71</f>
        <v/>
      </c>
      <c r="J541" s="13">
        <f>$B$7*(A541*S$71+B541*T$71+C541*U$71+D541*V$71)+F541/100*$B$7*X$71-$C$71</f>
        <v/>
      </c>
      <c r="K541" s="13">
        <f>$B$7*(A541*Z$71+B541*AA$71+C541*AB$71+D541*AC$71)+F541/100*$B$7*AE$71-$C$71</f>
        <v/>
      </c>
      <c r="L541" s="13">
        <f>$B$7*(A541*AG$71+B541*AH$71+C541*AI$71+D541*AJ$71)+F541/100*$B$7*AL$71-$C$71</f>
        <v/>
      </c>
      <c r="M541" s="13">
        <f>$B$7*(A541*AN$71+B541*AO$71+C541*AP$71+D541*AQ$71)+F541/100*$B$7*AS$71-$C$71</f>
        <v/>
      </c>
      <c r="N541" s="13">
        <f>SUMPRODUCT($H$24:$M$24,H541:M541)</f>
        <v/>
      </c>
      <c r="O541" s="14">
        <f>SQRT(SUMPRODUCT($H$24:$M$24,(H541:M541-N541)^2))</f>
        <v/>
      </c>
      <c r="P541" s="13">
        <f>MIN(H541:M541)</f>
        <v/>
      </c>
      <c r="Q541" s="13">
        <f>MAX(H541:M541)</f>
        <v/>
      </c>
      <c r="R541" s="27">
        <f>IF(G541,SUMPRODUCT(($G$76:$G$1505)*($N$76:$N$1505&gt;=N541)*($O$76:$O$1505&lt;=O541))=1,FALSE)</f>
        <v/>
      </c>
      <c r="S541" s="16">
        <f>IF(R541,ABS((O541-$AC$76)/MAX(0.0001,$AC$77-$AC$76)-(N541-$AC$78)/MAX(0.0001,$AC$79-$AC$78)),-1)</f>
        <v/>
      </c>
      <c r="T541" s="14">
        <f>IF(G541,O541,NA())</f>
        <v/>
      </c>
      <c r="U541" s="13">
        <f>IF(G541,N541,NA())</f>
        <v/>
      </c>
      <c r="V541" s="14">
        <f>IF(R541,O541,NA())</f>
        <v/>
      </c>
      <c r="W541" s="13">
        <f>IF(R541,N541,NA())</f>
        <v/>
      </c>
      <c r="X541" s="27">
        <f>IF(G541,P541,"")</f>
        <v/>
      </c>
      <c r="Y541" s="27">
        <f>IF(G541,N541,"")</f>
        <v/>
      </c>
      <c r="Z541" s="27">
        <f>IF(R541,O541,"")</f>
        <v/>
      </c>
      <c r="AA541" s="27">
        <f>IF(R541,N541,"")</f>
        <v/>
      </c>
    </row>
    <row r="542">
      <c r="A542" s="31" t="n">
        <v>0.1</v>
      </c>
      <c r="B542" s="31" t="n">
        <v>0.3</v>
      </c>
      <c r="C542" s="31" t="n">
        <v>0</v>
      </c>
      <c r="D542" s="31" t="n">
        <v>0.6</v>
      </c>
      <c r="E542" s="27" t="inlineStr">
        <is>
          <t>ON 10%/1M 30%/3M 60%</t>
        </is>
      </c>
      <c r="F542" s="27" t="n">
        <v>25</v>
      </c>
      <c r="G542" s="27">
        <f>A542*$B$7&gt;=$B$9</f>
        <v/>
      </c>
      <c r="H542" s="13">
        <f>$B$7*(A542*E$71+B542*F$71+C542*G$71+D542*H$71)+F542/100*$B$7*J$71-$C$71</f>
        <v/>
      </c>
      <c r="I542" s="13">
        <f>$B$7*(A542*L$71+B542*M$71+C542*N$71+D542*O$71)+F542/100*$B$7*Q$71-$C$71</f>
        <v/>
      </c>
      <c r="J542" s="13">
        <f>$B$7*(A542*S$71+B542*T$71+C542*U$71+D542*V$71)+F542/100*$B$7*X$71-$C$71</f>
        <v/>
      </c>
      <c r="K542" s="13">
        <f>$B$7*(A542*Z$71+B542*AA$71+C542*AB$71+D542*AC$71)+F542/100*$B$7*AE$71-$C$71</f>
        <v/>
      </c>
      <c r="L542" s="13">
        <f>$B$7*(A542*AG$71+B542*AH$71+C542*AI$71+D542*AJ$71)+F542/100*$B$7*AL$71-$C$71</f>
        <v/>
      </c>
      <c r="M542" s="13">
        <f>$B$7*(A542*AN$71+B542*AO$71+C542*AP$71+D542*AQ$71)+F542/100*$B$7*AS$71-$C$71</f>
        <v/>
      </c>
      <c r="N542" s="13">
        <f>SUMPRODUCT($H$24:$M$24,H542:M542)</f>
        <v/>
      </c>
      <c r="O542" s="14">
        <f>SQRT(SUMPRODUCT($H$24:$M$24,(H542:M542-N542)^2))</f>
        <v/>
      </c>
      <c r="P542" s="13">
        <f>MIN(H542:M542)</f>
        <v/>
      </c>
      <c r="Q542" s="13">
        <f>MAX(H542:M542)</f>
        <v/>
      </c>
      <c r="R542" s="27">
        <f>IF(G542,SUMPRODUCT(($G$76:$G$1505)*($N$76:$N$1505&gt;=N542)*($O$76:$O$1505&lt;=O542))=1,FALSE)</f>
        <v/>
      </c>
      <c r="S542" s="16">
        <f>IF(R542,ABS((O542-$AC$76)/MAX(0.0001,$AC$77-$AC$76)-(N542-$AC$78)/MAX(0.0001,$AC$79-$AC$78)),-1)</f>
        <v/>
      </c>
      <c r="T542" s="14">
        <f>IF(G542,O542,NA())</f>
        <v/>
      </c>
      <c r="U542" s="13">
        <f>IF(G542,N542,NA())</f>
        <v/>
      </c>
      <c r="V542" s="14">
        <f>IF(R542,O542,NA())</f>
        <v/>
      </c>
      <c r="W542" s="13">
        <f>IF(R542,N542,NA())</f>
        <v/>
      </c>
      <c r="X542" s="27">
        <f>IF(G542,P542,"")</f>
        <v/>
      </c>
      <c r="Y542" s="27">
        <f>IF(G542,N542,"")</f>
        <v/>
      </c>
      <c r="Z542" s="27">
        <f>IF(R542,O542,"")</f>
        <v/>
      </c>
      <c r="AA542" s="27">
        <f>IF(R542,N542,"")</f>
        <v/>
      </c>
    </row>
    <row r="543">
      <c r="A543" s="31" t="n">
        <v>0.1</v>
      </c>
      <c r="B543" s="31" t="n">
        <v>0.3</v>
      </c>
      <c r="C543" s="31" t="n">
        <v>0</v>
      </c>
      <c r="D543" s="31" t="n">
        <v>0.6</v>
      </c>
      <c r="E543" s="27" t="inlineStr">
        <is>
          <t>ON 10%/1M 30%/3M 60%</t>
        </is>
      </c>
      <c r="F543" s="27" t="n">
        <v>50</v>
      </c>
      <c r="G543" s="27">
        <f>A543*$B$7&gt;=$B$9</f>
        <v/>
      </c>
      <c r="H543" s="13">
        <f>$B$7*(A543*E$71+B543*F$71+C543*G$71+D543*H$71)+F543/100*$B$7*J$71-$C$71</f>
        <v/>
      </c>
      <c r="I543" s="13">
        <f>$B$7*(A543*L$71+B543*M$71+C543*N$71+D543*O$71)+F543/100*$B$7*Q$71-$C$71</f>
        <v/>
      </c>
      <c r="J543" s="13">
        <f>$B$7*(A543*S$71+B543*T$71+C543*U$71+D543*V$71)+F543/100*$B$7*X$71-$C$71</f>
        <v/>
      </c>
      <c r="K543" s="13">
        <f>$B$7*(A543*Z$71+B543*AA$71+C543*AB$71+D543*AC$71)+F543/100*$B$7*AE$71-$C$71</f>
        <v/>
      </c>
      <c r="L543" s="13">
        <f>$B$7*(A543*AG$71+B543*AH$71+C543*AI$71+D543*AJ$71)+F543/100*$B$7*AL$71-$C$71</f>
        <v/>
      </c>
      <c r="M543" s="13">
        <f>$B$7*(A543*AN$71+B543*AO$71+C543*AP$71+D543*AQ$71)+F543/100*$B$7*AS$71-$C$71</f>
        <v/>
      </c>
      <c r="N543" s="13">
        <f>SUMPRODUCT($H$24:$M$24,H543:M543)</f>
        <v/>
      </c>
      <c r="O543" s="14">
        <f>SQRT(SUMPRODUCT($H$24:$M$24,(H543:M543-N543)^2))</f>
        <v/>
      </c>
      <c r="P543" s="13">
        <f>MIN(H543:M543)</f>
        <v/>
      </c>
      <c r="Q543" s="13">
        <f>MAX(H543:M543)</f>
        <v/>
      </c>
      <c r="R543" s="27">
        <f>IF(G543,SUMPRODUCT(($G$76:$G$1505)*($N$76:$N$1505&gt;=N543)*($O$76:$O$1505&lt;=O543))=1,FALSE)</f>
        <v/>
      </c>
      <c r="S543" s="16">
        <f>IF(R543,ABS((O543-$AC$76)/MAX(0.0001,$AC$77-$AC$76)-(N543-$AC$78)/MAX(0.0001,$AC$79-$AC$78)),-1)</f>
        <v/>
      </c>
      <c r="T543" s="14">
        <f>IF(G543,O543,NA())</f>
        <v/>
      </c>
      <c r="U543" s="13">
        <f>IF(G543,N543,NA())</f>
        <v/>
      </c>
      <c r="V543" s="14">
        <f>IF(R543,O543,NA())</f>
        <v/>
      </c>
      <c r="W543" s="13">
        <f>IF(R543,N543,NA())</f>
        <v/>
      </c>
      <c r="X543" s="27">
        <f>IF(G543,P543,"")</f>
        <v/>
      </c>
      <c r="Y543" s="27">
        <f>IF(G543,N543,"")</f>
        <v/>
      </c>
      <c r="Z543" s="27">
        <f>IF(R543,O543,"")</f>
        <v/>
      </c>
      <c r="AA543" s="27">
        <f>IF(R543,N543,"")</f>
        <v/>
      </c>
    </row>
    <row r="544">
      <c r="A544" s="31" t="n">
        <v>0.1</v>
      </c>
      <c r="B544" s="31" t="n">
        <v>0.3</v>
      </c>
      <c r="C544" s="31" t="n">
        <v>0</v>
      </c>
      <c r="D544" s="31" t="n">
        <v>0.6</v>
      </c>
      <c r="E544" s="27" t="inlineStr">
        <is>
          <t>ON 10%/1M 30%/3M 60%</t>
        </is>
      </c>
      <c r="F544" s="27" t="n">
        <v>75</v>
      </c>
      <c r="G544" s="27">
        <f>A544*$B$7&gt;=$B$9</f>
        <v/>
      </c>
      <c r="H544" s="13">
        <f>$B$7*(A544*E$71+B544*F$71+C544*G$71+D544*H$71)+F544/100*$B$7*J$71-$C$71</f>
        <v/>
      </c>
      <c r="I544" s="13">
        <f>$B$7*(A544*L$71+B544*M$71+C544*N$71+D544*O$71)+F544/100*$B$7*Q$71-$C$71</f>
        <v/>
      </c>
      <c r="J544" s="13">
        <f>$B$7*(A544*S$71+B544*T$71+C544*U$71+D544*V$71)+F544/100*$B$7*X$71-$C$71</f>
        <v/>
      </c>
      <c r="K544" s="13">
        <f>$B$7*(A544*Z$71+B544*AA$71+C544*AB$71+D544*AC$71)+F544/100*$B$7*AE$71-$C$71</f>
        <v/>
      </c>
      <c r="L544" s="13">
        <f>$B$7*(A544*AG$71+B544*AH$71+C544*AI$71+D544*AJ$71)+F544/100*$B$7*AL$71-$C$71</f>
        <v/>
      </c>
      <c r="M544" s="13">
        <f>$B$7*(A544*AN$71+B544*AO$71+C544*AP$71+D544*AQ$71)+F544/100*$B$7*AS$71-$C$71</f>
        <v/>
      </c>
      <c r="N544" s="13">
        <f>SUMPRODUCT($H$24:$M$24,H544:M544)</f>
        <v/>
      </c>
      <c r="O544" s="14">
        <f>SQRT(SUMPRODUCT($H$24:$M$24,(H544:M544-N544)^2))</f>
        <v/>
      </c>
      <c r="P544" s="13">
        <f>MIN(H544:M544)</f>
        <v/>
      </c>
      <c r="Q544" s="13">
        <f>MAX(H544:M544)</f>
        <v/>
      </c>
      <c r="R544" s="27">
        <f>IF(G544,SUMPRODUCT(($G$76:$G$1505)*($N$76:$N$1505&gt;=N544)*($O$76:$O$1505&lt;=O544))=1,FALSE)</f>
        <v/>
      </c>
      <c r="S544" s="16">
        <f>IF(R544,ABS((O544-$AC$76)/MAX(0.0001,$AC$77-$AC$76)-(N544-$AC$78)/MAX(0.0001,$AC$79-$AC$78)),-1)</f>
        <v/>
      </c>
      <c r="T544" s="14">
        <f>IF(G544,O544,NA())</f>
        <v/>
      </c>
      <c r="U544" s="13">
        <f>IF(G544,N544,NA())</f>
        <v/>
      </c>
      <c r="V544" s="14">
        <f>IF(R544,O544,NA())</f>
        <v/>
      </c>
      <c r="W544" s="13">
        <f>IF(R544,N544,NA())</f>
        <v/>
      </c>
      <c r="X544" s="27">
        <f>IF(G544,P544,"")</f>
        <v/>
      </c>
      <c r="Y544" s="27">
        <f>IF(G544,N544,"")</f>
        <v/>
      </c>
      <c r="Z544" s="27">
        <f>IF(R544,O544,"")</f>
        <v/>
      </c>
      <c r="AA544" s="27">
        <f>IF(R544,N544,"")</f>
        <v/>
      </c>
    </row>
    <row r="545">
      <c r="A545" s="31" t="n">
        <v>0.1</v>
      </c>
      <c r="B545" s="31" t="n">
        <v>0.3</v>
      </c>
      <c r="C545" s="31" t="n">
        <v>0</v>
      </c>
      <c r="D545" s="31" t="n">
        <v>0.6</v>
      </c>
      <c r="E545" s="27" t="inlineStr">
        <is>
          <t>ON 10%/1M 30%/3M 60%</t>
        </is>
      </c>
      <c r="F545" s="27" t="n">
        <v>100</v>
      </c>
      <c r="G545" s="27">
        <f>A545*$B$7&gt;=$B$9</f>
        <v/>
      </c>
      <c r="H545" s="13">
        <f>$B$7*(A545*E$71+B545*F$71+C545*G$71+D545*H$71)+F545/100*$B$7*J$71-$C$71</f>
        <v/>
      </c>
      <c r="I545" s="13">
        <f>$B$7*(A545*L$71+B545*M$71+C545*N$71+D545*O$71)+F545/100*$B$7*Q$71-$C$71</f>
        <v/>
      </c>
      <c r="J545" s="13">
        <f>$B$7*(A545*S$71+B545*T$71+C545*U$71+D545*V$71)+F545/100*$B$7*X$71-$C$71</f>
        <v/>
      </c>
      <c r="K545" s="13">
        <f>$B$7*(A545*Z$71+B545*AA$71+C545*AB$71+D545*AC$71)+F545/100*$B$7*AE$71-$C$71</f>
        <v/>
      </c>
      <c r="L545" s="13">
        <f>$B$7*(A545*AG$71+B545*AH$71+C545*AI$71+D545*AJ$71)+F545/100*$B$7*AL$71-$C$71</f>
        <v/>
      </c>
      <c r="M545" s="13">
        <f>$B$7*(A545*AN$71+B545*AO$71+C545*AP$71+D545*AQ$71)+F545/100*$B$7*AS$71-$C$71</f>
        <v/>
      </c>
      <c r="N545" s="13">
        <f>SUMPRODUCT($H$24:$M$24,H545:M545)</f>
        <v/>
      </c>
      <c r="O545" s="14">
        <f>SQRT(SUMPRODUCT($H$24:$M$24,(H545:M545-N545)^2))</f>
        <v/>
      </c>
      <c r="P545" s="13">
        <f>MIN(H545:M545)</f>
        <v/>
      </c>
      <c r="Q545" s="13">
        <f>MAX(H545:M545)</f>
        <v/>
      </c>
      <c r="R545" s="27">
        <f>IF(G545,SUMPRODUCT(($G$76:$G$1505)*($N$76:$N$1505&gt;=N545)*($O$76:$O$1505&lt;=O545))=1,FALSE)</f>
        <v/>
      </c>
      <c r="S545" s="16">
        <f>IF(R545,ABS((O545-$AC$76)/MAX(0.0001,$AC$77-$AC$76)-(N545-$AC$78)/MAX(0.0001,$AC$79-$AC$78)),-1)</f>
        <v/>
      </c>
      <c r="T545" s="14">
        <f>IF(G545,O545,NA())</f>
        <v/>
      </c>
      <c r="U545" s="13">
        <f>IF(G545,N545,NA())</f>
        <v/>
      </c>
      <c r="V545" s="14">
        <f>IF(R545,O545,NA())</f>
        <v/>
      </c>
      <c r="W545" s="13">
        <f>IF(R545,N545,NA())</f>
        <v/>
      </c>
      <c r="X545" s="27">
        <f>IF(G545,P545,"")</f>
        <v/>
      </c>
      <c r="Y545" s="27">
        <f>IF(G545,N545,"")</f>
        <v/>
      </c>
      <c r="Z545" s="27">
        <f>IF(R545,O545,"")</f>
        <v/>
      </c>
      <c r="AA545" s="27">
        <f>IF(R545,N545,"")</f>
        <v/>
      </c>
    </row>
    <row r="546">
      <c r="A546" s="31" t="n">
        <v>0.1</v>
      </c>
      <c r="B546" s="31" t="n">
        <v>0.3</v>
      </c>
      <c r="C546" s="31" t="n">
        <v>0.1</v>
      </c>
      <c r="D546" s="31" t="n">
        <v>0.5</v>
      </c>
      <c r="E546" s="27" t="inlineStr">
        <is>
          <t>ON 10%/1M 30%/2M 10%/3M 50%</t>
        </is>
      </c>
      <c r="F546" s="27" t="n">
        <v>0</v>
      </c>
      <c r="G546" s="27">
        <f>A546*$B$7&gt;=$B$9</f>
        <v/>
      </c>
      <c r="H546" s="13">
        <f>$B$7*(A546*E$71+B546*F$71+C546*G$71+D546*H$71)+F546/100*$B$7*J$71-$C$71</f>
        <v/>
      </c>
      <c r="I546" s="13">
        <f>$B$7*(A546*L$71+B546*M$71+C546*N$71+D546*O$71)+F546/100*$B$7*Q$71-$C$71</f>
        <v/>
      </c>
      <c r="J546" s="13">
        <f>$B$7*(A546*S$71+B546*T$71+C546*U$71+D546*V$71)+F546/100*$B$7*X$71-$C$71</f>
        <v/>
      </c>
      <c r="K546" s="13">
        <f>$B$7*(A546*Z$71+B546*AA$71+C546*AB$71+D546*AC$71)+F546/100*$B$7*AE$71-$C$71</f>
        <v/>
      </c>
      <c r="L546" s="13">
        <f>$B$7*(A546*AG$71+B546*AH$71+C546*AI$71+D546*AJ$71)+F546/100*$B$7*AL$71-$C$71</f>
        <v/>
      </c>
      <c r="M546" s="13">
        <f>$B$7*(A546*AN$71+B546*AO$71+C546*AP$71+D546*AQ$71)+F546/100*$B$7*AS$71-$C$71</f>
        <v/>
      </c>
      <c r="N546" s="13">
        <f>SUMPRODUCT($H$24:$M$24,H546:M546)</f>
        <v/>
      </c>
      <c r="O546" s="14">
        <f>SQRT(SUMPRODUCT($H$24:$M$24,(H546:M546-N546)^2))</f>
        <v/>
      </c>
      <c r="P546" s="13">
        <f>MIN(H546:M546)</f>
        <v/>
      </c>
      <c r="Q546" s="13">
        <f>MAX(H546:M546)</f>
        <v/>
      </c>
      <c r="R546" s="27">
        <f>IF(G546,SUMPRODUCT(($G$76:$G$1505)*($N$76:$N$1505&gt;=N546)*($O$76:$O$1505&lt;=O546))=1,FALSE)</f>
        <v/>
      </c>
      <c r="S546" s="16">
        <f>IF(R546,ABS((O546-$AC$76)/MAX(0.0001,$AC$77-$AC$76)-(N546-$AC$78)/MAX(0.0001,$AC$79-$AC$78)),-1)</f>
        <v/>
      </c>
      <c r="T546" s="14">
        <f>IF(G546,O546,NA())</f>
        <v/>
      </c>
      <c r="U546" s="13">
        <f>IF(G546,N546,NA())</f>
        <v/>
      </c>
      <c r="V546" s="14">
        <f>IF(R546,O546,NA())</f>
        <v/>
      </c>
      <c r="W546" s="13">
        <f>IF(R546,N546,NA())</f>
        <v/>
      </c>
      <c r="X546" s="27">
        <f>IF(G546,P546,"")</f>
        <v/>
      </c>
      <c r="Y546" s="27">
        <f>IF(G546,N546,"")</f>
        <v/>
      </c>
      <c r="Z546" s="27">
        <f>IF(R546,O546,"")</f>
        <v/>
      </c>
      <c r="AA546" s="27">
        <f>IF(R546,N546,"")</f>
        <v/>
      </c>
    </row>
    <row r="547">
      <c r="A547" s="31" t="n">
        <v>0.1</v>
      </c>
      <c r="B547" s="31" t="n">
        <v>0.3</v>
      </c>
      <c r="C547" s="31" t="n">
        <v>0.1</v>
      </c>
      <c r="D547" s="31" t="n">
        <v>0.5</v>
      </c>
      <c r="E547" s="27" t="inlineStr">
        <is>
          <t>ON 10%/1M 30%/2M 10%/3M 50%</t>
        </is>
      </c>
      <c r="F547" s="27" t="n">
        <v>25</v>
      </c>
      <c r="G547" s="27">
        <f>A547*$B$7&gt;=$B$9</f>
        <v/>
      </c>
      <c r="H547" s="13">
        <f>$B$7*(A547*E$71+B547*F$71+C547*G$71+D547*H$71)+F547/100*$B$7*J$71-$C$71</f>
        <v/>
      </c>
      <c r="I547" s="13">
        <f>$B$7*(A547*L$71+B547*M$71+C547*N$71+D547*O$71)+F547/100*$B$7*Q$71-$C$71</f>
        <v/>
      </c>
      <c r="J547" s="13">
        <f>$B$7*(A547*S$71+B547*T$71+C547*U$71+D547*V$71)+F547/100*$B$7*X$71-$C$71</f>
        <v/>
      </c>
      <c r="K547" s="13">
        <f>$B$7*(A547*Z$71+B547*AA$71+C547*AB$71+D547*AC$71)+F547/100*$B$7*AE$71-$C$71</f>
        <v/>
      </c>
      <c r="L547" s="13">
        <f>$B$7*(A547*AG$71+B547*AH$71+C547*AI$71+D547*AJ$71)+F547/100*$B$7*AL$71-$C$71</f>
        <v/>
      </c>
      <c r="M547" s="13">
        <f>$B$7*(A547*AN$71+B547*AO$71+C547*AP$71+D547*AQ$71)+F547/100*$B$7*AS$71-$C$71</f>
        <v/>
      </c>
      <c r="N547" s="13">
        <f>SUMPRODUCT($H$24:$M$24,H547:M547)</f>
        <v/>
      </c>
      <c r="O547" s="14">
        <f>SQRT(SUMPRODUCT($H$24:$M$24,(H547:M547-N547)^2))</f>
        <v/>
      </c>
      <c r="P547" s="13">
        <f>MIN(H547:M547)</f>
        <v/>
      </c>
      <c r="Q547" s="13">
        <f>MAX(H547:M547)</f>
        <v/>
      </c>
      <c r="R547" s="27">
        <f>IF(G547,SUMPRODUCT(($G$76:$G$1505)*($N$76:$N$1505&gt;=N547)*($O$76:$O$1505&lt;=O547))=1,FALSE)</f>
        <v/>
      </c>
      <c r="S547" s="16">
        <f>IF(R547,ABS((O547-$AC$76)/MAX(0.0001,$AC$77-$AC$76)-(N547-$AC$78)/MAX(0.0001,$AC$79-$AC$78)),-1)</f>
        <v/>
      </c>
      <c r="T547" s="14">
        <f>IF(G547,O547,NA())</f>
        <v/>
      </c>
      <c r="U547" s="13">
        <f>IF(G547,N547,NA())</f>
        <v/>
      </c>
      <c r="V547" s="14">
        <f>IF(R547,O547,NA())</f>
        <v/>
      </c>
      <c r="W547" s="13">
        <f>IF(R547,N547,NA())</f>
        <v/>
      </c>
      <c r="X547" s="27">
        <f>IF(G547,P547,"")</f>
        <v/>
      </c>
      <c r="Y547" s="27">
        <f>IF(G547,N547,"")</f>
        <v/>
      </c>
      <c r="Z547" s="27">
        <f>IF(R547,O547,"")</f>
        <v/>
      </c>
      <c r="AA547" s="27">
        <f>IF(R547,N547,"")</f>
        <v/>
      </c>
    </row>
    <row r="548">
      <c r="A548" s="31" t="n">
        <v>0.1</v>
      </c>
      <c r="B548" s="31" t="n">
        <v>0.3</v>
      </c>
      <c r="C548" s="31" t="n">
        <v>0.1</v>
      </c>
      <c r="D548" s="31" t="n">
        <v>0.5</v>
      </c>
      <c r="E548" s="27" t="inlineStr">
        <is>
          <t>ON 10%/1M 30%/2M 10%/3M 50%</t>
        </is>
      </c>
      <c r="F548" s="27" t="n">
        <v>50</v>
      </c>
      <c r="G548" s="27">
        <f>A548*$B$7&gt;=$B$9</f>
        <v/>
      </c>
      <c r="H548" s="13">
        <f>$B$7*(A548*E$71+B548*F$71+C548*G$71+D548*H$71)+F548/100*$B$7*J$71-$C$71</f>
        <v/>
      </c>
      <c r="I548" s="13">
        <f>$B$7*(A548*L$71+B548*M$71+C548*N$71+D548*O$71)+F548/100*$B$7*Q$71-$C$71</f>
        <v/>
      </c>
      <c r="J548" s="13">
        <f>$B$7*(A548*S$71+B548*T$71+C548*U$71+D548*V$71)+F548/100*$B$7*X$71-$C$71</f>
        <v/>
      </c>
      <c r="K548" s="13">
        <f>$B$7*(A548*Z$71+B548*AA$71+C548*AB$71+D548*AC$71)+F548/100*$B$7*AE$71-$C$71</f>
        <v/>
      </c>
      <c r="L548" s="13">
        <f>$B$7*(A548*AG$71+B548*AH$71+C548*AI$71+D548*AJ$71)+F548/100*$B$7*AL$71-$C$71</f>
        <v/>
      </c>
      <c r="M548" s="13">
        <f>$B$7*(A548*AN$71+B548*AO$71+C548*AP$71+D548*AQ$71)+F548/100*$B$7*AS$71-$C$71</f>
        <v/>
      </c>
      <c r="N548" s="13">
        <f>SUMPRODUCT($H$24:$M$24,H548:M548)</f>
        <v/>
      </c>
      <c r="O548" s="14">
        <f>SQRT(SUMPRODUCT($H$24:$M$24,(H548:M548-N548)^2))</f>
        <v/>
      </c>
      <c r="P548" s="13">
        <f>MIN(H548:M548)</f>
        <v/>
      </c>
      <c r="Q548" s="13">
        <f>MAX(H548:M548)</f>
        <v/>
      </c>
      <c r="R548" s="27">
        <f>IF(G548,SUMPRODUCT(($G$76:$G$1505)*($N$76:$N$1505&gt;=N548)*($O$76:$O$1505&lt;=O548))=1,FALSE)</f>
        <v/>
      </c>
      <c r="S548" s="16">
        <f>IF(R548,ABS((O548-$AC$76)/MAX(0.0001,$AC$77-$AC$76)-(N548-$AC$78)/MAX(0.0001,$AC$79-$AC$78)),-1)</f>
        <v/>
      </c>
      <c r="T548" s="14">
        <f>IF(G548,O548,NA())</f>
        <v/>
      </c>
      <c r="U548" s="13">
        <f>IF(G548,N548,NA())</f>
        <v/>
      </c>
      <c r="V548" s="14">
        <f>IF(R548,O548,NA())</f>
        <v/>
      </c>
      <c r="W548" s="13">
        <f>IF(R548,N548,NA())</f>
        <v/>
      </c>
      <c r="X548" s="27">
        <f>IF(G548,P548,"")</f>
        <v/>
      </c>
      <c r="Y548" s="27">
        <f>IF(G548,N548,"")</f>
        <v/>
      </c>
      <c r="Z548" s="27">
        <f>IF(R548,O548,"")</f>
        <v/>
      </c>
      <c r="AA548" s="27">
        <f>IF(R548,N548,"")</f>
        <v/>
      </c>
    </row>
    <row r="549">
      <c r="A549" s="31" t="n">
        <v>0.1</v>
      </c>
      <c r="B549" s="31" t="n">
        <v>0.3</v>
      </c>
      <c r="C549" s="31" t="n">
        <v>0.1</v>
      </c>
      <c r="D549" s="31" t="n">
        <v>0.5</v>
      </c>
      <c r="E549" s="27" t="inlineStr">
        <is>
          <t>ON 10%/1M 30%/2M 10%/3M 50%</t>
        </is>
      </c>
      <c r="F549" s="27" t="n">
        <v>75</v>
      </c>
      <c r="G549" s="27">
        <f>A549*$B$7&gt;=$B$9</f>
        <v/>
      </c>
      <c r="H549" s="13">
        <f>$B$7*(A549*E$71+B549*F$71+C549*G$71+D549*H$71)+F549/100*$B$7*J$71-$C$71</f>
        <v/>
      </c>
      <c r="I549" s="13">
        <f>$B$7*(A549*L$71+B549*M$71+C549*N$71+D549*O$71)+F549/100*$B$7*Q$71-$C$71</f>
        <v/>
      </c>
      <c r="J549" s="13">
        <f>$B$7*(A549*S$71+B549*T$71+C549*U$71+D549*V$71)+F549/100*$B$7*X$71-$C$71</f>
        <v/>
      </c>
      <c r="K549" s="13">
        <f>$B$7*(A549*Z$71+B549*AA$71+C549*AB$71+D549*AC$71)+F549/100*$B$7*AE$71-$C$71</f>
        <v/>
      </c>
      <c r="L549" s="13">
        <f>$B$7*(A549*AG$71+B549*AH$71+C549*AI$71+D549*AJ$71)+F549/100*$B$7*AL$71-$C$71</f>
        <v/>
      </c>
      <c r="M549" s="13">
        <f>$B$7*(A549*AN$71+B549*AO$71+C549*AP$71+D549*AQ$71)+F549/100*$B$7*AS$71-$C$71</f>
        <v/>
      </c>
      <c r="N549" s="13">
        <f>SUMPRODUCT($H$24:$M$24,H549:M549)</f>
        <v/>
      </c>
      <c r="O549" s="14">
        <f>SQRT(SUMPRODUCT($H$24:$M$24,(H549:M549-N549)^2))</f>
        <v/>
      </c>
      <c r="P549" s="13">
        <f>MIN(H549:M549)</f>
        <v/>
      </c>
      <c r="Q549" s="13">
        <f>MAX(H549:M549)</f>
        <v/>
      </c>
      <c r="R549" s="27">
        <f>IF(G549,SUMPRODUCT(($G$76:$G$1505)*($N$76:$N$1505&gt;=N549)*($O$76:$O$1505&lt;=O549))=1,FALSE)</f>
        <v/>
      </c>
      <c r="S549" s="16">
        <f>IF(R549,ABS((O549-$AC$76)/MAX(0.0001,$AC$77-$AC$76)-(N549-$AC$78)/MAX(0.0001,$AC$79-$AC$78)),-1)</f>
        <v/>
      </c>
      <c r="T549" s="14">
        <f>IF(G549,O549,NA())</f>
        <v/>
      </c>
      <c r="U549" s="13">
        <f>IF(G549,N549,NA())</f>
        <v/>
      </c>
      <c r="V549" s="14">
        <f>IF(R549,O549,NA())</f>
        <v/>
      </c>
      <c r="W549" s="13">
        <f>IF(R549,N549,NA())</f>
        <v/>
      </c>
      <c r="X549" s="27">
        <f>IF(G549,P549,"")</f>
        <v/>
      </c>
      <c r="Y549" s="27">
        <f>IF(G549,N549,"")</f>
        <v/>
      </c>
      <c r="Z549" s="27">
        <f>IF(R549,O549,"")</f>
        <v/>
      </c>
      <c r="AA549" s="27">
        <f>IF(R549,N549,"")</f>
        <v/>
      </c>
    </row>
    <row r="550">
      <c r="A550" s="31" t="n">
        <v>0.1</v>
      </c>
      <c r="B550" s="31" t="n">
        <v>0.3</v>
      </c>
      <c r="C550" s="31" t="n">
        <v>0.1</v>
      </c>
      <c r="D550" s="31" t="n">
        <v>0.5</v>
      </c>
      <c r="E550" s="27" t="inlineStr">
        <is>
          <t>ON 10%/1M 30%/2M 10%/3M 50%</t>
        </is>
      </c>
      <c r="F550" s="27" t="n">
        <v>100</v>
      </c>
      <c r="G550" s="27">
        <f>A550*$B$7&gt;=$B$9</f>
        <v/>
      </c>
      <c r="H550" s="13">
        <f>$B$7*(A550*E$71+B550*F$71+C550*G$71+D550*H$71)+F550/100*$B$7*J$71-$C$71</f>
        <v/>
      </c>
      <c r="I550" s="13">
        <f>$B$7*(A550*L$71+B550*M$71+C550*N$71+D550*O$71)+F550/100*$B$7*Q$71-$C$71</f>
        <v/>
      </c>
      <c r="J550" s="13">
        <f>$B$7*(A550*S$71+B550*T$71+C550*U$71+D550*V$71)+F550/100*$B$7*X$71-$C$71</f>
        <v/>
      </c>
      <c r="K550" s="13">
        <f>$B$7*(A550*Z$71+B550*AA$71+C550*AB$71+D550*AC$71)+F550/100*$B$7*AE$71-$C$71</f>
        <v/>
      </c>
      <c r="L550" s="13">
        <f>$B$7*(A550*AG$71+B550*AH$71+C550*AI$71+D550*AJ$71)+F550/100*$B$7*AL$71-$C$71</f>
        <v/>
      </c>
      <c r="M550" s="13">
        <f>$B$7*(A550*AN$71+B550*AO$71+C550*AP$71+D550*AQ$71)+F550/100*$B$7*AS$71-$C$71</f>
        <v/>
      </c>
      <c r="N550" s="13">
        <f>SUMPRODUCT($H$24:$M$24,H550:M550)</f>
        <v/>
      </c>
      <c r="O550" s="14">
        <f>SQRT(SUMPRODUCT($H$24:$M$24,(H550:M550-N550)^2))</f>
        <v/>
      </c>
      <c r="P550" s="13">
        <f>MIN(H550:M550)</f>
        <v/>
      </c>
      <c r="Q550" s="13">
        <f>MAX(H550:M550)</f>
        <v/>
      </c>
      <c r="R550" s="27">
        <f>IF(G550,SUMPRODUCT(($G$76:$G$1505)*($N$76:$N$1505&gt;=N550)*($O$76:$O$1505&lt;=O550))=1,FALSE)</f>
        <v/>
      </c>
      <c r="S550" s="16">
        <f>IF(R550,ABS((O550-$AC$76)/MAX(0.0001,$AC$77-$AC$76)-(N550-$AC$78)/MAX(0.0001,$AC$79-$AC$78)),-1)</f>
        <v/>
      </c>
      <c r="T550" s="14">
        <f>IF(G550,O550,NA())</f>
        <v/>
      </c>
      <c r="U550" s="13">
        <f>IF(G550,N550,NA())</f>
        <v/>
      </c>
      <c r="V550" s="14">
        <f>IF(R550,O550,NA())</f>
        <v/>
      </c>
      <c r="W550" s="13">
        <f>IF(R550,N550,NA())</f>
        <v/>
      </c>
      <c r="X550" s="27">
        <f>IF(G550,P550,"")</f>
        <v/>
      </c>
      <c r="Y550" s="27">
        <f>IF(G550,N550,"")</f>
        <v/>
      </c>
      <c r="Z550" s="27">
        <f>IF(R550,O550,"")</f>
        <v/>
      </c>
      <c r="AA550" s="27">
        <f>IF(R550,N550,"")</f>
        <v/>
      </c>
    </row>
    <row r="551">
      <c r="A551" s="31" t="n">
        <v>0.1</v>
      </c>
      <c r="B551" s="31" t="n">
        <v>0.3</v>
      </c>
      <c r="C551" s="31" t="n">
        <v>0.2</v>
      </c>
      <c r="D551" s="31" t="n">
        <v>0.4</v>
      </c>
      <c r="E551" s="27" t="inlineStr">
        <is>
          <t>ON 10%/1M 30%/2M 20%/3M 40%</t>
        </is>
      </c>
      <c r="F551" s="27" t="n">
        <v>0</v>
      </c>
      <c r="G551" s="27">
        <f>A551*$B$7&gt;=$B$9</f>
        <v/>
      </c>
      <c r="H551" s="13">
        <f>$B$7*(A551*E$71+B551*F$71+C551*G$71+D551*H$71)+F551/100*$B$7*J$71-$C$71</f>
        <v/>
      </c>
      <c r="I551" s="13">
        <f>$B$7*(A551*L$71+B551*M$71+C551*N$71+D551*O$71)+F551/100*$B$7*Q$71-$C$71</f>
        <v/>
      </c>
      <c r="J551" s="13">
        <f>$B$7*(A551*S$71+B551*T$71+C551*U$71+D551*V$71)+F551/100*$B$7*X$71-$C$71</f>
        <v/>
      </c>
      <c r="K551" s="13">
        <f>$B$7*(A551*Z$71+B551*AA$71+C551*AB$71+D551*AC$71)+F551/100*$B$7*AE$71-$C$71</f>
        <v/>
      </c>
      <c r="L551" s="13">
        <f>$B$7*(A551*AG$71+B551*AH$71+C551*AI$71+D551*AJ$71)+F551/100*$B$7*AL$71-$C$71</f>
        <v/>
      </c>
      <c r="M551" s="13">
        <f>$B$7*(A551*AN$71+B551*AO$71+C551*AP$71+D551*AQ$71)+F551/100*$B$7*AS$71-$C$71</f>
        <v/>
      </c>
      <c r="N551" s="13">
        <f>SUMPRODUCT($H$24:$M$24,H551:M551)</f>
        <v/>
      </c>
      <c r="O551" s="14">
        <f>SQRT(SUMPRODUCT($H$24:$M$24,(H551:M551-N551)^2))</f>
        <v/>
      </c>
      <c r="P551" s="13">
        <f>MIN(H551:M551)</f>
        <v/>
      </c>
      <c r="Q551" s="13">
        <f>MAX(H551:M551)</f>
        <v/>
      </c>
      <c r="R551" s="27">
        <f>IF(G551,SUMPRODUCT(($G$76:$G$1505)*($N$76:$N$1505&gt;=N551)*($O$76:$O$1505&lt;=O551))=1,FALSE)</f>
        <v/>
      </c>
      <c r="S551" s="16">
        <f>IF(R551,ABS((O551-$AC$76)/MAX(0.0001,$AC$77-$AC$76)-(N551-$AC$78)/MAX(0.0001,$AC$79-$AC$78)),-1)</f>
        <v/>
      </c>
      <c r="T551" s="14">
        <f>IF(G551,O551,NA())</f>
        <v/>
      </c>
      <c r="U551" s="13">
        <f>IF(G551,N551,NA())</f>
        <v/>
      </c>
      <c r="V551" s="14">
        <f>IF(R551,O551,NA())</f>
        <v/>
      </c>
      <c r="W551" s="13">
        <f>IF(R551,N551,NA())</f>
        <v/>
      </c>
      <c r="X551" s="27">
        <f>IF(G551,P551,"")</f>
        <v/>
      </c>
      <c r="Y551" s="27">
        <f>IF(G551,N551,"")</f>
        <v/>
      </c>
      <c r="Z551" s="27">
        <f>IF(R551,O551,"")</f>
        <v/>
      </c>
      <c r="AA551" s="27">
        <f>IF(R551,N551,"")</f>
        <v/>
      </c>
    </row>
    <row r="552">
      <c r="A552" s="31" t="n">
        <v>0.1</v>
      </c>
      <c r="B552" s="31" t="n">
        <v>0.3</v>
      </c>
      <c r="C552" s="31" t="n">
        <v>0.2</v>
      </c>
      <c r="D552" s="31" t="n">
        <v>0.4</v>
      </c>
      <c r="E552" s="27" t="inlineStr">
        <is>
          <t>ON 10%/1M 30%/2M 20%/3M 40%</t>
        </is>
      </c>
      <c r="F552" s="27" t="n">
        <v>25</v>
      </c>
      <c r="G552" s="27">
        <f>A552*$B$7&gt;=$B$9</f>
        <v/>
      </c>
      <c r="H552" s="13">
        <f>$B$7*(A552*E$71+B552*F$71+C552*G$71+D552*H$71)+F552/100*$B$7*J$71-$C$71</f>
        <v/>
      </c>
      <c r="I552" s="13">
        <f>$B$7*(A552*L$71+B552*M$71+C552*N$71+D552*O$71)+F552/100*$B$7*Q$71-$C$71</f>
        <v/>
      </c>
      <c r="J552" s="13">
        <f>$B$7*(A552*S$71+B552*T$71+C552*U$71+D552*V$71)+F552/100*$B$7*X$71-$C$71</f>
        <v/>
      </c>
      <c r="K552" s="13">
        <f>$B$7*(A552*Z$71+B552*AA$71+C552*AB$71+D552*AC$71)+F552/100*$B$7*AE$71-$C$71</f>
        <v/>
      </c>
      <c r="L552" s="13">
        <f>$B$7*(A552*AG$71+B552*AH$71+C552*AI$71+D552*AJ$71)+F552/100*$B$7*AL$71-$C$71</f>
        <v/>
      </c>
      <c r="M552" s="13">
        <f>$B$7*(A552*AN$71+B552*AO$71+C552*AP$71+D552*AQ$71)+F552/100*$B$7*AS$71-$C$71</f>
        <v/>
      </c>
      <c r="N552" s="13">
        <f>SUMPRODUCT($H$24:$M$24,H552:M552)</f>
        <v/>
      </c>
      <c r="O552" s="14">
        <f>SQRT(SUMPRODUCT($H$24:$M$24,(H552:M552-N552)^2))</f>
        <v/>
      </c>
      <c r="P552" s="13">
        <f>MIN(H552:M552)</f>
        <v/>
      </c>
      <c r="Q552" s="13">
        <f>MAX(H552:M552)</f>
        <v/>
      </c>
      <c r="R552" s="27">
        <f>IF(G552,SUMPRODUCT(($G$76:$G$1505)*($N$76:$N$1505&gt;=N552)*($O$76:$O$1505&lt;=O552))=1,FALSE)</f>
        <v/>
      </c>
      <c r="S552" s="16">
        <f>IF(R552,ABS((O552-$AC$76)/MAX(0.0001,$AC$77-$AC$76)-(N552-$AC$78)/MAX(0.0001,$AC$79-$AC$78)),-1)</f>
        <v/>
      </c>
      <c r="T552" s="14">
        <f>IF(G552,O552,NA())</f>
        <v/>
      </c>
      <c r="U552" s="13">
        <f>IF(G552,N552,NA())</f>
        <v/>
      </c>
      <c r="V552" s="14">
        <f>IF(R552,O552,NA())</f>
        <v/>
      </c>
      <c r="W552" s="13">
        <f>IF(R552,N552,NA())</f>
        <v/>
      </c>
      <c r="X552" s="27">
        <f>IF(G552,P552,"")</f>
        <v/>
      </c>
      <c r="Y552" s="27">
        <f>IF(G552,N552,"")</f>
        <v/>
      </c>
      <c r="Z552" s="27">
        <f>IF(R552,O552,"")</f>
        <v/>
      </c>
      <c r="AA552" s="27">
        <f>IF(R552,N552,"")</f>
        <v/>
      </c>
    </row>
    <row r="553">
      <c r="A553" s="31" t="n">
        <v>0.1</v>
      </c>
      <c r="B553" s="31" t="n">
        <v>0.3</v>
      </c>
      <c r="C553" s="31" t="n">
        <v>0.2</v>
      </c>
      <c r="D553" s="31" t="n">
        <v>0.4</v>
      </c>
      <c r="E553" s="27" t="inlineStr">
        <is>
          <t>ON 10%/1M 30%/2M 20%/3M 40%</t>
        </is>
      </c>
      <c r="F553" s="27" t="n">
        <v>50</v>
      </c>
      <c r="G553" s="27">
        <f>A553*$B$7&gt;=$B$9</f>
        <v/>
      </c>
      <c r="H553" s="13">
        <f>$B$7*(A553*E$71+B553*F$71+C553*G$71+D553*H$71)+F553/100*$B$7*J$71-$C$71</f>
        <v/>
      </c>
      <c r="I553" s="13">
        <f>$B$7*(A553*L$71+B553*M$71+C553*N$71+D553*O$71)+F553/100*$B$7*Q$71-$C$71</f>
        <v/>
      </c>
      <c r="J553" s="13">
        <f>$B$7*(A553*S$71+B553*T$71+C553*U$71+D553*V$71)+F553/100*$B$7*X$71-$C$71</f>
        <v/>
      </c>
      <c r="K553" s="13">
        <f>$B$7*(A553*Z$71+B553*AA$71+C553*AB$71+D553*AC$71)+F553/100*$B$7*AE$71-$C$71</f>
        <v/>
      </c>
      <c r="L553" s="13">
        <f>$B$7*(A553*AG$71+B553*AH$71+C553*AI$71+D553*AJ$71)+F553/100*$B$7*AL$71-$C$71</f>
        <v/>
      </c>
      <c r="M553" s="13">
        <f>$B$7*(A553*AN$71+B553*AO$71+C553*AP$71+D553*AQ$71)+F553/100*$B$7*AS$71-$C$71</f>
        <v/>
      </c>
      <c r="N553" s="13">
        <f>SUMPRODUCT($H$24:$M$24,H553:M553)</f>
        <v/>
      </c>
      <c r="O553" s="14">
        <f>SQRT(SUMPRODUCT($H$24:$M$24,(H553:M553-N553)^2))</f>
        <v/>
      </c>
      <c r="P553" s="13">
        <f>MIN(H553:M553)</f>
        <v/>
      </c>
      <c r="Q553" s="13">
        <f>MAX(H553:M553)</f>
        <v/>
      </c>
      <c r="R553" s="27">
        <f>IF(G553,SUMPRODUCT(($G$76:$G$1505)*($N$76:$N$1505&gt;=N553)*($O$76:$O$1505&lt;=O553))=1,FALSE)</f>
        <v/>
      </c>
      <c r="S553" s="16">
        <f>IF(R553,ABS((O553-$AC$76)/MAX(0.0001,$AC$77-$AC$76)-(N553-$AC$78)/MAX(0.0001,$AC$79-$AC$78)),-1)</f>
        <v/>
      </c>
      <c r="T553" s="14">
        <f>IF(G553,O553,NA())</f>
        <v/>
      </c>
      <c r="U553" s="13">
        <f>IF(G553,N553,NA())</f>
        <v/>
      </c>
      <c r="V553" s="14">
        <f>IF(R553,O553,NA())</f>
        <v/>
      </c>
      <c r="W553" s="13">
        <f>IF(R553,N553,NA())</f>
        <v/>
      </c>
      <c r="X553" s="27">
        <f>IF(G553,P553,"")</f>
        <v/>
      </c>
      <c r="Y553" s="27">
        <f>IF(G553,N553,"")</f>
        <v/>
      </c>
      <c r="Z553" s="27">
        <f>IF(R553,O553,"")</f>
        <v/>
      </c>
      <c r="AA553" s="27">
        <f>IF(R553,N553,"")</f>
        <v/>
      </c>
    </row>
    <row r="554">
      <c r="A554" s="31" t="n">
        <v>0.1</v>
      </c>
      <c r="B554" s="31" t="n">
        <v>0.3</v>
      </c>
      <c r="C554" s="31" t="n">
        <v>0.2</v>
      </c>
      <c r="D554" s="31" t="n">
        <v>0.4</v>
      </c>
      <c r="E554" s="27" t="inlineStr">
        <is>
          <t>ON 10%/1M 30%/2M 20%/3M 40%</t>
        </is>
      </c>
      <c r="F554" s="27" t="n">
        <v>75</v>
      </c>
      <c r="G554" s="27">
        <f>A554*$B$7&gt;=$B$9</f>
        <v/>
      </c>
      <c r="H554" s="13">
        <f>$B$7*(A554*E$71+B554*F$71+C554*G$71+D554*H$71)+F554/100*$B$7*J$71-$C$71</f>
        <v/>
      </c>
      <c r="I554" s="13">
        <f>$B$7*(A554*L$71+B554*M$71+C554*N$71+D554*O$71)+F554/100*$B$7*Q$71-$C$71</f>
        <v/>
      </c>
      <c r="J554" s="13">
        <f>$B$7*(A554*S$71+B554*T$71+C554*U$71+D554*V$71)+F554/100*$B$7*X$71-$C$71</f>
        <v/>
      </c>
      <c r="K554" s="13">
        <f>$B$7*(A554*Z$71+B554*AA$71+C554*AB$71+D554*AC$71)+F554/100*$B$7*AE$71-$C$71</f>
        <v/>
      </c>
      <c r="L554" s="13">
        <f>$B$7*(A554*AG$71+B554*AH$71+C554*AI$71+D554*AJ$71)+F554/100*$B$7*AL$71-$C$71</f>
        <v/>
      </c>
      <c r="M554" s="13">
        <f>$B$7*(A554*AN$71+B554*AO$71+C554*AP$71+D554*AQ$71)+F554/100*$B$7*AS$71-$C$71</f>
        <v/>
      </c>
      <c r="N554" s="13">
        <f>SUMPRODUCT($H$24:$M$24,H554:M554)</f>
        <v/>
      </c>
      <c r="O554" s="14">
        <f>SQRT(SUMPRODUCT($H$24:$M$24,(H554:M554-N554)^2))</f>
        <v/>
      </c>
      <c r="P554" s="13">
        <f>MIN(H554:M554)</f>
        <v/>
      </c>
      <c r="Q554" s="13">
        <f>MAX(H554:M554)</f>
        <v/>
      </c>
      <c r="R554" s="27">
        <f>IF(G554,SUMPRODUCT(($G$76:$G$1505)*($N$76:$N$1505&gt;=N554)*($O$76:$O$1505&lt;=O554))=1,FALSE)</f>
        <v/>
      </c>
      <c r="S554" s="16">
        <f>IF(R554,ABS((O554-$AC$76)/MAX(0.0001,$AC$77-$AC$76)-(N554-$AC$78)/MAX(0.0001,$AC$79-$AC$78)),-1)</f>
        <v/>
      </c>
      <c r="T554" s="14">
        <f>IF(G554,O554,NA())</f>
        <v/>
      </c>
      <c r="U554" s="13">
        <f>IF(G554,N554,NA())</f>
        <v/>
      </c>
      <c r="V554" s="14">
        <f>IF(R554,O554,NA())</f>
        <v/>
      </c>
      <c r="W554" s="13">
        <f>IF(R554,N554,NA())</f>
        <v/>
      </c>
      <c r="X554" s="27">
        <f>IF(G554,P554,"")</f>
        <v/>
      </c>
      <c r="Y554" s="27">
        <f>IF(G554,N554,"")</f>
        <v/>
      </c>
      <c r="Z554" s="27">
        <f>IF(R554,O554,"")</f>
        <v/>
      </c>
      <c r="AA554" s="27">
        <f>IF(R554,N554,"")</f>
        <v/>
      </c>
    </row>
    <row r="555">
      <c r="A555" s="31" t="n">
        <v>0.1</v>
      </c>
      <c r="B555" s="31" t="n">
        <v>0.3</v>
      </c>
      <c r="C555" s="31" t="n">
        <v>0.2</v>
      </c>
      <c r="D555" s="31" t="n">
        <v>0.4</v>
      </c>
      <c r="E555" s="27" t="inlineStr">
        <is>
          <t>ON 10%/1M 30%/2M 20%/3M 40%</t>
        </is>
      </c>
      <c r="F555" s="27" t="n">
        <v>100</v>
      </c>
      <c r="G555" s="27">
        <f>A555*$B$7&gt;=$B$9</f>
        <v/>
      </c>
      <c r="H555" s="13">
        <f>$B$7*(A555*E$71+B555*F$71+C555*G$71+D555*H$71)+F555/100*$B$7*J$71-$C$71</f>
        <v/>
      </c>
      <c r="I555" s="13">
        <f>$B$7*(A555*L$71+B555*M$71+C555*N$71+D555*O$71)+F555/100*$B$7*Q$71-$C$71</f>
        <v/>
      </c>
      <c r="J555" s="13">
        <f>$B$7*(A555*S$71+B555*T$71+C555*U$71+D555*V$71)+F555/100*$B$7*X$71-$C$71</f>
        <v/>
      </c>
      <c r="K555" s="13">
        <f>$B$7*(A555*Z$71+B555*AA$71+C555*AB$71+D555*AC$71)+F555/100*$B$7*AE$71-$C$71</f>
        <v/>
      </c>
      <c r="L555" s="13">
        <f>$B$7*(A555*AG$71+B555*AH$71+C555*AI$71+D555*AJ$71)+F555/100*$B$7*AL$71-$C$71</f>
        <v/>
      </c>
      <c r="M555" s="13">
        <f>$B$7*(A555*AN$71+B555*AO$71+C555*AP$71+D555*AQ$71)+F555/100*$B$7*AS$71-$C$71</f>
        <v/>
      </c>
      <c r="N555" s="13">
        <f>SUMPRODUCT($H$24:$M$24,H555:M555)</f>
        <v/>
      </c>
      <c r="O555" s="14">
        <f>SQRT(SUMPRODUCT($H$24:$M$24,(H555:M555-N555)^2))</f>
        <v/>
      </c>
      <c r="P555" s="13">
        <f>MIN(H555:M555)</f>
        <v/>
      </c>
      <c r="Q555" s="13">
        <f>MAX(H555:M555)</f>
        <v/>
      </c>
      <c r="R555" s="27">
        <f>IF(G555,SUMPRODUCT(($G$76:$G$1505)*($N$76:$N$1505&gt;=N555)*($O$76:$O$1505&lt;=O555))=1,FALSE)</f>
        <v/>
      </c>
      <c r="S555" s="16">
        <f>IF(R555,ABS((O555-$AC$76)/MAX(0.0001,$AC$77-$AC$76)-(N555-$AC$78)/MAX(0.0001,$AC$79-$AC$78)),-1)</f>
        <v/>
      </c>
      <c r="T555" s="14">
        <f>IF(G555,O555,NA())</f>
        <v/>
      </c>
      <c r="U555" s="13">
        <f>IF(G555,N555,NA())</f>
        <v/>
      </c>
      <c r="V555" s="14">
        <f>IF(R555,O555,NA())</f>
        <v/>
      </c>
      <c r="W555" s="13">
        <f>IF(R555,N555,NA())</f>
        <v/>
      </c>
      <c r="X555" s="27">
        <f>IF(G555,P555,"")</f>
        <v/>
      </c>
      <c r="Y555" s="27">
        <f>IF(G555,N555,"")</f>
        <v/>
      </c>
      <c r="Z555" s="27">
        <f>IF(R555,O555,"")</f>
        <v/>
      </c>
      <c r="AA555" s="27">
        <f>IF(R555,N555,"")</f>
        <v/>
      </c>
    </row>
    <row r="556">
      <c r="A556" s="31" t="n">
        <v>0.1</v>
      </c>
      <c r="B556" s="31" t="n">
        <v>0.3</v>
      </c>
      <c r="C556" s="31" t="n">
        <v>0.3</v>
      </c>
      <c r="D556" s="31" t="n">
        <v>0.3</v>
      </c>
      <c r="E556" s="27" t="inlineStr">
        <is>
          <t>ON 10%/1M 30%/2M 30%/3M 30%</t>
        </is>
      </c>
      <c r="F556" s="27" t="n">
        <v>0</v>
      </c>
      <c r="G556" s="27">
        <f>A556*$B$7&gt;=$B$9</f>
        <v/>
      </c>
      <c r="H556" s="13">
        <f>$B$7*(A556*E$71+B556*F$71+C556*G$71+D556*H$71)+F556/100*$B$7*J$71-$C$71</f>
        <v/>
      </c>
      <c r="I556" s="13">
        <f>$B$7*(A556*L$71+B556*M$71+C556*N$71+D556*O$71)+F556/100*$B$7*Q$71-$C$71</f>
        <v/>
      </c>
      <c r="J556" s="13">
        <f>$B$7*(A556*S$71+B556*T$71+C556*U$71+D556*V$71)+F556/100*$B$7*X$71-$C$71</f>
        <v/>
      </c>
      <c r="K556" s="13">
        <f>$B$7*(A556*Z$71+B556*AA$71+C556*AB$71+D556*AC$71)+F556/100*$B$7*AE$71-$C$71</f>
        <v/>
      </c>
      <c r="L556" s="13">
        <f>$B$7*(A556*AG$71+B556*AH$71+C556*AI$71+D556*AJ$71)+F556/100*$B$7*AL$71-$C$71</f>
        <v/>
      </c>
      <c r="M556" s="13">
        <f>$B$7*(A556*AN$71+B556*AO$71+C556*AP$71+D556*AQ$71)+F556/100*$B$7*AS$71-$C$71</f>
        <v/>
      </c>
      <c r="N556" s="13">
        <f>SUMPRODUCT($H$24:$M$24,H556:M556)</f>
        <v/>
      </c>
      <c r="O556" s="14">
        <f>SQRT(SUMPRODUCT($H$24:$M$24,(H556:M556-N556)^2))</f>
        <v/>
      </c>
      <c r="P556" s="13">
        <f>MIN(H556:M556)</f>
        <v/>
      </c>
      <c r="Q556" s="13">
        <f>MAX(H556:M556)</f>
        <v/>
      </c>
      <c r="R556" s="27">
        <f>IF(G556,SUMPRODUCT(($G$76:$G$1505)*($N$76:$N$1505&gt;=N556)*($O$76:$O$1505&lt;=O556))=1,FALSE)</f>
        <v/>
      </c>
      <c r="S556" s="16">
        <f>IF(R556,ABS((O556-$AC$76)/MAX(0.0001,$AC$77-$AC$76)-(N556-$AC$78)/MAX(0.0001,$AC$79-$AC$78)),-1)</f>
        <v/>
      </c>
      <c r="T556" s="14">
        <f>IF(G556,O556,NA())</f>
        <v/>
      </c>
      <c r="U556" s="13">
        <f>IF(G556,N556,NA())</f>
        <v/>
      </c>
      <c r="V556" s="14">
        <f>IF(R556,O556,NA())</f>
        <v/>
      </c>
      <c r="W556" s="13">
        <f>IF(R556,N556,NA())</f>
        <v/>
      </c>
      <c r="X556" s="27">
        <f>IF(G556,P556,"")</f>
        <v/>
      </c>
      <c r="Y556" s="27">
        <f>IF(G556,N556,"")</f>
        <v/>
      </c>
      <c r="Z556" s="27">
        <f>IF(R556,O556,"")</f>
        <v/>
      </c>
      <c r="AA556" s="27">
        <f>IF(R556,N556,"")</f>
        <v/>
      </c>
    </row>
    <row r="557">
      <c r="A557" s="31" t="n">
        <v>0.1</v>
      </c>
      <c r="B557" s="31" t="n">
        <v>0.3</v>
      </c>
      <c r="C557" s="31" t="n">
        <v>0.3</v>
      </c>
      <c r="D557" s="31" t="n">
        <v>0.3</v>
      </c>
      <c r="E557" s="27" t="inlineStr">
        <is>
          <t>ON 10%/1M 30%/2M 30%/3M 30%</t>
        </is>
      </c>
      <c r="F557" s="27" t="n">
        <v>25</v>
      </c>
      <c r="G557" s="27">
        <f>A557*$B$7&gt;=$B$9</f>
        <v/>
      </c>
      <c r="H557" s="13">
        <f>$B$7*(A557*E$71+B557*F$71+C557*G$71+D557*H$71)+F557/100*$B$7*J$71-$C$71</f>
        <v/>
      </c>
      <c r="I557" s="13">
        <f>$B$7*(A557*L$71+B557*M$71+C557*N$71+D557*O$71)+F557/100*$B$7*Q$71-$C$71</f>
        <v/>
      </c>
      <c r="J557" s="13">
        <f>$B$7*(A557*S$71+B557*T$71+C557*U$71+D557*V$71)+F557/100*$B$7*X$71-$C$71</f>
        <v/>
      </c>
      <c r="K557" s="13">
        <f>$B$7*(A557*Z$71+B557*AA$71+C557*AB$71+D557*AC$71)+F557/100*$B$7*AE$71-$C$71</f>
        <v/>
      </c>
      <c r="L557" s="13">
        <f>$B$7*(A557*AG$71+B557*AH$71+C557*AI$71+D557*AJ$71)+F557/100*$B$7*AL$71-$C$71</f>
        <v/>
      </c>
      <c r="M557" s="13">
        <f>$B$7*(A557*AN$71+B557*AO$71+C557*AP$71+D557*AQ$71)+F557/100*$B$7*AS$71-$C$71</f>
        <v/>
      </c>
      <c r="N557" s="13">
        <f>SUMPRODUCT($H$24:$M$24,H557:M557)</f>
        <v/>
      </c>
      <c r="O557" s="14">
        <f>SQRT(SUMPRODUCT($H$24:$M$24,(H557:M557-N557)^2))</f>
        <v/>
      </c>
      <c r="P557" s="13">
        <f>MIN(H557:M557)</f>
        <v/>
      </c>
      <c r="Q557" s="13">
        <f>MAX(H557:M557)</f>
        <v/>
      </c>
      <c r="R557" s="27">
        <f>IF(G557,SUMPRODUCT(($G$76:$G$1505)*($N$76:$N$1505&gt;=N557)*($O$76:$O$1505&lt;=O557))=1,FALSE)</f>
        <v/>
      </c>
      <c r="S557" s="16">
        <f>IF(R557,ABS((O557-$AC$76)/MAX(0.0001,$AC$77-$AC$76)-(N557-$AC$78)/MAX(0.0001,$AC$79-$AC$78)),-1)</f>
        <v/>
      </c>
      <c r="T557" s="14">
        <f>IF(G557,O557,NA())</f>
        <v/>
      </c>
      <c r="U557" s="13">
        <f>IF(G557,N557,NA())</f>
        <v/>
      </c>
      <c r="V557" s="14">
        <f>IF(R557,O557,NA())</f>
        <v/>
      </c>
      <c r="W557" s="13">
        <f>IF(R557,N557,NA())</f>
        <v/>
      </c>
      <c r="X557" s="27">
        <f>IF(G557,P557,"")</f>
        <v/>
      </c>
      <c r="Y557" s="27">
        <f>IF(G557,N557,"")</f>
        <v/>
      </c>
      <c r="Z557" s="27">
        <f>IF(R557,O557,"")</f>
        <v/>
      </c>
      <c r="AA557" s="27">
        <f>IF(R557,N557,"")</f>
        <v/>
      </c>
    </row>
    <row r="558">
      <c r="A558" s="31" t="n">
        <v>0.1</v>
      </c>
      <c r="B558" s="31" t="n">
        <v>0.3</v>
      </c>
      <c r="C558" s="31" t="n">
        <v>0.3</v>
      </c>
      <c r="D558" s="31" t="n">
        <v>0.3</v>
      </c>
      <c r="E558" s="27" t="inlineStr">
        <is>
          <t>ON 10%/1M 30%/2M 30%/3M 30%</t>
        </is>
      </c>
      <c r="F558" s="27" t="n">
        <v>50</v>
      </c>
      <c r="G558" s="27">
        <f>A558*$B$7&gt;=$B$9</f>
        <v/>
      </c>
      <c r="H558" s="13">
        <f>$B$7*(A558*E$71+B558*F$71+C558*G$71+D558*H$71)+F558/100*$B$7*J$71-$C$71</f>
        <v/>
      </c>
      <c r="I558" s="13">
        <f>$B$7*(A558*L$71+B558*M$71+C558*N$71+D558*O$71)+F558/100*$B$7*Q$71-$C$71</f>
        <v/>
      </c>
      <c r="J558" s="13">
        <f>$B$7*(A558*S$71+B558*T$71+C558*U$71+D558*V$71)+F558/100*$B$7*X$71-$C$71</f>
        <v/>
      </c>
      <c r="K558" s="13">
        <f>$B$7*(A558*Z$71+B558*AA$71+C558*AB$71+D558*AC$71)+F558/100*$B$7*AE$71-$C$71</f>
        <v/>
      </c>
      <c r="L558" s="13">
        <f>$B$7*(A558*AG$71+B558*AH$71+C558*AI$71+D558*AJ$71)+F558/100*$B$7*AL$71-$C$71</f>
        <v/>
      </c>
      <c r="M558" s="13">
        <f>$B$7*(A558*AN$71+B558*AO$71+C558*AP$71+D558*AQ$71)+F558/100*$B$7*AS$71-$C$71</f>
        <v/>
      </c>
      <c r="N558" s="13">
        <f>SUMPRODUCT($H$24:$M$24,H558:M558)</f>
        <v/>
      </c>
      <c r="O558" s="14">
        <f>SQRT(SUMPRODUCT($H$24:$M$24,(H558:M558-N558)^2))</f>
        <v/>
      </c>
      <c r="P558" s="13">
        <f>MIN(H558:M558)</f>
        <v/>
      </c>
      <c r="Q558" s="13">
        <f>MAX(H558:M558)</f>
        <v/>
      </c>
      <c r="R558" s="27">
        <f>IF(G558,SUMPRODUCT(($G$76:$G$1505)*($N$76:$N$1505&gt;=N558)*($O$76:$O$1505&lt;=O558))=1,FALSE)</f>
        <v/>
      </c>
      <c r="S558" s="16">
        <f>IF(R558,ABS((O558-$AC$76)/MAX(0.0001,$AC$77-$AC$76)-(N558-$AC$78)/MAX(0.0001,$AC$79-$AC$78)),-1)</f>
        <v/>
      </c>
      <c r="T558" s="14">
        <f>IF(G558,O558,NA())</f>
        <v/>
      </c>
      <c r="U558" s="13">
        <f>IF(G558,N558,NA())</f>
        <v/>
      </c>
      <c r="V558" s="14">
        <f>IF(R558,O558,NA())</f>
        <v/>
      </c>
      <c r="W558" s="13">
        <f>IF(R558,N558,NA())</f>
        <v/>
      </c>
      <c r="X558" s="27">
        <f>IF(G558,P558,"")</f>
        <v/>
      </c>
      <c r="Y558" s="27">
        <f>IF(G558,N558,"")</f>
        <v/>
      </c>
      <c r="Z558" s="27">
        <f>IF(R558,O558,"")</f>
        <v/>
      </c>
      <c r="AA558" s="27">
        <f>IF(R558,N558,"")</f>
        <v/>
      </c>
    </row>
    <row r="559">
      <c r="A559" s="31" t="n">
        <v>0.1</v>
      </c>
      <c r="B559" s="31" t="n">
        <v>0.3</v>
      </c>
      <c r="C559" s="31" t="n">
        <v>0.3</v>
      </c>
      <c r="D559" s="31" t="n">
        <v>0.3</v>
      </c>
      <c r="E559" s="27" t="inlineStr">
        <is>
          <t>ON 10%/1M 30%/2M 30%/3M 30%</t>
        </is>
      </c>
      <c r="F559" s="27" t="n">
        <v>75</v>
      </c>
      <c r="G559" s="27">
        <f>A559*$B$7&gt;=$B$9</f>
        <v/>
      </c>
      <c r="H559" s="13">
        <f>$B$7*(A559*E$71+B559*F$71+C559*G$71+D559*H$71)+F559/100*$B$7*J$71-$C$71</f>
        <v/>
      </c>
      <c r="I559" s="13">
        <f>$B$7*(A559*L$71+B559*M$71+C559*N$71+D559*O$71)+F559/100*$B$7*Q$71-$C$71</f>
        <v/>
      </c>
      <c r="J559" s="13">
        <f>$B$7*(A559*S$71+B559*T$71+C559*U$71+D559*V$71)+F559/100*$B$7*X$71-$C$71</f>
        <v/>
      </c>
      <c r="K559" s="13">
        <f>$B$7*(A559*Z$71+B559*AA$71+C559*AB$71+D559*AC$71)+F559/100*$B$7*AE$71-$C$71</f>
        <v/>
      </c>
      <c r="L559" s="13">
        <f>$B$7*(A559*AG$71+B559*AH$71+C559*AI$71+D559*AJ$71)+F559/100*$B$7*AL$71-$C$71</f>
        <v/>
      </c>
      <c r="M559" s="13">
        <f>$B$7*(A559*AN$71+B559*AO$71+C559*AP$71+D559*AQ$71)+F559/100*$B$7*AS$71-$C$71</f>
        <v/>
      </c>
      <c r="N559" s="13">
        <f>SUMPRODUCT($H$24:$M$24,H559:M559)</f>
        <v/>
      </c>
      <c r="O559" s="14">
        <f>SQRT(SUMPRODUCT($H$24:$M$24,(H559:M559-N559)^2))</f>
        <v/>
      </c>
      <c r="P559" s="13">
        <f>MIN(H559:M559)</f>
        <v/>
      </c>
      <c r="Q559" s="13">
        <f>MAX(H559:M559)</f>
        <v/>
      </c>
      <c r="R559" s="27">
        <f>IF(G559,SUMPRODUCT(($G$76:$G$1505)*($N$76:$N$1505&gt;=N559)*($O$76:$O$1505&lt;=O559))=1,FALSE)</f>
        <v/>
      </c>
      <c r="S559" s="16">
        <f>IF(R559,ABS((O559-$AC$76)/MAX(0.0001,$AC$77-$AC$76)-(N559-$AC$78)/MAX(0.0001,$AC$79-$AC$78)),-1)</f>
        <v/>
      </c>
      <c r="T559" s="14">
        <f>IF(G559,O559,NA())</f>
        <v/>
      </c>
      <c r="U559" s="13">
        <f>IF(G559,N559,NA())</f>
        <v/>
      </c>
      <c r="V559" s="14">
        <f>IF(R559,O559,NA())</f>
        <v/>
      </c>
      <c r="W559" s="13">
        <f>IF(R559,N559,NA())</f>
        <v/>
      </c>
      <c r="X559" s="27">
        <f>IF(G559,P559,"")</f>
        <v/>
      </c>
      <c r="Y559" s="27">
        <f>IF(G559,N559,"")</f>
        <v/>
      </c>
      <c r="Z559" s="27">
        <f>IF(R559,O559,"")</f>
        <v/>
      </c>
      <c r="AA559" s="27">
        <f>IF(R559,N559,"")</f>
        <v/>
      </c>
    </row>
    <row r="560">
      <c r="A560" s="31" t="n">
        <v>0.1</v>
      </c>
      <c r="B560" s="31" t="n">
        <v>0.3</v>
      </c>
      <c r="C560" s="31" t="n">
        <v>0.3</v>
      </c>
      <c r="D560" s="31" t="n">
        <v>0.3</v>
      </c>
      <c r="E560" s="27" t="inlineStr">
        <is>
          <t>ON 10%/1M 30%/2M 30%/3M 30%</t>
        </is>
      </c>
      <c r="F560" s="27" t="n">
        <v>100</v>
      </c>
      <c r="G560" s="27">
        <f>A560*$B$7&gt;=$B$9</f>
        <v/>
      </c>
      <c r="H560" s="13">
        <f>$B$7*(A560*E$71+B560*F$71+C560*G$71+D560*H$71)+F560/100*$B$7*J$71-$C$71</f>
        <v/>
      </c>
      <c r="I560" s="13">
        <f>$B$7*(A560*L$71+B560*M$71+C560*N$71+D560*O$71)+F560/100*$B$7*Q$71-$C$71</f>
        <v/>
      </c>
      <c r="J560" s="13">
        <f>$B$7*(A560*S$71+B560*T$71+C560*U$71+D560*V$71)+F560/100*$B$7*X$71-$C$71</f>
        <v/>
      </c>
      <c r="K560" s="13">
        <f>$B$7*(A560*Z$71+B560*AA$71+C560*AB$71+D560*AC$71)+F560/100*$B$7*AE$71-$C$71</f>
        <v/>
      </c>
      <c r="L560" s="13">
        <f>$B$7*(A560*AG$71+B560*AH$71+C560*AI$71+D560*AJ$71)+F560/100*$B$7*AL$71-$C$71</f>
        <v/>
      </c>
      <c r="M560" s="13">
        <f>$B$7*(A560*AN$71+B560*AO$71+C560*AP$71+D560*AQ$71)+F560/100*$B$7*AS$71-$C$71</f>
        <v/>
      </c>
      <c r="N560" s="13">
        <f>SUMPRODUCT($H$24:$M$24,H560:M560)</f>
        <v/>
      </c>
      <c r="O560" s="14">
        <f>SQRT(SUMPRODUCT($H$24:$M$24,(H560:M560-N560)^2))</f>
        <v/>
      </c>
      <c r="P560" s="13">
        <f>MIN(H560:M560)</f>
        <v/>
      </c>
      <c r="Q560" s="13">
        <f>MAX(H560:M560)</f>
        <v/>
      </c>
      <c r="R560" s="27">
        <f>IF(G560,SUMPRODUCT(($G$76:$G$1505)*($N$76:$N$1505&gt;=N560)*($O$76:$O$1505&lt;=O560))=1,FALSE)</f>
        <v/>
      </c>
      <c r="S560" s="16">
        <f>IF(R560,ABS((O560-$AC$76)/MAX(0.0001,$AC$77-$AC$76)-(N560-$AC$78)/MAX(0.0001,$AC$79-$AC$78)),-1)</f>
        <v/>
      </c>
      <c r="T560" s="14">
        <f>IF(G560,O560,NA())</f>
        <v/>
      </c>
      <c r="U560" s="13">
        <f>IF(G560,N560,NA())</f>
        <v/>
      </c>
      <c r="V560" s="14">
        <f>IF(R560,O560,NA())</f>
        <v/>
      </c>
      <c r="W560" s="13">
        <f>IF(R560,N560,NA())</f>
        <v/>
      </c>
      <c r="X560" s="27">
        <f>IF(G560,P560,"")</f>
        <v/>
      </c>
      <c r="Y560" s="27">
        <f>IF(G560,N560,"")</f>
        <v/>
      </c>
      <c r="Z560" s="27">
        <f>IF(R560,O560,"")</f>
        <v/>
      </c>
      <c r="AA560" s="27">
        <f>IF(R560,N560,"")</f>
        <v/>
      </c>
    </row>
    <row r="561">
      <c r="A561" s="31" t="n">
        <v>0.1</v>
      </c>
      <c r="B561" s="31" t="n">
        <v>0.3</v>
      </c>
      <c r="C561" s="31" t="n">
        <v>0.4</v>
      </c>
      <c r="D561" s="31" t="n">
        <v>0.2</v>
      </c>
      <c r="E561" s="27" t="inlineStr">
        <is>
          <t>ON 10%/1M 30%/2M 40%/3M 20%</t>
        </is>
      </c>
      <c r="F561" s="27" t="n">
        <v>0</v>
      </c>
      <c r="G561" s="27">
        <f>A561*$B$7&gt;=$B$9</f>
        <v/>
      </c>
      <c r="H561" s="13">
        <f>$B$7*(A561*E$71+B561*F$71+C561*G$71+D561*H$71)+F561/100*$B$7*J$71-$C$71</f>
        <v/>
      </c>
      <c r="I561" s="13">
        <f>$B$7*(A561*L$71+B561*M$71+C561*N$71+D561*O$71)+F561/100*$B$7*Q$71-$C$71</f>
        <v/>
      </c>
      <c r="J561" s="13">
        <f>$B$7*(A561*S$71+B561*T$71+C561*U$71+D561*V$71)+F561/100*$B$7*X$71-$C$71</f>
        <v/>
      </c>
      <c r="K561" s="13">
        <f>$B$7*(A561*Z$71+B561*AA$71+C561*AB$71+D561*AC$71)+F561/100*$B$7*AE$71-$C$71</f>
        <v/>
      </c>
      <c r="L561" s="13">
        <f>$B$7*(A561*AG$71+B561*AH$71+C561*AI$71+D561*AJ$71)+F561/100*$B$7*AL$71-$C$71</f>
        <v/>
      </c>
      <c r="M561" s="13">
        <f>$B$7*(A561*AN$71+B561*AO$71+C561*AP$71+D561*AQ$71)+F561/100*$B$7*AS$71-$C$71</f>
        <v/>
      </c>
      <c r="N561" s="13">
        <f>SUMPRODUCT($H$24:$M$24,H561:M561)</f>
        <v/>
      </c>
      <c r="O561" s="14">
        <f>SQRT(SUMPRODUCT($H$24:$M$24,(H561:M561-N561)^2))</f>
        <v/>
      </c>
      <c r="P561" s="13">
        <f>MIN(H561:M561)</f>
        <v/>
      </c>
      <c r="Q561" s="13">
        <f>MAX(H561:M561)</f>
        <v/>
      </c>
      <c r="R561" s="27">
        <f>IF(G561,SUMPRODUCT(($G$76:$G$1505)*($N$76:$N$1505&gt;=N561)*($O$76:$O$1505&lt;=O561))=1,FALSE)</f>
        <v/>
      </c>
      <c r="S561" s="16">
        <f>IF(R561,ABS((O561-$AC$76)/MAX(0.0001,$AC$77-$AC$76)-(N561-$AC$78)/MAX(0.0001,$AC$79-$AC$78)),-1)</f>
        <v/>
      </c>
      <c r="T561" s="14">
        <f>IF(G561,O561,NA())</f>
        <v/>
      </c>
      <c r="U561" s="13">
        <f>IF(G561,N561,NA())</f>
        <v/>
      </c>
      <c r="V561" s="14">
        <f>IF(R561,O561,NA())</f>
        <v/>
      </c>
      <c r="W561" s="13">
        <f>IF(R561,N561,NA())</f>
        <v/>
      </c>
      <c r="X561" s="27">
        <f>IF(G561,P561,"")</f>
        <v/>
      </c>
      <c r="Y561" s="27">
        <f>IF(G561,N561,"")</f>
        <v/>
      </c>
      <c r="Z561" s="27">
        <f>IF(R561,O561,"")</f>
        <v/>
      </c>
      <c r="AA561" s="27">
        <f>IF(R561,N561,"")</f>
        <v/>
      </c>
    </row>
    <row r="562">
      <c r="A562" s="31" t="n">
        <v>0.1</v>
      </c>
      <c r="B562" s="31" t="n">
        <v>0.3</v>
      </c>
      <c r="C562" s="31" t="n">
        <v>0.4</v>
      </c>
      <c r="D562" s="31" t="n">
        <v>0.2</v>
      </c>
      <c r="E562" s="27" t="inlineStr">
        <is>
          <t>ON 10%/1M 30%/2M 40%/3M 20%</t>
        </is>
      </c>
      <c r="F562" s="27" t="n">
        <v>25</v>
      </c>
      <c r="G562" s="27">
        <f>A562*$B$7&gt;=$B$9</f>
        <v/>
      </c>
      <c r="H562" s="13">
        <f>$B$7*(A562*E$71+B562*F$71+C562*G$71+D562*H$71)+F562/100*$B$7*J$71-$C$71</f>
        <v/>
      </c>
      <c r="I562" s="13">
        <f>$B$7*(A562*L$71+B562*M$71+C562*N$71+D562*O$71)+F562/100*$B$7*Q$71-$C$71</f>
        <v/>
      </c>
      <c r="J562" s="13">
        <f>$B$7*(A562*S$71+B562*T$71+C562*U$71+D562*V$71)+F562/100*$B$7*X$71-$C$71</f>
        <v/>
      </c>
      <c r="K562" s="13">
        <f>$B$7*(A562*Z$71+B562*AA$71+C562*AB$71+D562*AC$71)+F562/100*$B$7*AE$71-$C$71</f>
        <v/>
      </c>
      <c r="L562" s="13">
        <f>$B$7*(A562*AG$71+B562*AH$71+C562*AI$71+D562*AJ$71)+F562/100*$B$7*AL$71-$C$71</f>
        <v/>
      </c>
      <c r="M562" s="13">
        <f>$B$7*(A562*AN$71+B562*AO$71+C562*AP$71+D562*AQ$71)+F562/100*$B$7*AS$71-$C$71</f>
        <v/>
      </c>
      <c r="N562" s="13">
        <f>SUMPRODUCT($H$24:$M$24,H562:M562)</f>
        <v/>
      </c>
      <c r="O562" s="14">
        <f>SQRT(SUMPRODUCT($H$24:$M$24,(H562:M562-N562)^2))</f>
        <v/>
      </c>
      <c r="P562" s="13">
        <f>MIN(H562:M562)</f>
        <v/>
      </c>
      <c r="Q562" s="13">
        <f>MAX(H562:M562)</f>
        <v/>
      </c>
      <c r="R562" s="27">
        <f>IF(G562,SUMPRODUCT(($G$76:$G$1505)*($N$76:$N$1505&gt;=N562)*($O$76:$O$1505&lt;=O562))=1,FALSE)</f>
        <v/>
      </c>
      <c r="S562" s="16">
        <f>IF(R562,ABS((O562-$AC$76)/MAX(0.0001,$AC$77-$AC$76)-(N562-$AC$78)/MAX(0.0001,$AC$79-$AC$78)),-1)</f>
        <v/>
      </c>
      <c r="T562" s="14">
        <f>IF(G562,O562,NA())</f>
        <v/>
      </c>
      <c r="U562" s="13">
        <f>IF(G562,N562,NA())</f>
        <v/>
      </c>
      <c r="V562" s="14">
        <f>IF(R562,O562,NA())</f>
        <v/>
      </c>
      <c r="W562" s="13">
        <f>IF(R562,N562,NA())</f>
        <v/>
      </c>
      <c r="X562" s="27">
        <f>IF(G562,P562,"")</f>
        <v/>
      </c>
      <c r="Y562" s="27">
        <f>IF(G562,N562,"")</f>
        <v/>
      </c>
      <c r="Z562" s="27">
        <f>IF(R562,O562,"")</f>
        <v/>
      </c>
      <c r="AA562" s="27">
        <f>IF(R562,N562,"")</f>
        <v/>
      </c>
    </row>
    <row r="563">
      <c r="A563" s="31" t="n">
        <v>0.1</v>
      </c>
      <c r="B563" s="31" t="n">
        <v>0.3</v>
      </c>
      <c r="C563" s="31" t="n">
        <v>0.4</v>
      </c>
      <c r="D563" s="31" t="n">
        <v>0.2</v>
      </c>
      <c r="E563" s="27" t="inlineStr">
        <is>
          <t>ON 10%/1M 30%/2M 40%/3M 20%</t>
        </is>
      </c>
      <c r="F563" s="27" t="n">
        <v>50</v>
      </c>
      <c r="G563" s="27">
        <f>A563*$B$7&gt;=$B$9</f>
        <v/>
      </c>
      <c r="H563" s="13">
        <f>$B$7*(A563*E$71+B563*F$71+C563*G$71+D563*H$71)+F563/100*$B$7*J$71-$C$71</f>
        <v/>
      </c>
      <c r="I563" s="13">
        <f>$B$7*(A563*L$71+B563*M$71+C563*N$71+D563*O$71)+F563/100*$B$7*Q$71-$C$71</f>
        <v/>
      </c>
      <c r="J563" s="13">
        <f>$B$7*(A563*S$71+B563*T$71+C563*U$71+D563*V$71)+F563/100*$B$7*X$71-$C$71</f>
        <v/>
      </c>
      <c r="K563" s="13">
        <f>$B$7*(A563*Z$71+B563*AA$71+C563*AB$71+D563*AC$71)+F563/100*$B$7*AE$71-$C$71</f>
        <v/>
      </c>
      <c r="L563" s="13">
        <f>$B$7*(A563*AG$71+B563*AH$71+C563*AI$71+D563*AJ$71)+F563/100*$B$7*AL$71-$C$71</f>
        <v/>
      </c>
      <c r="M563" s="13">
        <f>$B$7*(A563*AN$71+B563*AO$71+C563*AP$71+D563*AQ$71)+F563/100*$B$7*AS$71-$C$71</f>
        <v/>
      </c>
      <c r="N563" s="13">
        <f>SUMPRODUCT($H$24:$M$24,H563:M563)</f>
        <v/>
      </c>
      <c r="O563" s="14">
        <f>SQRT(SUMPRODUCT($H$24:$M$24,(H563:M563-N563)^2))</f>
        <v/>
      </c>
      <c r="P563" s="13">
        <f>MIN(H563:M563)</f>
        <v/>
      </c>
      <c r="Q563" s="13">
        <f>MAX(H563:M563)</f>
        <v/>
      </c>
      <c r="R563" s="27">
        <f>IF(G563,SUMPRODUCT(($G$76:$G$1505)*($N$76:$N$1505&gt;=N563)*($O$76:$O$1505&lt;=O563))=1,FALSE)</f>
        <v/>
      </c>
      <c r="S563" s="16">
        <f>IF(R563,ABS((O563-$AC$76)/MAX(0.0001,$AC$77-$AC$76)-(N563-$AC$78)/MAX(0.0001,$AC$79-$AC$78)),-1)</f>
        <v/>
      </c>
      <c r="T563" s="14">
        <f>IF(G563,O563,NA())</f>
        <v/>
      </c>
      <c r="U563" s="13">
        <f>IF(G563,N563,NA())</f>
        <v/>
      </c>
      <c r="V563" s="14">
        <f>IF(R563,O563,NA())</f>
        <v/>
      </c>
      <c r="W563" s="13">
        <f>IF(R563,N563,NA())</f>
        <v/>
      </c>
      <c r="X563" s="27">
        <f>IF(G563,P563,"")</f>
        <v/>
      </c>
      <c r="Y563" s="27">
        <f>IF(G563,N563,"")</f>
        <v/>
      </c>
      <c r="Z563" s="27">
        <f>IF(R563,O563,"")</f>
        <v/>
      </c>
      <c r="AA563" s="27">
        <f>IF(R563,N563,"")</f>
        <v/>
      </c>
    </row>
    <row r="564">
      <c r="A564" s="31" t="n">
        <v>0.1</v>
      </c>
      <c r="B564" s="31" t="n">
        <v>0.3</v>
      </c>
      <c r="C564" s="31" t="n">
        <v>0.4</v>
      </c>
      <c r="D564" s="31" t="n">
        <v>0.2</v>
      </c>
      <c r="E564" s="27" t="inlineStr">
        <is>
          <t>ON 10%/1M 30%/2M 40%/3M 20%</t>
        </is>
      </c>
      <c r="F564" s="27" t="n">
        <v>75</v>
      </c>
      <c r="G564" s="27">
        <f>A564*$B$7&gt;=$B$9</f>
        <v/>
      </c>
      <c r="H564" s="13">
        <f>$B$7*(A564*E$71+B564*F$71+C564*G$71+D564*H$71)+F564/100*$B$7*J$71-$C$71</f>
        <v/>
      </c>
      <c r="I564" s="13">
        <f>$B$7*(A564*L$71+B564*M$71+C564*N$71+D564*O$71)+F564/100*$B$7*Q$71-$C$71</f>
        <v/>
      </c>
      <c r="J564" s="13">
        <f>$B$7*(A564*S$71+B564*T$71+C564*U$71+D564*V$71)+F564/100*$B$7*X$71-$C$71</f>
        <v/>
      </c>
      <c r="K564" s="13">
        <f>$B$7*(A564*Z$71+B564*AA$71+C564*AB$71+D564*AC$71)+F564/100*$B$7*AE$71-$C$71</f>
        <v/>
      </c>
      <c r="L564" s="13">
        <f>$B$7*(A564*AG$71+B564*AH$71+C564*AI$71+D564*AJ$71)+F564/100*$B$7*AL$71-$C$71</f>
        <v/>
      </c>
      <c r="M564" s="13">
        <f>$B$7*(A564*AN$71+B564*AO$71+C564*AP$71+D564*AQ$71)+F564/100*$B$7*AS$71-$C$71</f>
        <v/>
      </c>
      <c r="N564" s="13">
        <f>SUMPRODUCT($H$24:$M$24,H564:M564)</f>
        <v/>
      </c>
      <c r="O564" s="14">
        <f>SQRT(SUMPRODUCT($H$24:$M$24,(H564:M564-N564)^2))</f>
        <v/>
      </c>
      <c r="P564" s="13">
        <f>MIN(H564:M564)</f>
        <v/>
      </c>
      <c r="Q564" s="13">
        <f>MAX(H564:M564)</f>
        <v/>
      </c>
      <c r="R564" s="27">
        <f>IF(G564,SUMPRODUCT(($G$76:$G$1505)*($N$76:$N$1505&gt;=N564)*($O$76:$O$1505&lt;=O564))=1,FALSE)</f>
        <v/>
      </c>
      <c r="S564" s="16">
        <f>IF(R564,ABS((O564-$AC$76)/MAX(0.0001,$AC$77-$AC$76)-(N564-$AC$78)/MAX(0.0001,$AC$79-$AC$78)),-1)</f>
        <v/>
      </c>
      <c r="T564" s="14">
        <f>IF(G564,O564,NA())</f>
        <v/>
      </c>
      <c r="U564" s="13">
        <f>IF(G564,N564,NA())</f>
        <v/>
      </c>
      <c r="V564" s="14">
        <f>IF(R564,O564,NA())</f>
        <v/>
      </c>
      <c r="W564" s="13">
        <f>IF(R564,N564,NA())</f>
        <v/>
      </c>
      <c r="X564" s="27">
        <f>IF(G564,P564,"")</f>
        <v/>
      </c>
      <c r="Y564" s="27">
        <f>IF(G564,N564,"")</f>
        <v/>
      </c>
      <c r="Z564" s="27">
        <f>IF(R564,O564,"")</f>
        <v/>
      </c>
      <c r="AA564" s="27">
        <f>IF(R564,N564,"")</f>
        <v/>
      </c>
    </row>
    <row r="565">
      <c r="A565" s="31" t="n">
        <v>0.1</v>
      </c>
      <c r="B565" s="31" t="n">
        <v>0.3</v>
      </c>
      <c r="C565" s="31" t="n">
        <v>0.4</v>
      </c>
      <c r="D565" s="31" t="n">
        <v>0.2</v>
      </c>
      <c r="E565" s="27" t="inlineStr">
        <is>
          <t>ON 10%/1M 30%/2M 40%/3M 20%</t>
        </is>
      </c>
      <c r="F565" s="27" t="n">
        <v>100</v>
      </c>
      <c r="G565" s="27">
        <f>A565*$B$7&gt;=$B$9</f>
        <v/>
      </c>
      <c r="H565" s="13">
        <f>$B$7*(A565*E$71+B565*F$71+C565*G$71+D565*H$71)+F565/100*$B$7*J$71-$C$71</f>
        <v/>
      </c>
      <c r="I565" s="13">
        <f>$B$7*(A565*L$71+B565*M$71+C565*N$71+D565*O$71)+F565/100*$B$7*Q$71-$C$71</f>
        <v/>
      </c>
      <c r="J565" s="13">
        <f>$B$7*(A565*S$71+B565*T$71+C565*U$71+D565*V$71)+F565/100*$B$7*X$71-$C$71</f>
        <v/>
      </c>
      <c r="K565" s="13">
        <f>$B$7*(A565*Z$71+B565*AA$71+C565*AB$71+D565*AC$71)+F565/100*$B$7*AE$71-$C$71</f>
        <v/>
      </c>
      <c r="L565" s="13">
        <f>$B$7*(A565*AG$71+B565*AH$71+C565*AI$71+D565*AJ$71)+F565/100*$B$7*AL$71-$C$71</f>
        <v/>
      </c>
      <c r="M565" s="13">
        <f>$B$7*(A565*AN$71+B565*AO$71+C565*AP$71+D565*AQ$71)+F565/100*$B$7*AS$71-$C$71</f>
        <v/>
      </c>
      <c r="N565" s="13">
        <f>SUMPRODUCT($H$24:$M$24,H565:M565)</f>
        <v/>
      </c>
      <c r="O565" s="14">
        <f>SQRT(SUMPRODUCT($H$24:$M$24,(H565:M565-N565)^2))</f>
        <v/>
      </c>
      <c r="P565" s="13">
        <f>MIN(H565:M565)</f>
        <v/>
      </c>
      <c r="Q565" s="13">
        <f>MAX(H565:M565)</f>
        <v/>
      </c>
      <c r="R565" s="27">
        <f>IF(G565,SUMPRODUCT(($G$76:$G$1505)*($N$76:$N$1505&gt;=N565)*($O$76:$O$1505&lt;=O565))=1,FALSE)</f>
        <v/>
      </c>
      <c r="S565" s="16">
        <f>IF(R565,ABS((O565-$AC$76)/MAX(0.0001,$AC$77-$AC$76)-(N565-$AC$78)/MAX(0.0001,$AC$79-$AC$78)),-1)</f>
        <v/>
      </c>
      <c r="T565" s="14">
        <f>IF(G565,O565,NA())</f>
        <v/>
      </c>
      <c r="U565" s="13">
        <f>IF(G565,N565,NA())</f>
        <v/>
      </c>
      <c r="V565" s="14">
        <f>IF(R565,O565,NA())</f>
        <v/>
      </c>
      <c r="W565" s="13">
        <f>IF(R565,N565,NA())</f>
        <v/>
      </c>
      <c r="X565" s="27">
        <f>IF(G565,P565,"")</f>
        <v/>
      </c>
      <c r="Y565" s="27">
        <f>IF(G565,N565,"")</f>
        <v/>
      </c>
      <c r="Z565" s="27">
        <f>IF(R565,O565,"")</f>
        <v/>
      </c>
      <c r="AA565" s="27">
        <f>IF(R565,N565,"")</f>
        <v/>
      </c>
    </row>
    <row r="566">
      <c r="A566" s="31" t="n">
        <v>0.1</v>
      </c>
      <c r="B566" s="31" t="n">
        <v>0.3</v>
      </c>
      <c r="C566" s="31" t="n">
        <v>0.5</v>
      </c>
      <c r="D566" s="31" t="n">
        <v>0.1</v>
      </c>
      <c r="E566" s="27" t="inlineStr">
        <is>
          <t>ON 10%/1M 30%/2M 50%/3M 10%</t>
        </is>
      </c>
      <c r="F566" s="27" t="n">
        <v>0</v>
      </c>
      <c r="G566" s="27">
        <f>A566*$B$7&gt;=$B$9</f>
        <v/>
      </c>
      <c r="H566" s="13">
        <f>$B$7*(A566*E$71+B566*F$71+C566*G$71+D566*H$71)+F566/100*$B$7*J$71-$C$71</f>
        <v/>
      </c>
      <c r="I566" s="13">
        <f>$B$7*(A566*L$71+B566*M$71+C566*N$71+D566*O$71)+F566/100*$B$7*Q$71-$C$71</f>
        <v/>
      </c>
      <c r="J566" s="13">
        <f>$B$7*(A566*S$71+B566*T$71+C566*U$71+D566*V$71)+F566/100*$B$7*X$71-$C$71</f>
        <v/>
      </c>
      <c r="K566" s="13">
        <f>$B$7*(A566*Z$71+B566*AA$71+C566*AB$71+D566*AC$71)+F566/100*$B$7*AE$71-$C$71</f>
        <v/>
      </c>
      <c r="L566" s="13">
        <f>$B$7*(A566*AG$71+B566*AH$71+C566*AI$71+D566*AJ$71)+F566/100*$B$7*AL$71-$C$71</f>
        <v/>
      </c>
      <c r="M566" s="13">
        <f>$B$7*(A566*AN$71+B566*AO$71+C566*AP$71+D566*AQ$71)+F566/100*$B$7*AS$71-$C$71</f>
        <v/>
      </c>
      <c r="N566" s="13">
        <f>SUMPRODUCT($H$24:$M$24,H566:M566)</f>
        <v/>
      </c>
      <c r="O566" s="14">
        <f>SQRT(SUMPRODUCT($H$24:$M$24,(H566:M566-N566)^2))</f>
        <v/>
      </c>
      <c r="P566" s="13">
        <f>MIN(H566:M566)</f>
        <v/>
      </c>
      <c r="Q566" s="13">
        <f>MAX(H566:M566)</f>
        <v/>
      </c>
      <c r="R566" s="27">
        <f>IF(G566,SUMPRODUCT(($G$76:$G$1505)*($N$76:$N$1505&gt;=N566)*($O$76:$O$1505&lt;=O566))=1,FALSE)</f>
        <v/>
      </c>
      <c r="S566" s="16">
        <f>IF(R566,ABS((O566-$AC$76)/MAX(0.0001,$AC$77-$AC$76)-(N566-$AC$78)/MAX(0.0001,$AC$79-$AC$78)),-1)</f>
        <v/>
      </c>
      <c r="T566" s="14">
        <f>IF(G566,O566,NA())</f>
        <v/>
      </c>
      <c r="U566" s="13">
        <f>IF(G566,N566,NA())</f>
        <v/>
      </c>
      <c r="V566" s="14">
        <f>IF(R566,O566,NA())</f>
        <v/>
      </c>
      <c r="W566" s="13">
        <f>IF(R566,N566,NA())</f>
        <v/>
      </c>
      <c r="X566" s="27">
        <f>IF(G566,P566,"")</f>
        <v/>
      </c>
      <c r="Y566" s="27">
        <f>IF(G566,N566,"")</f>
        <v/>
      </c>
      <c r="Z566" s="27">
        <f>IF(R566,O566,"")</f>
        <v/>
      </c>
      <c r="AA566" s="27">
        <f>IF(R566,N566,"")</f>
        <v/>
      </c>
    </row>
    <row r="567">
      <c r="A567" s="31" t="n">
        <v>0.1</v>
      </c>
      <c r="B567" s="31" t="n">
        <v>0.3</v>
      </c>
      <c r="C567" s="31" t="n">
        <v>0.5</v>
      </c>
      <c r="D567" s="31" t="n">
        <v>0.1</v>
      </c>
      <c r="E567" s="27" t="inlineStr">
        <is>
          <t>ON 10%/1M 30%/2M 50%/3M 10%</t>
        </is>
      </c>
      <c r="F567" s="27" t="n">
        <v>25</v>
      </c>
      <c r="G567" s="27">
        <f>A567*$B$7&gt;=$B$9</f>
        <v/>
      </c>
      <c r="H567" s="13">
        <f>$B$7*(A567*E$71+B567*F$71+C567*G$71+D567*H$71)+F567/100*$B$7*J$71-$C$71</f>
        <v/>
      </c>
      <c r="I567" s="13">
        <f>$B$7*(A567*L$71+B567*M$71+C567*N$71+D567*O$71)+F567/100*$B$7*Q$71-$C$71</f>
        <v/>
      </c>
      <c r="J567" s="13">
        <f>$B$7*(A567*S$71+B567*T$71+C567*U$71+D567*V$71)+F567/100*$B$7*X$71-$C$71</f>
        <v/>
      </c>
      <c r="K567" s="13">
        <f>$B$7*(A567*Z$71+B567*AA$71+C567*AB$71+D567*AC$71)+F567/100*$B$7*AE$71-$C$71</f>
        <v/>
      </c>
      <c r="L567" s="13">
        <f>$B$7*(A567*AG$71+B567*AH$71+C567*AI$71+D567*AJ$71)+F567/100*$B$7*AL$71-$C$71</f>
        <v/>
      </c>
      <c r="M567" s="13">
        <f>$B$7*(A567*AN$71+B567*AO$71+C567*AP$71+D567*AQ$71)+F567/100*$B$7*AS$71-$C$71</f>
        <v/>
      </c>
      <c r="N567" s="13">
        <f>SUMPRODUCT($H$24:$M$24,H567:M567)</f>
        <v/>
      </c>
      <c r="O567" s="14">
        <f>SQRT(SUMPRODUCT($H$24:$M$24,(H567:M567-N567)^2))</f>
        <v/>
      </c>
      <c r="P567" s="13">
        <f>MIN(H567:M567)</f>
        <v/>
      </c>
      <c r="Q567" s="13">
        <f>MAX(H567:M567)</f>
        <v/>
      </c>
      <c r="R567" s="27">
        <f>IF(G567,SUMPRODUCT(($G$76:$G$1505)*($N$76:$N$1505&gt;=N567)*($O$76:$O$1505&lt;=O567))=1,FALSE)</f>
        <v/>
      </c>
      <c r="S567" s="16">
        <f>IF(R567,ABS((O567-$AC$76)/MAX(0.0001,$AC$77-$AC$76)-(N567-$AC$78)/MAX(0.0001,$AC$79-$AC$78)),-1)</f>
        <v/>
      </c>
      <c r="T567" s="14">
        <f>IF(G567,O567,NA())</f>
        <v/>
      </c>
      <c r="U567" s="13">
        <f>IF(G567,N567,NA())</f>
        <v/>
      </c>
      <c r="V567" s="14">
        <f>IF(R567,O567,NA())</f>
        <v/>
      </c>
      <c r="W567" s="13">
        <f>IF(R567,N567,NA())</f>
        <v/>
      </c>
      <c r="X567" s="27">
        <f>IF(G567,P567,"")</f>
        <v/>
      </c>
      <c r="Y567" s="27">
        <f>IF(G567,N567,"")</f>
        <v/>
      </c>
      <c r="Z567" s="27">
        <f>IF(R567,O567,"")</f>
        <v/>
      </c>
      <c r="AA567" s="27">
        <f>IF(R567,N567,"")</f>
        <v/>
      </c>
    </row>
    <row r="568">
      <c r="A568" s="31" t="n">
        <v>0.1</v>
      </c>
      <c r="B568" s="31" t="n">
        <v>0.3</v>
      </c>
      <c r="C568" s="31" t="n">
        <v>0.5</v>
      </c>
      <c r="D568" s="31" t="n">
        <v>0.1</v>
      </c>
      <c r="E568" s="27" t="inlineStr">
        <is>
          <t>ON 10%/1M 30%/2M 50%/3M 10%</t>
        </is>
      </c>
      <c r="F568" s="27" t="n">
        <v>50</v>
      </c>
      <c r="G568" s="27">
        <f>A568*$B$7&gt;=$B$9</f>
        <v/>
      </c>
      <c r="H568" s="13">
        <f>$B$7*(A568*E$71+B568*F$71+C568*G$71+D568*H$71)+F568/100*$B$7*J$71-$C$71</f>
        <v/>
      </c>
      <c r="I568" s="13">
        <f>$B$7*(A568*L$71+B568*M$71+C568*N$71+D568*O$71)+F568/100*$B$7*Q$71-$C$71</f>
        <v/>
      </c>
      <c r="J568" s="13">
        <f>$B$7*(A568*S$71+B568*T$71+C568*U$71+D568*V$71)+F568/100*$B$7*X$71-$C$71</f>
        <v/>
      </c>
      <c r="K568" s="13">
        <f>$B$7*(A568*Z$71+B568*AA$71+C568*AB$71+D568*AC$71)+F568/100*$B$7*AE$71-$C$71</f>
        <v/>
      </c>
      <c r="L568" s="13">
        <f>$B$7*(A568*AG$71+B568*AH$71+C568*AI$71+D568*AJ$71)+F568/100*$B$7*AL$71-$C$71</f>
        <v/>
      </c>
      <c r="M568" s="13">
        <f>$B$7*(A568*AN$71+B568*AO$71+C568*AP$71+D568*AQ$71)+F568/100*$B$7*AS$71-$C$71</f>
        <v/>
      </c>
      <c r="N568" s="13">
        <f>SUMPRODUCT($H$24:$M$24,H568:M568)</f>
        <v/>
      </c>
      <c r="O568" s="14">
        <f>SQRT(SUMPRODUCT($H$24:$M$24,(H568:M568-N568)^2))</f>
        <v/>
      </c>
      <c r="P568" s="13">
        <f>MIN(H568:M568)</f>
        <v/>
      </c>
      <c r="Q568" s="13">
        <f>MAX(H568:M568)</f>
        <v/>
      </c>
      <c r="R568" s="27">
        <f>IF(G568,SUMPRODUCT(($G$76:$G$1505)*($N$76:$N$1505&gt;=N568)*($O$76:$O$1505&lt;=O568))=1,FALSE)</f>
        <v/>
      </c>
      <c r="S568" s="16">
        <f>IF(R568,ABS((O568-$AC$76)/MAX(0.0001,$AC$77-$AC$76)-(N568-$AC$78)/MAX(0.0001,$AC$79-$AC$78)),-1)</f>
        <v/>
      </c>
      <c r="T568" s="14">
        <f>IF(G568,O568,NA())</f>
        <v/>
      </c>
      <c r="U568" s="13">
        <f>IF(G568,N568,NA())</f>
        <v/>
      </c>
      <c r="V568" s="14">
        <f>IF(R568,O568,NA())</f>
        <v/>
      </c>
      <c r="W568" s="13">
        <f>IF(R568,N568,NA())</f>
        <v/>
      </c>
      <c r="X568" s="27">
        <f>IF(G568,P568,"")</f>
        <v/>
      </c>
      <c r="Y568" s="27">
        <f>IF(G568,N568,"")</f>
        <v/>
      </c>
      <c r="Z568" s="27">
        <f>IF(R568,O568,"")</f>
        <v/>
      </c>
      <c r="AA568" s="27">
        <f>IF(R568,N568,"")</f>
        <v/>
      </c>
    </row>
    <row r="569">
      <c r="A569" s="31" t="n">
        <v>0.1</v>
      </c>
      <c r="B569" s="31" t="n">
        <v>0.3</v>
      </c>
      <c r="C569" s="31" t="n">
        <v>0.5</v>
      </c>
      <c r="D569" s="31" t="n">
        <v>0.1</v>
      </c>
      <c r="E569" s="27" t="inlineStr">
        <is>
          <t>ON 10%/1M 30%/2M 50%/3M 10%</t>
        </is>
      </c>
      <c r="F569" s="27" t="n">
        <v>75</v>
      </c>
      <c r="G569" s="27">
        <f>A569*$B$7&gt;=$B$9</f>
        <v/>
      </c>
      <c r="H569" s="13">
        <f>$B$7*(A569*E$71+B569*F$71+C569*G$71+D569*H$71)+F569/100*$B$7*J$71-$C$71</f>
        <v/>
      </c>
      <c r="I569" s="13">
        <f>$B$7*(A569*L$71+B569*M$71+C569*N$71+D569*O$71)+F569/100*$B$7*Q$71-$C$71</f>
        <v/>
      </c>
      <c r="J569" s="13">
        <f>$B$7*(A569*S$71+B569*T$71+C569*U$71+D569*V$71)+F569/100*$B$7*X$71-$C$71</f>
        <v/>
      </c>
      <c r="K569" s="13">
        <f>$B$7*(A569*Z$71+B569*AA$71+C569*AB$71+D569*AC$71)+F569/100*$B$7*AE$71-$C$71</f>
        <v/>
      </c>
      <c r="L569" s="13">
        <f>$B$7*(A569*AG$71+B569*AH$71+C569*AI$71+D569*AJ$71)+F569/100*$B$7*AL$71-$C$71</f>
        <v/>
      </c>
      <c r="M569" s="13">
        <f>$B$7*(A569*AN$71+B569*AO$71+C569*AP$71+D569*AQ$71)+F569/100*$B$7*AS$71-$C$71</f>
        <v/>
      </c>
      <c r="N569" s="13">
        <f>SUMPRODUCT($H$24:$M$24,H569:M569)</f>
        <v/>
      </c>
      <c r="O569" s="14">
        <f>SQRT(SUMPRODUCT($H$24:$M$24,(H569:M569-N569)^2))</f>
        <v/>
      </c>
      <c r="P569" s="13">
        <f>MIN(H569:M569)</f>
        <v/>
      </c>
      <c r="Q569" s="13">
        <f>MAX(H569:M569)</f>
        <v/>
      </c>
      <c r="R569" s="27">
        <f>IF(G569,SUMPRODUCT(($G$76:$G$1505)*($N$76:$N$1505&gt;=N569)*($O$76:$O$1505&lt;=O569))=1,FALSE)</f>
        <v/>
      </c>
      <c r="S569" s="16">
        <f>IF(R569,ABS((O569-$AC$76)/MAX(0.0001,$AC$77-$AC$76)-(N569-$AC$78)/MAX(0.0001,$AC$79-$AC$78)),-1)</f>
        <v/>
      </c>
      <c r="T569" s="14">
        <f>IF(G569,O569,NA())</f>
        <v/>
      </c>
      <c r="U569" s="13">
        <f>IF(G569,N569,NA())</f>
        <v/>
      </c>
      <c r="V569" s="14">
        <f>IF(R569,O569,NA())</f>
        <v/>
      </c>
      <c r="W569" s="13">
        <f>IF(R569,N569,NA())</f>
        <v/>
      </c>
      <c r="X569" s="27">
        <f>IF(G569,P569,"")</f>
        <v/>
      </c>
      <c r="Y569" s="27">
        <f>IF(G569,N569,"")</f>
        <v/>
      </c>
      <c r="Z569" s="27">
        <f>IF(R569,O569,"")</f>
        <v/>
      </c>
      <c r="AA569" s="27">
        <f>IF(R569,N569,"")</f>
        <v/>
      </c>
    </row>
    <row r="570">
      <c r="A570" s="31" t="n">
        <v>0.1</v>
      </c>
      <c r="B570" s="31" t="n">
        <v>0.3</v>
      </c>
      <c r="C570" s="31" t="n">
        <v>0.5</v>
      </c>
      <c r="D570" s="31" t="n">
        <v>0.1</v>
      </c>
      <c r="E570" s="27" t="inlineStr">
        <is>
          <t>ON 10%/1M 30%/2M 50%/3M 10%</t>
        </is>
      </c>
      <c r="F570" s="27" t="n">
        <v>100</v>
      </c>
      <c r="G570" s="27">
        <f>A570*$B$7&gt;=$B$9</f>
        <v/>
      </c>
      <c r="H570" s="13">
        <f>$B$7*(A570*E$71+B570*F$71+C570*G$71+D570*H$71)+F570/100*$B$7*J$71-$C$71</f>
        <v/>
      </c>
      <c r="I570" s="13">
        <f>$B$7*(A570*L$71+B570*M$71+C570*N$71+D570*O$71)+F570/100*$B$7*Q$71-$C$71</f>
        <v/>
      </c>
      <c r="J570" s="13">
        <f>$B$7*(A570*S$71+B570*T$71+C570*U$71+D570*V$71)+F570/100*$B$7*X$71-$C$71</f>
        <v/>
      </c>
      <c r="K570" s="13">
        <f>$B$7*(A570*Z$71+B570*AA$71+C570*AB$71+D570*AC$71)+F570/100*$B$7*AE$71-$C$71</f>
        <v/>
      </c>
      <c r="L570" s="13">
        <f>$B$7*(A570*AG$71+B570*AH$71+C570*AI$71+D570*AJ$71)+F570/100*$B$7*AL$71-$C$71</f>
        <v/>
      </c>
      <c r="M570" s="13">
        <f>$B$7*(A570*AN$71+B570*AO$71+C570*AP$71+D570*AQ$71)+F570/100*$B$7*AS$71-$C$71</f>
        <v/>
      </c>
      <c r="N570" s="13">
        <f>SUMPRODUCT($H$24:$M$24,H570:M570)</f>
        <v/>
      </c>
      <c r="O570" s="14">
        <f>SQRT(SUMPRODUCT($H$24:$M$24,(H570:M570-N570)^2))</f>
        <v/>
      </c>
      <c r="P570" s="13">
        <f>MIN(H570:M570)</f>
        <v/>
      </c>
      <c r="Q570" s="13">
        <f>MAX(H570:M570)</f>
        <v/>
      </c>
      <c r="R570" s="27">
        <f>IF(G570,SUMPRODUCT(($G$76:$G$1505)*($N$76:$N$1505&gt;=N570)*($O$76:$O$1505&lt;=O570))=1,FALSE)</f>
        <v/>
      </c>
      <c r="S570" s="16">
        <f>IF(R570,ABS((O570-$AC$76)/MAX(0.0001,$AC$77-$AC$76)-(N570-$AC$78)/MAX(0.0001,$AC$79-$AC$78)),-1)</f>
        <v/>
      </c>
      <c r="T570" s="14">
        <f>IF(G570,O570,NA())</f>
        <v/>
      </c>
      <c r="U570" s="13">
        <f>IF(G570,N570,NA())</f>
        <v/>
      </c>
      <c r="V570" s="14">
        <f>IF(R570,O570,NA())</f>
        <v/>
      </c>
      <c r="W570" s="13">
        <f>IF(R570,N570,NA())</f>
        <v/>
      </c>
      <c r="X570" s="27">
        <f>IF(G570,P570,"")</f>
        <v/>
      </c>
      <c r="Y570" s="27">
        <f>IF(G570,N570,"")</f>
        <v/>
      </c>
      <c r="Z570" s="27">
        <f>IF(R570,O570,"")</f>
        <v/>
      </c>
      <c r="AA570" s="27">
        <f>IF(R570,N570,"")</f>
        <v/>
      </c>
    </row>
    <row r="571">
      <c r="A571" s="31" t="n">
        <v>0.1</v>
      </c>
      <c r="B571" s="31" t="n">
        <v>0.3</v>
      </c>
      <c r="C571" s="31" t="n">
        <v>0.6</v>
      </c>
      <c r="D571" s="31" t="n">
        <v>0</v>
      </c>
      <c r="E571" s="27" t="inlineStr">
        <is>
          <t>ON 10%/1M 30%/2M 60%</t>
        </is>
      </c>
      <c r="F571" s="27" t="n">
        <v>0</v>
      </c>
      <c r="G571" s="27">
        <f>A571*$B$7&gt;=$B$9</f>
        <v/>
      </c>
      <c r="H571" s="13">
        <f>$B$7*(A571*E$71+B571*F$71+C571*G$71+D571*H$71)+F571/100*$B$7*J$71-$C$71</f>
        <v/>
      </c>
      <c r="I571" s="13">
        <f>$B$7*(A571*L$71+B571*M$71+C571*N$71+D571*O$71)+F571/100*$B$7*Q$71-$C$71</f>
        <v/>
      </c>
      <c r="J571" s="13">
        <f>$B$7*(A571*S$71+B571*T$71+C571*U$71+D571*V$71)+F571/100*$B$7*X$71-$C$71</f>
        <v/>
      </c>
      <c r="K571" s="13">
        <f>$B$7*(A571*Z$71+B571*AA$71+C571*AB$71+D571*AC$71)+F571/100*$B$7*AE$71-$C$71</f>
        <v/>
      </c>
      <c r="L571" s="13">
        <f>$B$7*(A571*AG$71+B571*AH$71+C571*AI$71+D571*AJ$71)+F571/100*$B$7*AL$71-$C$71</f>
        <v/>
      </c>
      <c r="M571" s="13">
        <f>$B$7*(A571*AN$71+B571*AO$71+C571*AP$71+D571*AQ$71)+F571/100*$B$7*AS$71-$C$71</f>
        <v/>
      </c>
      <c r="N571" s="13">
        <f>SUMPRODUCT($H$24:$M$24,H571:M571)</f>
        <v/>
      </c>
      <c r="O571" s="14">
        <f>SQRT(SUMPRODUCT($H$24:$M$24,(H571:M571-N571)^2))</f>
        <v/>
      </c>
      <c r="P571" s="13">
        <f>MIN(H571:M571)</f>
        <v/>
      </c>
      <c r="Q571" s="13">
        <f>MAX(H571:M571)</f>
        <v/>
      </c>
      <c r="R571" s="27">
        <f>IF(G571,SUMPRODUCT(($G$76:$G$1505)*($N$76:$N$1505&gt;=N571)*($O$76:$O$1505&lt;=O571))=1,FALSE)</f>
        <v/>
      </c>
      <c r="S571" s="16">
        <f>IF(R571,ABS((O571-$AC$76)/MAX(0.0001,$AC$77-$AC$76)-(N571-$AC$78)/MAX(0.0001,$AC$79-$AC$78)),-1)</f>
        <v/>
      </c>
      <c r="T571" s="14">
        <f>IF(G571,O571,NA())</f>
        <v/>
      </c>
      <c r="U571" s="13">
        <f>IF(G571,N571,NA())</f>
        <v/>
      </c>
      <c r="V571" s="14">
        <f>IF(R571,O571,NA())</f>
        <v/>
      </c>
      <c r="W571" s="13">
        <f>IF(R571,N571,NA())</f>
        <v/>
      </c>
      <c r="X571" s="27">
        <f>IF(G571,P571,"")</f>
        <v/>
      </c>
      <c r="Y571" s="27">
        <f>IF(G571,N571,"")</f>
        <v/>
      </c>
      <c r="Z571" s="27">
        <f>IF(R571,O571,"")</f>
        <v/>
      </c>
      <c r="AA571" s="27">
        <f>IF(R571,N571,"")</f>
        <v/>
      </c>
    </row>
    <row r="572">
      <c r="A572" s="31" t="n">
        <v>0.1</v>
      </c>
      <c r="B572" s="31" t="n">
        <v>0.3</v>
      </c>
      <c r="C572" s="31" t="n">
        <v>0.6</v>
      </c>
      <c r="D572" s="31" t="n">
        <v>0</v>
      </c>
      <c r="E572" s="27" t="inlineStr">
        <is>
          <t>ON 10%/1M 30%/2M 60%</t>
        </is>
      </c>
      <c r="F572" s="27" t="n">
        <v>25</v>
      </c>
      <c r="G572" s="27">
        <f>A572*$B$7&gt;=$B$9</f>
        <v/>
      </c>
      <c r="H572" s="13">
        <f>$B$7*(A572*E$71+B572*F$71+C572*G$71+D572*H$71)+F572/100*$B$7*J$71-$C$71</f>
        <v/>
      </c>
      <c r="I572" s="13">
        <f>$B$7*(A572*L$71+B572*M$71+C572*N$71+D572*O$71)+F572/100*$B$7*Q$71-$C$71</f>
        <v/>
      </c>
      <c r="J572" s="13">
        <f>$B$7*(A572*S$71+B572*T$71+C572*U$71+D572*V$71)+F572/100*$B$7*X$71-$C$71</f>
        <v/>
      </c>
      <c r="K572" s="13">
        <f>$B$7*(A572*Z$71+B572*AA$71+C572*AB$71+D572*AC$71)+F572/100*$B$7*AE$71-$C$71</f>
        <v/>
      </c>
      <c r="L572" s="13">
        <f>$B$7*(A572*AG$71+B572*AH$71+C572*AI$71+D572*AJ$71)+F572/100*$B$7*AL$71-$C$71</f>
        <v/>
      </c>
      <c r="M572" s="13">
        <f>$B$7*(A572*AN$71+B572*AO$71+C572*AP$71+D572*AQ$71)+F572/100*$B$7*AS$71-$C$71</f>
        <v/>
      </c>
      <c r="N572" s="13">
        <f>SUMPRODUCT($H$24:$M$24,H572:M572)</f>
        <v/>
      </c>
      <c r="O572" s="14">
        <f>SQRT(SUMPRODUCT($H$24:$M$24,(H572:M572-N572)^2))</f>
        <v/>
      </c>
      <c r="P572" s="13">
        <f>MIN(H572:M572)</f>
        <v/>
      </c>
      <c r="Q572" s="13">
        <f>MAX(H572:M572)</f>
        <v/>
      </c>
      <c r="R572" s="27">
        <f>IF(G572,SUMPRODUCT(($G$76:$G$1505)*($N$76:$N$1505&gt;=N572)*($O$76:$O$1505&lt;=O572))=1,FALSE)</f>
        <v/>
      </c>
      <c r="S572" s="16">
        <f>IF(R572,ABS((O572-$AC$76)/MAX(0.0001,$AC$77-$AC$76)-(N572-$AC$78)/MAX(0.0001,$AC$79-$AC$78)),-1)</f>
        <v/>
      </c>
      <c r="T572" s="14">
        <f>IF(G572,O572,NA())</f>
        <v/>
      </c>
      <c r="U572" s="13">
        <f>IF(G572,N572,NA())</f>
        <v/>
      </c>
      <c r="V572" s="14">
        <f>IF(R572,O572,NA())</f>
        <v/>
      </c>
      <c r="W572" s="13">
        <f>IF(R572,N572,NA())</f>
        <v/>
      </c>
      <c r="X572" s="27">
        <f>IF(G572,P572,"")</f>
        <v/>
      </c>
      <c r="Y572" s="27">
        <f>IF(G572,N572,"")</f>
        <v/>
      </c>
      <c r="Z572" s="27">
        <f>IF(R572,O572,"")</f>
        <v/>
      </c>
      <c r="AA572" s="27">
        <f>IF(R572,N572,"")</f>
        <v/>
      </c>
    </row>
    <row r="573">
      <c r="A573" s="31" t="n">
        <v>0.1</v>
      </c>
      <c r="B573" s="31" t="n">
        <v>0.3</v>
      </c>
      <c r="C573" s="31" t="n">
        <v>0.6</v>
      </c>
      <c r="D573" s="31" t="n">
        <v>0</v>
      </c>
      <c r="E573" s="27" t="inlineStr">
        <is>
          <t>ON 10%/1M 30%/2M 60%</t>
        </is>
      </c>
      <c r="F573" s="27" t="n">
        <v>50</v>
      </c>
      <c r="G573" s="27">
        <f>A573*$B$7&gt;=$B$9</f>
        <v/>
      </c>
      <c r="H573" s="13">
        <f>$B$7*(A573*E$71+B573*F$71+C573*G$71+D573*H$71)+F573/100*$B$7*J$71-$C$71</f>
        <v/>
      </c>
      <c r="I573" s="13">
        <f>$B$7*(A573*L$71+B573*M$71+C573*N$71+D573*O$71)+F573/100*$B$7*Q$71-$C$71</f>
        <v/>
      </c>
      <c r="J573" s="13">
        <f>$B$7*(A573*S$71+B573*T$71+C573*U$71+D573*V$71)+F573/100*$B$7*X$71-$C$71</f>
        <v/>
      </c>
      <c r="K573" s="13">
        <f>$B$7*(A573*Z$71+B573*AA$71+C573*AB$71+D573*AC$71)+F573/100*$B$7*AE$71-$C$71</f>
        <v/>
      </c>
      <c r="L573" s="13">
        <f>$B$7*(A573*AG$71+B573*AH$71+C573*AI$71+D573*AJ$71)+F573/100*$B$7*AL$71-$C$71</f>
        <v/>
      </c>
      <c r="M573" s="13">
        <f>$B$7*(A573*AN$71+B573*AO$71+C573*AP$71+D573*AQ$71)+F573/100*$B$7*AS$71-$C$71</f>
        <v/>
      </c>
      <c r="N573" s="13">
        <f>SUMPRODUCT($H$24:$M$24,H573:M573)</f>
        <v/>
      </c>
      <c r="O573" s="14">
        <f>SQRT(SUMPRODUCT($H$24:$M$24,(H573:M573-N573)^2))</f>
        <v/>
      </c>
      <c r="P573" s="13">
        <f>MIN(H573:M573)</f>
        <v/>
      </c>
      <c r="Q573" s="13">
        <f>MAX(H573:M573)</f>
        <v/>
      </c>
      <c r="R573" s="27">
        <f>IF(G573,SUMPRODUCT(($G$76:$G$1505)*($N$76:$N$1505&gt;=N573)*($O$76:$O$1505&lt;=O573))=1,FALSE)</f>
        <v/>
      </c>
      <c r="S573" s="16">
        <f>IF(R573,ABS((O573-$AC$76)/MAX(0.0001,$AC$77-$AC$76)-(N573-$AC$78)/MAX(0.0001,$AC$79-$AC$78)),-1)</f>
        <v/>
      </c>
      <c r="T573" s="14">
        <f>IF(G573,O573,NA())</f>
        <v/>
      </c>
      <c r="U573" s="13">
        <f>IF(G573,N573,NA())</f>
        <v/>
      </c>
      <c r="V573" s="14">
        <f>IF(R573,O573,NA())</f>
        <v/>
      </c>
      <c r="W573" s="13">
        <f>IF(R573,N573,NA())</f>
        <v/>
      </c>
      <c r="X573" s="27">
        <f>IF(G573,P573,"")</f>
        <v/>
      </c>
      <c r="Y573" s="27">
        <f>IF(G573,N573,"")</f>
        <v/>
      </c>
      <c r="Z573" s="27">
        <f>IF(R573,O573,"")</f>
        <v/>
      </c>
      <c r="AA573" s="27">
        <f>IF(R573,N573,"")</f>
        <v/>
      </c>
    </row>
    <row r="574">
      <c r="A574" s="31" t="n">
        <v>0.1</v>
      </c>
      <c r="B574" s="31" t="n">
        <v>0.3</v>
      </c>
      <c r="C574" s="31" t="n">
        <v>0.6</v>
      </c>
      <c r="D574" s="31" t="n">
        <v>0</v>
      </c>
      <c r="E574" s="27" t="inlineStr">
        <is>
          <t>ON 10%/1M 30%/2M 60%</t>
        </is>
      </c>
      <c r="F574" s="27" t="n">
        <v>75</v>
      </c>
      <c r="G574" s="27">
        <f>A574*$B$7&gt;=$B$9</f>
        <v/>
      </c>
      <c r="H574" s="13">
        <f>$B$7*(A574*E$71+B574*F$71+C574*G$71+D574*H$71)+F574/100*$B$7*J$71-$C$71</f>
        <v/>
      </c>
      <c r="I574" s="13">
        <f>$B$7*(A574*L$71+B574*M$71+C574*N$71+D574*O$71)+F574/100*$B$7*Q$71-$C$71</f>
        <v/>
      </c>
      <c r="J574" s="13">
        <f>$B$7*(A574*S$71+B574*T$71+C574*U$71+D574*V$71)+F574/100*$B$7*X$71-$C$71</f>
        <v/>
      </c>
      <c r="K574" s="13">
        <f>$B$7*(A574*Z$71+B574*AA$71+C574*AB$71+D574*AC$71)+F574/100*$B$7*AE$71-$C$71</f>
        <v/>
      </c>
      <c r="L574" s="13">
        <f>$B$7*(A574*AG$71+B574*AH$71+C574*AI$71+D574*AJ$71)+F574/100*$B$7*AL$71-$C$71</f>
        <v/>
      </c>
      <c r="M574" s="13">
        <f>$B$7*(A574*AN$71+B574*AO$71+C574*AP$71+D574*AQ$71)+F574/100*$B$7*AS$71-$C$71</f>
        <v/>
      </c>
      <c r="N574" s="13">
        <f>SUMPRODUCT($H$24:$M$24,H574:M574)</f>
        <v/>
      </c>
      <c r="O574" s="14">
        <f>SQRT(SUMPRODUCT($H$24:$M$24,(H574:M574-N574)^2))</f>
        <v/>
      </c>
      <c r="P574" s="13">
        <f>MIN(H574:M574)</f>
        <v/>
      </c>
      <c r="Q574" s="13">
        <f>MAX(H574:M574)</f>
        <v/>
      </c>
      <c r="R574" s="27">
        <f>IF(G574,SUMPRODUCT(($G$76:$G$1505)*($N$76:$N$1505&gt;=N574)*($O$76:$O$1505&lt;=O574))=1,FALSE)</f>
        <v/>
      </c>
      <c r="S574" s="16">
        <f>IF(R574,ABS((O574-$AC$76)/MAX(0.0001,$AC$77-$AC$76)-(N574-$AC$78)/MAX(0.0001,$AC$79-$AC$78)),-1)</f>
        <v/>
      </c>
      <c r="T574" s="14">
        <f>IF(G574,O574,NA())</f>
        <v/>
      </c>
      <c r="U574" s="13">
        <f>IF(G574,N574,NA())</f>
        <v/>
      </c>
      <c r="V574" s="14">
        <f>IF(R574,O574,NA())</f>
        <v/>
      </c>
      <c r="W574" s="13">
        <f>IF(R574,N574,NA())</f>
        <v/>
      </c>
      <c r="X574" s="27">
        <f>IF(G574,P574,"")</f>
        <v/>
      </c>
      <c r="Y574" s="27">
        <f>IF(G574,N574,"")</f>
        <v/>
      </c>
      <c r="Z574" s="27">
        <f>IF(R574,O574,"")</f>
        <v/>
      </c>
      <c r="AA574" s="27">
        <f>IF(R574,N574,"")</f>
        <v/>
      </c>
    </row>
    <row r="575">
      <c r="A575" s="31" t="n">
        <v>0.1</v>
      </c>
      <c r="B575" s="31" t="n">
        <v>0.3</v>
      </c>
      <c r="C575" s="31" t="n">
        <v>0.6</v>
      </c>
      <c r="D575" s="31" t="n">
        <v>0</v>
      </c>
      <c r="E575" s="27" t="inlineStr">
        <is>
          <t>ON 10%/1M 30%/2M 60%</t>
        </is>
      </c>
      <c r="F575" s="27" t="n">
        <v>100</v>
      </c>
      <c r="G575" s="27">
        <f>A575*$B$7&gt;=$B$9</f>
        <v/>
      </c>
      <c r="H575" s="13">
        <f>$B$7*(A575*E$71+B575*F$71+C575*G$71+D575*H$71)+F575/100*$B$7*J$71-$C$71</f>
        <v/>
      </c>
      <c r="I575" s="13">
        <f>$B$7*(A575*L$71+B575*M$71+C575*N$71+D575*O$71)+F575/100*$B$7*Q$71-$C$71</f>
        <v/>
      </c>
      <c r="J575" s="13">
        <f>$B$7*(A575*S$71+B575*T$71+C575*U$71+D575*V$71)+F575/100*$B$7*X$71-$C$71</f>
        <v/>
      </c>
      <c r="K575" s="13">
        <f>$B$7*(A575*Z$71+B575*AA$71+C575*AB$71+D575*AC$71)+F575/100*$B$7*AE$71-$C$71</f>
        <v/>
      </c>
      <c r="L575" s="13">
        <f>$B$7*(A575*AG$71+B575*AH$71+C575*AI$71+D575*AJ$71)+F575/100*$B$7*AL$71-$C$71</f>
        <v/>
      </c>
      <c r="M575" s="13">
        <f>$B$7*(A575*AN$71+B575*AO$71+C575*AP$71+D575*AQ$71)+F575/100*$B$7*AS$71-$C$71</f>
        <v/>
      </c>
      <c r="N575" s="13">
        <f>SUMPRODUCT($H$24:$M$24,H575:M575)</f>
        <v/>
      </c>
      <c r="O575" s="14">
        <f>SQRT(SUMPRODUCT($H$24:$M$24,(H575:M575-N575)^2))</f>
        <v/>
      </c>
      <c r="P575" s="13">
        <f>MIN(H575:M575)</f>
        <v/>
      </c>
      <c r="Q575" s="13">
        <f>MAX(H575:M575)</f>
        <v/>
      </c>
      <c r="R575" s="27">
        <f>IF(G575,SUMPRODUCT(($G$76:$G$1505)*($N$76:$N$1505&gt;=N575)*($O$76:$O$1505&lt;=O575))=1,FALSE)</f>
        <v/>
      </c>
      <c r="S575" s="16">
        <f>IF(R575,ABS((O575-$AC$76)/MAX(0.0001,$AC$77-$AC$76)-(N575-$AC$78)/MAX(0.0001,$AC$79-$AC$78)),-1)</f>
        <v/>
      </c>
      <c r="T575" s="14">
        <f>IF(G575,O575,NA())</f>
        <v/>
      </c>
      <c r="U575" s="13">
        <f>IF(G575,N575,NA())</f>
        <v/>
      </c>
      <c r="V575" s="14">
        <f>IF(R575,O575,NA())</f>
        <v/>
      </c>
      <c r="W575" s="13">
        <f>IF(R575,N575,NA())</f>
        <v/>
      </c>
      <c r="X575" s="27">
        <f>IF(G575,P575,"")</f>
        <v/>
      </c>
      <c r="Y575" s="27">
        <f>IF(G575,N575,"")</f>
        <v/>
      </c>
      <c r="Z575" s="27">
        <f>IF(R575,O575,"")</f>
        <v/>
      </c>
      <c r="AA575" s="27">
        <f>IF(R575,N575,"")</f>
        <v/>
      </c>
    </row>
    <row r="576">
      <c r="A576" s="31" t="n">
        <v>0.1</v>
      </c>
      <c r="B576" s="31" t="n">
        <v>0.4</v>
      </c>
      <c r="C576" s="31" t="n">
        <v>0</v>
      </c>
      <c r="D576" s="31" t="n">
        <v>0.5</v>
      </c>
      <c r="E576" s="27" t="inlineStr">
        <is>
          <t>ON 10%/1M 40%/3M 50%</t>
        </is>
      </c>
      <c r="F576" s="27" t="n">
        <v>0</v>
      </c>
      <c r="G576" s="27">
        <f>A576*$B$7&gt;=$B$9</f>
        <v/>
      </c>
      <c r="H576" s="13">
        <f>$B$7*(A576*E$71+B576*F$71+C576*G$71+D576*H$71)+F576/100*$B$7*J$71-$C$71</f>
        <v/>
      </c>
      <c r="I576" s="13">
        <f>$B$7*(A576*L$71+B576*M$71+C576*N$71+D576*O$71)+F576/100*$B$7*Q$71-$C$71</f>
        <v/>
      </c>
      <c r="J576" s="13">
        <f>$B$7*(A576*S$71+B576*T$71+C576*U$71+D576*V$71)+F576/100*$B$7*X$71-$C$71</f>
        <v/>
      </c>
      <c r="K576" s="13">
        <f>$B$7*(A576*Z$71+B576*AA$71+C576*AB$71+D576*AC$71)+F576/100*$B$7*AE$71-$C$71</f>
        <v/>
      </c>
      <c r="L576" s="13">
        <f>$B$7*(A576*AG$71+B576*AH$71+C576*AI$71+D576*AJ$71)+F576/100*$B$7*AL$71-$C$71</f>
        <v/>
      </c>
      <c r="M576" s="13">
        <f>$B$7*(A576*AN$71+B576*AO$71+C576*AP$71+D576*AQ$71)+F576/100*$B$7*AS$71-$C$71</f>
        <v/>
      </c>
      <c r="N576" s="13">
        <f>SUMPRODUCT($H$24:$M$24,H576:M576)</f>
        <v/>
      </c>
      <c r="O576" s="14">
        <f>SQRT(SUMPRODUCT($H$24:$M$24,(H576:M576-N576)^2))</f>
        <v/>
      </c>
      <c r="P576" s="13">
        <f>MIN(H576:M576)</f>
        <v/>
      </c>
      <c r="Q576" s="13">
        <f>MAX(H576:M576)</f>
        <v/>
      </c>
      <c r="R576" s="27">
        <f>IF(G576,SUMPRODUCT(($G$76:$G$1505)*($N$76:$N$1505&gt;=N576)*($O$76:$O$1505&lt;=O576))=1,FALSE)</f>
        <v/>
      </c>
      <c r="S576" s="16">
        <f>IF(R576,ABS((O576-$AC$76)/MAX(0.0001,$AC$77-$AC$76)-(N576-$AC$78)/MAX(0.0001,$AC$79-$AC$78)),-1)</f>
        <v/>
      </c>
      <c r="T576" s="14">
        <f>IF(G576,O576,NA())</f>
        <v/>
      </c>
      <c r="U576" s="13">
        <f>IF(G576,N576,NA())</f>
        <v/>
      </c>
      <c r="V576" s="14">
        <f>IF(R576,O576,NA())</f>
        <v/>
      </c>
      <c r="W576" s="13">
        <f>IF(R576,N576,NA())</f>
        <v/>
      </c>
      <c r="X576" s="27">
        <f>IF(G576,P576,"")</f>
        <v/>
      </c>
      <c r="Y576" s="27">
        <f>IF(G576,N576,"")</f>
        <v/>
      </c>
      <c r="Z576" s="27">
        <f>IF(R576,O576,"")</f>
        <v/>
      </c>
      <c r="AA576" s="27">
        <f>IF(R576,N576,"")</f>
        <v/>
      </c>
    </row>
    <row r="577">
      <c r="A577" s="31" t="n">
        <v>0.1</v>
      </c>
      <c r="B577" s="31" t="n">
        <v>0.4</v>
      </c>
      <c r="C577" s="31" t="n">
        <v>0</v>
      </c>
      <c r="D577" s="31" t="n">
        <v>0.5</v>
      </c>
      <c r="E577" s="27" t="inlineStr">
        <is>
          <t>ON 10%/1M 40%/3M 50%</t>
        </is>
      </c>
      <c r="F577" s="27" t="n">
        <v>25</v>
      </c>
      <c r="G577" s="27">
        <f>A577*$B$7&gt;=$B$9</f>
        <v/>
      </c>
      <c r="H577" s="13">
        <f>$B$7*(A577*E$71+B577*F$71+C577*G$71+D577*H$71)+F577/100*$B$7*J$71-$C$71</f>
        <v/>
      </c>
      <c r="I577" s="13">
        <f>$B$7*(A577*L$71+B577*M$71+C577*N$71+D577*O$71)+F577/100*$B$7*Q$71-$C$71</f>
        <v/>
      </c>
      <c r="J577" s="13">
        <f>$B$7*(A577*S$71+B577*T$71+C577*U$71+D577*V$71)+F577/100*$B$7*X$71-$C$71</f>
        <v/>
      </c>
      <c r="K577" s="13">
        <f>$B$7*(A577*Z$71+B577*AA$71+C577*AB$71+D577*AC$71)+F577/100*$B$7*AE$71-$C$71</f>
        <v/>
      </c>
      <c r="L577" s="13">
        <f>$B$7*(A577*AG$71+B577*AH$71+C577*AI$71+D577*AJ$71)+F577/100*$B$7*AL$71-$C$71</f>
        <v/>
      </c>
      <c r="M577" s="13">
        <f>$B$7*(A577*AN$71+B577*AO$71+C577*AP$71+D577*AQ$71)+F577/100*$B$7*AS$71-$C$71</f>
        <v/>
      </c>
      <c r="N577" s="13">
        <f>SUMPRODUCT($H$24:$M$24,H577:M577)</f>
        <v/>
      </c>
      <c r="O577" s="14">
        <f>SQRT(SUMPRODUCT($H$24:$M$24,(H577:M577-N577)^2))</f>
        <v/>
      </c>
      <c r="P577" s="13">
        <f>MIN(H577:M577)</f>
        <v/>
      </c>
      <c r="Q577" s="13">
        <f>MAX(H577:M577)</f>
        <v/>
      </c>
      <c r="R577" s="27">
        <f>IF(G577,SUMPRODUCT(($G$76:$G$1505)*($N$76:$N$1505&gt;=N577)*($O$76:$O$1505&lt;=O577))=1,FALSE)</f>
        <v/>
      </c>
      <c r="S577" s="16">
        <f>IF(R577,ABS((O577-$AC$76)/MAX(0.0001,$AC$77-$AC$76)-(N577-$AC$78)/MAX(0.0001,$AC$79-$AC$78)),-1)</f>
        <v/>
      </c>
      <c r="T577" s="14">
        <f>IF(G577,O577,NA())</f>
        <v/>
      </c>
      <c r="U577" s="13">
        <f>IF(G577,N577,NA())</f>
        <v/>
      </c>
      <c r="V577" s="14">
        <f>IF(R577,O577,NA())</f>
        <v/>
      </c>
      <c r="W577" s="13">
        <f>IF(R577,N577,NA())</f>
        <v/>
      </c>
      <c r="X577" s="27">
        <f>IF(G577,P577,"")</f>
        <v/>
      </c>
      <c r="Y577" s="27">
        <f>IF(G577,N577,"")</f>
        <v/>
      </c>
      <c r="Z577" s="27">
        <f>IF(R577,O577,"")</f>
        <v/>
      </c>
      <c r="AA577" s="27">
        <f>IF(R577,N577,"")</f>
        <v/>
      </c>
    </row>
    <row r="578">
      <c r="A578" s="31" t="n">
        <v>0.1</v>
      </c>
      <c r="B578" s="31" t="n">
        <v>0.4</v>
      </c>
      <c r="C578" s="31" t="n">
        <v>0</v>
      </c>
      <c r="D578" s="31" t="n">
        <v>0.5</v>
      </c>
      <c r="E578" s="27" t="inlineStr">
        <is>
          <t>ON 10%/1M 40%/3M 50%</t>
        </is>
      </c>
      <c r="F578" s="27" t="n">
        <v>50</v>
      </c>
      <c r="G578" s="27">
        <f>A578*$B$7&gt;=$B$9</f>
        <v/>
      </c>
      <c r="H578" s="13">
        <f>$B$7*(A578*E$71+B578*F$71+C578*G$71+D578*H$71)+F578/100*$B$7*J$71-$C$71</f>
        <v/>
      </c>
      <c r="I578" s="13">
        <f>$B$7*(A578*L$71+B578*M$71+C578*N$71+D578*O$71)+F578/100*$B$7*Q$71-$C$71</f>
        <v/>
      </c>
      <c r="J578" s="13">
        <f>$B$7*(A578*S$71+B578*T$71+C578*U$71+D578*V$71)+F578/100*$B$7*X$71-$C$71</f>
        <v/>
      </c>
      <c r="K578" s="13">
        <f>$B$7*(A578*Z$71+B578*AA$71+C578*AB$71+D578*AC$71)+F578/100*$B$7*AE$71-$C$71</f>
        <v/>
      </c>
      <c r="L578" s="13">
        <f>$B$7*(A578*AG$71+B578*AH$71+C578*AI$71+D578*AJ$71)+F578/100*$B$7*AL$71-$C$71</f>
        <v/>
      </c>
      <c r="M578" s="13">
        <f>$B$7*(A578*AN$71+B578*AO$71+C578*AP$71+D578*AQ$71)+F578/100*$B$7*AS$71-$C$71</f>
        <v/>
      </c>
      <c r="N578" s="13">
        <f>SUMPRODUCT($H$24:$M$24,H578:M578)</f>
        <v/>
      </c>
      <c r="O578" s="14">
        <f>SQRT(SUMPRODUCT($H$24:$M$24,(H578:M578-N578)^2))</f>
        <v/>
      </c>
      <c r="P578" s="13">
        <f>MIN(H578:M578)</f>
        <v/>
      </c>
      <c r="Q578" s="13">
        <f>MAX(H578:M578)</f>
        <v/>
      </c>
      <c r="R578" s="27">
        <f>IF(G578,SUMPRODUCT(($G$76:$G$1505)*($N$76:$N$1505&gt;=N578)*($O$76:$O$1505&lt;=O578))=1,FALSE)</f>
        <v/>
      </c>
      <c r="S578" s="16">
        <f>IF(R578,ABS((O578-$AC$76)/MAX(0.0001,$AC$77-$AC$76)-(N578-$AC$78)/MAX(0.0001,$AC$79-$AC$78)),-1)</f>
        <v/>
      </c>
      <c r="T578" s="14">
        <f>IF(G578,O578,NA())</f>
        <v/>
      </c>
      <c r="U578" s="13">
        <f>IF(G578,N578,NA())</f>
        <v/>
      </c>
      <c r="V578" s="14">
        <f>IF(R578,O578,NA())</f>
        <v/>
      </c>
      <c r="W578" s="13">
        <f>IF(R578,N578,NA())</f>
        <v/>
      </c>
      <c r="X578" s="27">
        <f>IF(G578,P578,"")</f>
        <v/>
      </c>
      <c r="Y578" s="27">
        <f>IF(G578,N578,"")</f>
        <v/>
      </c>
      <c r="Z578" s="27">
        <f>IF(R578,O578,"")</f>
        <v/>
      </c>
      <c r="AA578" s="27">
        <f>IF(R578,N578,"")</f>
        <v/>
      </c>
    </row>
    <row r="579">
      <c r="A579" s="31" t="n">
        <v>0.1</v>
      </c>
      <c r="B579" s="31" t="n">
        <v>0.4</v>
      </c>
      <c r="C579" s="31" t="n">
        <v>0</v>
      </c>
      <c r="D579" s="31" t="n">
        <v>0.5</v>
      </c>
      <c r="E579" s="27" t="inlineStr">
        <is>
          <t>ON 10%/1M 40%/3M 50%</t>
        </is>
      </c>
      <c r="F579" s="27" t="n">
        <v>75</v>
      </c>
      <c r="G579" s="27">
        <f>A579*$B$7&gt;=$B$9</f>
        <v/>
      </c>
      <c r="H579" s="13">
        <f>$B$7*(A579*E$71+B579*F$71+C579*G$71+D579*H$71)+F579/100*$B$7*J$71-$C$71</f>
        <v/>
      </c>
      <c r="I579" s="13">
        <f>$B$7*(A579*L$71+B579*M$71+C579*N$71+D579*O$71)+F579/100*$B$7*Q$71-$C$71</f>
        <v/>
      </c>
      <c r="J579" s="13">
        <f>$B$7*(A579*S$71+B579*T$71+C579*U$71+D579*V$71)+F579/100*$B$7*X$71-$C$71</f>
        <v/>
      </c>
      <c r="K579" s="13">
        <f>$B$7*(A579*Z$71+B579*AA$71+C579*AB$71+D579*AC$71)+F579/100*$B$7*AE$71-$C$71</f>
        <v/>
      </c>
      <c r="L579" s="13">
        <f>$B$7*(A579*AG$71+B579*AH$71+C579*AI$71+D579*AJ$71)+F579/100*$B$7*AL$71-$C$71</f>
        <v/>
      </c>
      <c r="M579" s="13">
        <f>$B$7*(A579*AN$71+B579*AO$71+C579*AP$71+D579*AQ$71)+F579/100*$B$7*AS$71-$C$71</f>
        <v/>
      </c>
      <c r="N579" s="13">
        <f>SUMPRODUCT($H$24:$M$24,H579:M579)</f>
        <v/>
      </c>
      <c r="O579" s="14">
        <f>SQRT(SUMPRODUCT($H$24:$M$24,(H579:M579-N579)^2))</f>
        <v/>
      </c>
      <c r="P579" s="13">
        <f>MIN(H579:M579)</f>
        <v/>
      </c>
      <c r="Q579" s="13">
        <f>MAX(H579:M579)</f>
        <v/>
      </c>
      <c r="R579" s="27">
        <f>IF(G579,SUMPRODUCT(($G$76:$G$1505)*($N$76:$N$1505&gt;=N579)*($O$76:$O$1505&lt;=O579))=1,FALSE)</f>
        <v/>
      </c>
      <c r="S579" s="16">
        <f>IF(R579,ABS((O579-$AC$76)/MAX(0.0001,$AC$77-$AC$76)-(N579-$AC$78)/MAX(0.0001,$AC$79-$AC$78)),-1)</f>
        <v/>
      </c>
      <c r="T579" s="14">
        <f>IF(G579,O579,NA())</f>
        <v/>
      </c>
      <c r="U579" s="13">
        <f>IF(G579,N579,NA())</f>
        <v/>
      </c>
      <c r="V579" s="14">
        <f>IF(R579,O579,NA())</f>
        <v/>
      </c>
      <c r="W579" s="13">
        <f>IF(R579,N579,NA())</f>
        <v/>
      </c>
      <c r="X579" s="27">
        <f>IF(G579,P579,"")</f>
        <v/>
      </c>
      <c r="Y579" s="27">
        <f>IF(G579,N579,"")</f>
        <v/>
      </c>
      <c r="Z579" s="27">
        <f>IF(R579,O579,"")</f>
        <v/>
      </c>
      <c r="AA579" s="27">
        <f>IF(R579,N579,"")</f>
        <v/>
      </c>
    </row>
    <row r="580">
      <c r="A580" s="31" t="n">
        <v>0.1</v>
      </c>
      <c r="B580" s="31" t="n">
        <v>0.4</v>
      </c>
      <c r="C580" s="31" t="n">
        <v>0</v>
      </c>
      <c r="D580" s="31" t="n">
        <v>0.5</v>
      </c>
      <c r="E580" s="27" t="inlineStr">
        <is>
          <t>ON 10%/1M 40%/3M 50%</t>
        </is>
      </c>
      <c r="F580" s="27" t="n">
        <v>100</v>
      </c>
      <c r="G580" s="27">
        <f>A580*$B$7&gt;=$B$9</f>
        <v/>
      </c>
      <c r="H580" s="13">
        <f>$B$7*(A580*E$71+B580*F$71+C580*G$71+D580*H$71)+F580/100*$B$7*J$71-$C$71</f>
        <v/>
      </c>
      <c r="I580" s="13">
        <f>$B$7*(A580*L$71+B580*M$71+C580*N$71+D580*O$71)+F580/100*$B$7*Q$71-$C$71</f>
        <v/>
      </c>
      <c r="J580" s="13">
        <f>$B$7*(A580*S$71+B580*T$71+C580*U$71+D580*V$71)+F580/100*$B$7*X$71-$C$71</f>
        <v/>
      </c>
      <c r="K580" s="13">
        <f>$B$7*(A580*Z$71+B580*AA$71+C580*AB$71+D580*AC$71)+F580/100*$B$7*AE$71-$C$71</f>
        <v/>
      </c>
      <c r="L580" s="13">
        <f>$B$7*(A580*AG$71+B580*AH$71+C580*AI$71+D580*AJ$71)+F580/100*$B$7*AL$71-$C$71</f>
        <v/>
      </c>
      <c r="M580" s="13">
        <f>$B$7*(A580*AN$71+B580*AO$71+C580*AP$71+D580*AQ$71)+F580/100*$B$7*AS$71-$C$71</f>
        <v/>
      </c>
      <c r="N580" s="13">
        <f>SUMPRODUCT($H$24:$M$24,H580:M580)</f>
        <v/>
      </c>
      <c r="O580" s="14">
        <f>SQRT(SUMPRODUCT($H$24:$M$24,(H580:M580-N580)^2))</f>
        <v/>
      </c>
      <c r="P580" s="13">
        <f>MIN(H580:M580)</f>
        <v/>
      </c>
      <c r="Q580" s="13">
        <f>MAX(H580:M580)</f>
        <v/>
      </c>
      <c r="R580" s="27">
        <f>IF(G580,SUMPRODUCT(($G$76:$G$1505)*($N$76:$N$1505&gt;=N580)*($O$76:$O$1505&lt;=O580))=1,FALSE)</f>
        <v/>
      </c>
      <c r="S580" s="16">
        <f>IF(R580,ABS((O580-$AC$76)/MAX(0.0001,$AC$77-$AC$76)-(N580-$AC$78)/MAX(0.0001,$AC$79-$AC$78)),-1)</f>
        <v/>
      </c>
      <c r="T580" s="14">
        <f>IF(G580,O580,NA())</f>
        <v/>
      </c>
      <c r="U580" s="13">
        <f>IF(G580,N580,NA())</f>
        <v/>
      </c>
      <c r="V580" s="14">
        <f>IF(R580,O580,NA())</f>
        <v/>
      </c>
      <c r="W580" s="13">
        <f>IF(R580,N580,NA())</f>
        <v/>
      </c>
      <c r="X580" s="27">
        <f>IF(G580,P580,"")</f>
        <v/>
      </c>
      <c r="Y580" s="27">
        <f>IF(G580,N580,"")</f>
        <v/>
      </c>
      <c r="Z580" s="27">
        <f>IF(R580,O580,"")</f>
        <v/>
      </c>
      <c r="AA580" s="27">
        <f>IF(R580,N580,"")</f>
        <v/>
      </c>
    </row>
    <row r="581">
      <c r="A581" s="31" t="n">
        <v>0.1</v>
      </c>
      <c r="B581" s="31" t="n">
        <v>0.4</v>
      </c>
      <c r="C581" s="31" t="n">
        <v>0.1</v>
      </c>
      <c r="D581" s="31" t="n">
        <v>0.4</v>
      </c>
      <c r="E581" s="27" t="inlineStr">
        <is>
          <t>ON 10%/1M 40%/2M 10%/3M 40%</t>
        </is>
      </c>
      <c r="F581" s="27" t="n">
        <v>0</v>
      </c>
      <c r="G581" s="27">
        <f>A581*$B$7&gt;=$B$9</f>
        <v/>
      </c>
      <c r="H581" s="13">
        <f>$B$7*(A581*E$71+B581*F$71+C581*G$71+D581*H$71)+F581/100*$B$7*J$71-$C$71</f>
        <v/>
      </c>
      <c r="I581" s="13">
        <f>$B$7*(A581*L$71+B581*M$71+C581*N$71+D581*O$71)+F581/100*$B$7*Q$71-$C$71</f>
        <v/>
      </c>
      <c r="J581" s="13">
        <f>$B$7*(A581*S$71+B581*T$71+C581*U$71+D581*V$71)+F581/100*$B$7*X$71-$C$71</f>
        <v/>
      </c>
      <c r="K581" s="13">
        <f>$B$7*(A581*Z$71+B581*AA$71+C581*AB$71+D581*AC$71)+F581/100*$B$7*AE$71-$C$71</f>
        <v/>
      </c>
      <c r="L581" s="13">
        <f>$B$7*(A581*AG$71+B581*AH$71+C581*AI$71+D581*AJ$71)+F581/100*$B$7*AL$71-$C$71</f>
        <v/>
      </c>
      <c r="M581" s="13">
        <f>$B$7*(A581*AN$71+B581*AO$71+C581*AP$71+D581*AQ$71)+F581/100*$B$7*AS$71-$C$71</f>
        <v/>
      </c>
      <c r="N581" s="13">
        <f>SUMPRODUCT($H$24:$M$24,H581:M581)</f>
        <v/>
      </c>
      <c r="O581" s="14">
        <f>SQRT(SUMPRODUCT($H$24:$M$24,(H581:M581-N581)^2))</f>
        <v/>
      </c>
      <c r="P581" s="13">
        <f>MIN(H581:M581)</f>
        <v/>
      </c>
      <c r="Q581" s="13">
        <f>MAX(H581:M581)</f>
        <v/>
      </c>
      <c r="R581" s="27">
        <f>IF(G581,SUMPRODUCT(($G$76:$G$1505)*($N$76:$N$1505&gt;=N581)*($O$76:$O$1505&lt;=O581))=1,FALSE)</f>
        <v/>
      </c>
      <c r="S581" s="16">
        <f>IF(R581,ABS((O581-$AC$76)/MAX(0.0001,$AC$77-$AC$76)-(N581-$AC$78)/MAX(0.0001,$AC$79-$AC$78)),-1)</f>
        <v/>
      </c>
      <c r="T581" s="14">
        <f>IF(G581,O581,NA())</f>
        <v/>
      </c>
      <c r="U581" s="13">
        <f>IF(G581,N581,NA())</f>
        <v/>
      </c>
      <c r="V581" s="14">
        <f>IF(R581,O581,NA())</f>
        <v/>
      </c>
      <c r="W581" s="13">
        <f>IF(R581,N581,NA())</f>
        <v/>
      </c>
      <c r="X581" s="27">
        <f>IF(G581,P581,"")</f>
        <v/>
      </c>
      <c r="Y581" s="27">
        <f>IF(G581,N581,"")</f>
        <v/>
      </c>
      <c r="Z581" s="27">
        <f>IF(R581,O581,"")</f>
        <v/>
      </c>
      <c r="AA581" s="27">
        <f>IF(R581,N581,"")</f>
        <v/>
      </c>
    </row>
    <row r="582">
      <c r="A582" s="31" t="n">
        <v>0.1</v>
      </c>
      <c r="B582" s="31" t="n">
        <v>0.4</v>
      </c>
      <c r="C582" s="31" t="n">
        <v>0.1</v>
      </c>
      <c r="D582" s="31" t="n">
        <v>0.4</v>
      </c>
      <c r="E582" s="27" t="inlineStr">
        <is>
          <t>ON 10%/1M 40%/2M 10%/3M 40%</t>
        </is>
      </c>
      <c r="F582" s="27" t="n">
        <v>25</v>
      </c>
      <c r="G582" s="27">
        <f>A582*$B$7&gt;=$B$9</f>
        <v/>
      </c>
      <c r="H582" s="13">
        <f>$B$7*(A582*E$71+B582*F$71+C582*G$71+D582*H$71)+F582/100*$B$7*J$71-$C$71</f>
        <v/>
      </c>
      <c r="I582" s="13">
        <f>$B$7*(A582*L$71+B582*M$71+C582*N$71+D582*O$71)+F582/100*$B$7*Q$71-$C$71</f>
        <v/>
      </c>
      <c r="J582" s="13">
        <f>$B$7*(A582*S$71+B582*T$71+C582*U$71+D582*V$71)+F582/100*$B$7*X$71-$C$71</f>
        <v/>
      </c>
      <c r="K582" s="13">
        <f>$B$7*(A582*Z$71+B582*AA$71+C582*AB$71+D582*AC$71)+F582/100*$B$7*AE$71-$C$71</f>
        <v/>
      </c>
      <c r="L582" s="13">
        <f>$B$7*(A582*AG$71+B582*AH$71+C582*AI$71+D582*AJ$71)+F582/100*$B$7*AL$71-$C$71</f>
        <v/>
      </c>
      <c r="M582" s="13">
        <f>$B$7*(A582*AN$71+B582*AO$71+C582*AP$71+D582*AQ$71)+F582/100*$B$7*AS$71-$C$71</f>
        <v/>
      </c>
      <c r="N582" s="13">
        <f>SUMPRODUCT($H$24:$M$24,H582:M582)</f>
        <v/>
      </c>
      <c r="O582" s="14">
        <f>SQRT(SUMPRODUCT($H$24:$M$24,(H582:M582-N582)^2))</f>
        <v/>
      </c>
      <c r="P582" s="13">
        <f>MIN(H582:M582)</f>
        <v/>
      </c>
      <c r="Q582" s="13">
        <f>MAX(H582:M582)</f>
        <v/>
      </c>
      <c r="R582" s="27">
        <f>IF(G582,SUMPRODUCT(($G$76:$G$1505)*($N$76:$N$1505&gt;=N582)*($O$76:$O$1505&lt;=O582))=1,FALSE)</f>
        <v/>
      </c>
      <c r="S582" s="16">
        <f>IF(R582,ABS((O582-$AC$76)/MAX(0.0001,$AC$77-$AC$76)-(N582-$AC$78)/MAX(0.0001,$AC$79-$AC$78)),-1)</f>
        <v/>
      </c>
      <c r="T582" s="14">
        <f>IF(G582,O582,NA())</f>
        <v/>
      </c>
      <c r="U582" s="13">
        <f>IF(G582,N582,NA())</f>
        <v/>
      </c>
      <c r="V582" s="14">
        <f>IF(R582,O582,NA())</f>
        <v/>
      </c>
      <c r="W582" s="13">
        <f>IF(R582,N582,NA())</f>
        <v/>
      </c>
      <c r="X582" s="27">
        <f>IF(G582,P582,"")</f>
        <v/>
      </c>
      <c r="Y582" s="27">
        <f>IF(G582,N582,"")</f>
        <v/>
      </c>
      <c r="Z582" s="27">
        <f>IF(R582,O582,"")</f>
        <v/>
      </c>
      <c r="AA582" s="27">
        <f>IF(R582,N582,"")</f>
        <v/>
      </c>
    </row>
    <row r="583">
      <c r="A583" s="31" t="n">
        <v>0.1</v>
      </c>
      <c r="B583" s="31" t="n">
        <v>0.4</v>
      </c>
      <c r="C583" s="31" t="n">
        <v>0.1</v>
      </c>
      <c r="D583" s="31" t="n">
        <v>0.4</v>
      </c>
      <c r="E583" s="27" t="inlineStr">
        <is>
          <t>ON 10%/1M 40%/2M 10%/3M 40%</t>
        </is>
      </c>
      <c r="F583" s="27" t="n">
        <v>50</v>
      </c>
      <c r="G583" s="27">
        <f>A583*$B$7&gt;=$B$9</f>
        <v/>
      </c>
      <c r="H583" s="13">
        <f>$B$7*(A583*E$71+B583*F$71+C583*G$71+D583*H$71)+F583/100*$B$7*J$71-$C$71</f>
        <v/>
      </c>
      <c r="I583" s="13">
        <f>$B$7*(A583*L$71+B583*M$71+C583*N$71+D583*O$71)+F583/100*$B$7*Q$71-$C$71</f>
        <v/>
      </c>
      <c r="J583" s="13">
        <f>$B$7*(A583*S$71+B583*T$71+C583*U$71+D583*V$71)+F583/100*$B$7*X$71-$C$71</f>
        <v/>
      </c>
      <c r="K583" s="13">
        <f>$B$7*(A583*Z$71+B583*AA$71+C583*AB$71+D583*AC$71)+F583/100*$B$7*AE$71-$C$71</f>
        <v/>
      </c>
      <c r="L583" s="13">
        <f>$B$7*(A583*AG$71+B583*AH$71+C583*AI$71+D583*AJ$71)+F583/100*$B$7*AL$71-$C$71</f>
        <v/>
      </c>
      <c r="M583" s="13">
        <f>$B$7*(A583*AN$71+B583*AO$71+C583*AP$71+D583*AQ$71)+F583/100*$B$7*AS$71-$C$71</f>
        <v/>
      </c>
      <c r="N583" s="13">
        <f>SUMPRODUCT($H$24:$M$24,H583:M583)</f>
        <v/>
      </c>
      <c r="O583" s="14">
        <f>SQRT(SUMPRODUCT($H$24:$M$24,(H583:M583-N583)^2))</f>
        <v/>
      </c>
      <c r="P583" s="13">
        <f>MIN(H583:M583)</f>
        <v/>
      </c>
      <c r="Q583" s="13">
        <f>MAX(H583:M583)</f>
        <v/>
      </c>
      <c r="R583" s="27">
        <f>IF(G583,SUMPRODUCT(($G$76:$G$1505)*($N$76:$N$1505&gt;=N583)*($O$76:$O$1505&lt;=O583))=1,FALSE)</f>
        <v/>
      </c>
      <c r="S583" s="16">
        <f>IF(R583,ABS((O583-$AC$76)/MAX(0.0001,$AC$77-$AC$76)-(N583-$AC$78)/MAX(0.0001,$AC$79-$AC$78)),-1)</f>
        <v/>
      </c>
      <c r="T583" s="14">
        <f>IF(G583,O583,NA())</f>
        <v/>
      </c>
      <c r="U583" s="13">
        <f>IF(G583,N583,NA())</f>
        <v/>
      </c>
      <c r="V583" s="14">
        <f>IF(R583,O583,NA())</f>
        <v/>
      </c>
      <c r="W583" s="13">
        <f>IF(R583,N583,NA())</f>
        <v/>
      </c>
      <c r="X583" s="27">
        <f>IF(G583,P583,"")</f>
        <v/>
      </c>
      <c r="Y583" s="27">
        <f>IF(G583,N583,"")</f>
        <v/>
      </c>
      <c r="Z583" s="27">
        <f>IF(R583,O583,"")</f>
        <v/>
      </c>
      <c r="AA583" s="27">
        <f>IF(R583,N583,"")</f>
        <v/>
      </c>
    </row>
    <row r="584">
      <c r="A584" s="31" t="n">
        <v>0.1</v>
      </c>
      <c r="B584" s="31" t="n">
        <v>0.4</v>
      </c>
      <c r="C584" s="31" t="n">
        <v>0.1</v>
      </c>
      <c r="D584" s="31" t="n">
        <v>0.4</v>
      </c>
      <c r="E584" s="27" t="inlineStr">
        <is>
          <t>ON 10%/1M 40%/2M 10%/3M 40%</t>
        </is>
      </c>
      <c r="F584" s="27" t="n">
        <v>75</v>
      </c>
      <c r="G584" s="27">
        <f>A584*$B$7&gt;=$B$9</f>
        <v/>
      </c>
      <c r="H584" s="13">
        <f>$B$7*(A584*E$71+B584*F$71+C584*G$71+D584*H$71)+F584/100*$B$7*J$71-$C$71</f>
        <v/>
      </c>
      <c r="I584" s="13">
        <f>$B$7*(A584*L$71+B584*M$71+C584*N$71+D584*O$71)+F584/100*$B$7*Q$71-$C$71</f>
        <v/>
      </c>
      <c r="J584" s="13">
        <f>$B$7*(A584*S$71+B584*T$71+C584*U$71+D584*V$71)+F584/100*$B$7*X$71-$C$71</f>
        <v/>
      </c>
      <c r="K584" s="13">
        <f>$B$7*(A584*Z$71+B584*AA$71+C584*AB$71+D584*AC$71)+F584/100*$B$7*AE$71-$C$71</f>
        <v/>
      </c>
      <c r="L584" s="13">
        <f>$B$7*(A584*AG$71+B584*AH$71+C584*AI$71+D584*AJ$71)+F584/100*$B$7*AL$71-$C$71</f>
        <v/>
      </c>
      <c r="M584" s="13">
        <f>$B$7*(A584*AN$71+B584*AO$71+C584*AP$71+D584*AQ$71)+F584/100*$B$7*AS$71-$C$71</f>
        <v/>
      </c>
      <c r="N584" s="13">
        <f>SUMPRODUCT($H$24:$M$24,H584:M584)</f>
        <v/>
      </c>
      <c r="O584" s="14">
        <f>SQRT(SUMPRODUCT($H$24:$M$24,(H584:M584-N584)^2))</f>
        <v/>
      </c>
      <c r="P584" s="13">
        <f>MIN(H584:M584)</f>
        <v/>
      </c>
      <c r="Q584" s="13">
        <f>MAX(H584:M584)</f>
        <v/>
      </c>
      <c r="R584" s="27">
        <f>IF(G584,SUMPRODUCT(($G$76:$G$1505)*($N$76:$N$1505&gt;=N584)*($O$76:$O$1505&lt;=O584))=1,FALSE)</f>
        <v/>
      </c>
      <c r="S584" s="16">
        <f>IF(R584,ABS((O584-$AC$76)/MAX(0.0001,$AC$77-$AC$76)-(N584-$AC$78)/MAX(0.0001,$AC$79-$AC$78)),-1)</f>
        <v/>
      </c>
      <c r="T584" s="14">
        <f>IF(G584,O584,NA())</f>
        <v/>
      </c>
      <c r="U584" s="13">
        <f>IF(G584,N584,NA())</f>
        <v/>
      </c>
      <c r="V584" s="14">
        <f>IF(R584,O584,NA())</f>
        <v/>
      </c>
      <c r="W584" s="13">
        <f>IF(R584,N584,NA())</f>
        <v/>
      </c>
      <c r="X584" s="27">
        <f>IF(G584,P584,"")</f>
        <v/>
      </c>
      <c r="Y584" s="27">
        <f>IF(G584,N584,"")</f>
        <v/>
      </c>
      <c r="Z584" s="27">
        <f>IF(R584,O584,"")</f>
        <v/>
      </c>
      <c r="AA584" s="27">
        <f>IF(R584,N584,"")</f>
        <v/>
      </c>
    </row>
    <row r="585">
      <c r="A585" s="31" t="n">
        <v>0.1</v>
      </c>
      <c r="B585" s="31" t="n">
        <v>0.4</v>
      </c>
      <c r="C585" s="31" t="n">
        <v>0.1</v>
      </c>
      <c r="D585" s="31" t="n">
        <v>0.4</v>
      </c>
      <c r="E585" s="27" t="inlineStr">
        <is>
          <t>ON 10%/1M 40%/2M 10%/3M 40%</t>
        </is>
      </c>
      <c r="F585" s="27" t="n">
        <v>100</v>
      </c>
      <c r="G585" s="27">
        <f>A585*$B$7&gt;=$B$9</f>
        <v/>
      </c>
      <c r="H585" s="13">
        <f>$B$7*(A585*E$71+B585*F$71+C585*G$71+D585*H$71)+F585/100*$B$7*J$71-$C$71</f>
        <v/>
      </c>
      <c r="I585" s="13">
        <f>$B$7*(A585*L$71+B585*M$71+C585*N$71+D585*O$71)+F585/100*$B$7*Q$71-$C$71</f>
        <v/>
      </c>
      <c r="J585" s="13">
        <f>$B$7*(A585*S$71+B585*T$71+C585*U$71+D585*V$71)+F585/100*$B$7*X$71-$C$71</f>
        <v/>
      </c>
      <c r="K585" s="13">
        <f>$B$7*(A585*Z$71+B585*AA$71+C585*AB$71+D585*AC$71)+F585/100*$B$7*AE$71-$C$71</f>
        <v/>
      </c>
      <c r="L585" s="13">
        <f>$B$7*(A585*AG$71+B585*AH$71+C585*AI$71+D585*AJ$71)+F585/100*$B$7*AL$71-$C$71</f>
        <v/>
      </c>
      <c r="M585" s="13">
        <f>$B$7*(A585*AN$71+B585*AO$71+C585*AP$71+D585*AQ$71)+F585/100*$B$7*AS$71-$C$71</f>
        <v/>
      </c>
      <c r="N585" s="13">
        <f>SUMPRODUCT($H$24:$M$24,H585:M585)</f>
        <v/>
      </c>
      <c r="O585" s="14">
        <f>SQRT(SUMPRODUCT($H$24:$M$24,(H585:M585-N585)^2))</f>
        <v/>
      </c>
      <c r="P585" s="13">
        <f>MIN(H585:M585)</f>
        <v/>
      </c>
      <c r="Q585" s="13">
        <f>MAX(H585:M585)</f>
        <v/>
      </c>
      <c r="R585" s="27">
        <f>IF(G585,SUMPRODUCT(($G$76:$G$1505)*($N$76:$N$1505&gt;=N585)*($O$76:$O$1505&lt;=O585))=1,FALSE)</f>
        <v/>
      </c>
      <c r="S585" s="16">
        <f>IF(R585,ABS((O585-$AC$76)/MAX(0.0001,$AC$77-$AC$76)-(N585-$AC$78)/MAX(0.0001,$AC$79-$AC$78)),-1)</f>
        <v/>
      </c>
      <c r="T585" s="14">
        <f>IF(G585,O585,NA())</f>
        <v/>
      </c>
      <c r="U585" s="13">
        <f>IF(G585,N585,NA())</f>
        <v/>
      </c>
      <c r="V585" s="14">
        <f>IF(R585,O585,NA())</f>
        <v/>
      </c>
      <c r="W585" s="13">
        <f>IF(R585,N585,NA())</f>
        <v/>
      </c>
      <c r="X585" s="27">
        <f>IF(G585,P585,"")</f>
        <v/>
      </c>
      <c r="Y585" s="27">
        <f>IF(G585,N585,"")</f>
        <v/>
      </c>
      <c r="Z585" s="27">
        <f>IF(R585,O585,"")</f>
        <v/>
      </c>
      <c r="AA585" s="27">
        <f>IF(R585,N585,"")</f>
        <v/>
      </c>
    </row>
    <row r="586">
      <c r="A586" s="31" t="n">
        <v>0.1</v>
      </c>
      <c r="B586" s="31" t="n">
        <v>0.4</v>
      </c>
      <c r="C586" s="31" t="n">
        <v>0.2</v>
      </c>
      <c r="D586" s="31" t="n">
        <v>0.3</v>
      </c>
      <c r="E586" s="27" t="inlineStr">
        <is>
          <t>ON 10%/1M 40%/2M 20%/3M 30%</t>
        </is>
      </c>
      <c r="F586" s="27" t="n">
        <v>0</v>
      </c>
      <c r="G586" s="27">
        <f>A586*$B$7&gt;=$B$9</f>
        <v/>
      </c>
      <c r="H586" s="13">
        <f>$B$7*(A586*E$71+B586*F$71+C586*G$71+D586*H$71)+F586/100*$B$7*J$71-$C$71</f>
        <v/>
      </c>
      <c r="I586" s="13">
        <f>$B$7*(A586*L$71+B586*M$71+C586*N$71+D586*O$71)+F586/100*$B$7*Q$71-$C$71</f>
        <v/>
      </c>
      <c r="J586" s="13">
        <f>$B$7*(A586*S$71+B586*T$71+C586*U$71+D586*V$71)+F586/100*$B$7*X$71-$C$71</f>
        <v/>
      </c>
      <c r="K586" s="13">
        <f>$B$7*(A586*Z$71+B586*AA$71+C586*AB$71+D586*AC$71)+F586/100*$B$7*AE$71-$C$71</f>
        <v/>
      </c>
      <c r="L586" s="13">
        <f>$B$7*(A586*AG$71+B586*AH$71+C586*AI$71+D586*AJ$71)+F586/100*$B$7*AL$71-$C$71</f>
        <v/>
      </c>
      <c r="M586" s="13">
        <f>$B$7*(A586*AN$71+B586*AO$71+C586*AP$71+D586*AQ$71)+F586/100*$B$7*AS$71-$C$71</f>
        <v/>
      </c>
      <c r="N586" s="13">
        <f>SUMPRODUCT($H$24:$M$24,H586:M586)</f>
        <v/>
      </c>
      <c r="O586" s="14">
        <f>SQRT(SUMPRODUCT($H$24:$M$24,(H586:M586-N586)^2))</f>
        <v/>
      </c>
      <c r="P586" s="13">
        <f>MIN(H586:M586)</f>
        <v/>
      </c>
      <c r="Q586" s="13">
        <f>MAX(H586:M586)</f>
        <v/>
      </c>
      <c r="R586" s="27">
        <f>IF(G586,SUMPRODUCT(($G$76:$G$1505)*($N$76:$N$1505&gt;=N586)*($O$76:$O$1505&lt;=O586))=1,FALSE)</f>
        <v/>
      </c>
      <c r="S586" s="16">
        <f>IF(R586,ABS((O586-$AC$76)/MAX(0.0001,$AC$77-$AC$76)-(N586-$AC$78)/MAX(0.0001,$AC$79-$AC$78)),-1)</f>
        <v/>
      </c>
      <c r="T586" s="14">
        <f>IF(G586,O586,NA())</f>
        <v/>
      </c>
      <c r="U586" s="13">
        <f>IF(G586,N586,NA())</f>
        <v/>
      </c>
      <c r="V586" s="14">
        <f>IF(R586,O586,NA())</f>
        <v/>
      </c>
      <c r="W586" s="13">
        <f>IF(R586,N586,NA())</f>
        <v/>
      </c>
      <c r="X586" s="27">
        <f>IF(G586,P586,"")</f>
        <v/>
      </c>
      <c r="Y586" s="27">
        <f>IF(G586,N586,"")</f>
        <v/>
      </c>
      <c r="Z586" s="27">
        <f>IF(R586,O586,"")</f>
        <v/>
      </c>
      <c r="AA586" s="27">
        <f>IF(R586,N586,"")</f>
        <v/>
      </c>
    </row>
    <row r="587">
      <c r="A587" s="31" t="n">
        <v>0.1</v>
      </c>
      <c r="B587" s="31" t="n">
        <v>0.4</v>
      </c>
      <c r="C587" s="31" t="n">
        <v>0.2</v>
      </c>
      <c r="D587" s="31" t="n">
        <v>0.3</v>
      </c>
      <c r="E587" s="27" t="inlineStr">
        <is>
          <t>ON 10%/1M 40%/2M 20%/3M 30%</t>
        </is>
      </c>
      <c r="F587" s="27" t="n">
        <v>25</v>
      </c>
      <c r="G587" s="27">
        <f>A587*$B$7&gt;=$B$9</f>
        <v/>
      </c>
      <c r="H587" s="13">
        <f>$B$7*(A587*E$71+B587*F$71+C587*G$71+D587*H$71)+F587/100*$B$7*J$71-$C$71</f>
        <v/>
      </c>
      <c r="I587" s="13">
        <f>$B$7*(A587*L$71+B587*M$71+C587*N$71+D587*O$71)+F587/100*$B$7*Q$71-$C$71</f>
        <v/>
      </c>
      <c r="J587" s="13">
        <f>$B$7*(A587*S$71+B587*T$71+C587*U$71+D587*V$71)+F587/100*$B$7*X$71-$C$71</f>
        <v/>
      </c>
      <c r="K587" s="13">
        <f>$B$7*(A587*Z$71+B587*AA$71+C587*AB$71+D587*AC$71)+F587/100*$B$7*AE$71-$C$71</f>
        <v/>
      </c>
      <c r="L587" s="13">
        <f>$B$7*(A587*AG$71+B587*AH$71+C587*AI$71+D587*AJ$71)+F587/100*$B$7*AL$71-$C$71</f>
        <v/>
      </c>
      <c r="M587" s="13">
        <f>$B$7*(A587*AN$71+B587*AO$71+C587*AP$71+D587*AQ$71)+F587/100*$B$7*AS$71-$C$71</f>
        <v/>
      </c>
      <c r="N587" s="13">
        <f>SUMPRODUCT($H$24:$M$24,H587:M587)</f>
        <v/>
      </c>
      <c r="O587" s="14">
        <f>SQRT(SUMPRODUCT($H$24:$M$24,(H587:M587-N587)^2))</f>
        <v/>
      </c>
      <c r="P587" s="13">
        <f>MIN(H587:M587)</f>
        <v/>
      </c>
      <c r="Q587" s="13">
        <f>MAX(H587:M587)</f>
        <v/>
      </c>
      <c r="R587" s="27">
        <f>IF(G587,SUMPRODUCT(($G$76:$G$1505)*($N$76:$N$1505&gt;=N587)*($O$76:$O$1505&lt;=O587))=1,FALSE)</f>
        <v/>
      </c>
      <c r="S587" s="16">
        <f>IF(R587,ABS((O587-$AC$76)/MAX(0.0001,$AC$77-$AC$76)-(N587-$AC$78)/MAX(0.0001,$AC$79-$AC$78)),-1)</f>
        <v/>
      </c>
      <c r="T587" s="14">
        <f>IF(G587,O587,NA())</f>
        <v/>
      </c>
      <c r="U587" s="13">
        <f>IF(G587,N587,NA())</f>
        <v/>
      </c>
      <c r="V587" s="14">
        <f>IF(R587,O587,NA())</f>
        <v/>
      </c>
      <c r="W587" s="13">
        <f>IF(R587,N587,NA())</f>
        <v/>
      </c>
      <c r="X587" s="27">
        <f>IF(G587,P587,"")</f>
        <v/>
      </c>
      <c r="Y587" s="27">
        <f>IF(G587,N587,"")</f>
        <v/>
      </c>
      <c r="Z587" s="27">
        <f>IF(R587,O587,"")</f>
        <v/>
      </c>
      <c r="AA587" s="27">
        <f>IF(R587,N587,"")</f>
        <v/>
      </c>
    </row>
    <row r="588">
      <c r="A588" s="31" t="n">
        <v>0.1</v>
      </c>
      <c r="B588" s="31" t="n">
        <v>0.4</v>
      </c>
      <c r="C588" s="31" t="n">
        <v>0.2</v>
      </c>
      <c r="D588" s="31" t="n">
        <v>0.3</v>
      </c>
      <c r="E588" s="27" t="inlineStr">
        <is>
          <t>ON 10%/1M 40%/2M 20%/3M 30%</t>
        </is>
      </c>
      <c r="F588" s="27" t="n">
        <v>50</v>
      </c>
      <c r="G588" s="27">
        <f>A588*$B$7&gt;=$B$9</f>
        <v/>
      </c>
      <c r="H588" s="13">
        <f>$B$7*(A588*E$71+B588*F$71+C588*G$71+D588*H$71)+F588/100*$B$7*J$71-$C$71</f>
        <v/>
      </c>
      <c r="I588" s="13">
        <f>$B$7*(A588*L$71+B588*M$71+C588*N$71+D588*O$71)+F588/100*$B$7*Q$71-$C$71</f>
        <v/>
      </c>
      <c r="J588" s="13">
        <f>$B$7*(A588*S$71+B588*T$71+C588*U$71+D588*V$71)+F588/100*$B$7*X$71-$C$71</f>
        <v/>
      </c>
      <c r="K588" s="13">
        <f>$B$7*(A588*Z$71+B588*AA$71+C588*AB$71+D588*AC$71)+F588/100*$B$7*AE$71-$C$71</f>
        <v/>
      </c>
      <c r="L588" s="13">
        <f>$B$7*(A588*AG$71+B588*AH$71+C588*AI$71+D588*AJ$71)+F588/100*$B$7*AL$71-$C$71</f>
        <v/>
      </c>
      <c r="M588" s="13">
        <f>$B$7*(A588*AN$71+B588*AO$71+C588*AP$71+D588*AQ$71)+F588/100*$B$7*AS$71-$C$71</f>
        <v/>
      </c>
      <c r="N588" s="13">
        <f>SUMPRODUCT($H$24:$M$24,H588:M588)</f>
        <v/>
      </c>
      <c r="O588" s="14">
        <f>SQRT(SUMPRODUCT($H$24:$M$24,(H588:M588-N588)^2))</f>
        <v/>
      </c>
      <c r="P588" s="13">
        <f>MIN(H588:M588)</f>
        <v/>
      </c>
      <c r="Q588" s="13">
        <f>MAX(H588:M588)</f>
        <v/>
      </c>
      <c r="R588" s="27">
        <f>IF(G588,SUMPRODUCT(($G$76:$G$1505)*($N$76:$N$1505&gt;=N588)*($O$76:$O$1505&lt;=O588))=1,FALSE)</f>
        <v/>
      </c>
      <c r="S588" s="16">
        <f>IF(R588,ABS((O588-$AC$76)/MAX(0.0001,$AC$77-$AC$76)-(N588-$AC$78)/MAX(0.0001,$AC$79-$AC$78)),-1)</f>
        <v/>
      </c>
      <c r="T588" s="14">
        <f>IF(G588,O588,NA())</f>
        <v/>
      </c>
      <c r="U588" s="13">
        <f>IF(G588,N588,NA())</f>
        <v/>
      </c>
      <c r="V588" s="14">
        <f>IF(R588,O588,NA())</f>
        <v/>
      </c>
      <c r="W588" s="13">
        <f>IF(R588,N588,NA())</f>
        <v/>
      </c>
      <c r="X588" s="27">
        <f>IF(G588,P588,"")</f>
        <v/>
      </c>
      <c r="Y588" s="27">
        <f>IF(G588,N588,"")</f>
        <v/>
      </c>
      <c r="Z588" s="27">
        <f>IF(R588,O588,"")</f>
        <v/>
      </c>
      <c r="AA588" s="27">
        <f>IF(R588,N588,"")</f>
        <v/>
      </c>
    </row>
    <row r="589">
      <c r="A589" s="31" t="n">
        <v>0.1</v>
      </c>
      <c r="B589" s="31" t="n">
        <v>0.4</v>
      </c>
      <c r="C589" s="31" t="n">
        <v>0.2</v>
      </c>
      <c r="D589" s="31" t="n">
        <v>0.3</v>
      </c>
      <c r="E589" s="27" t="inlineStr">
        <is>
          <t>ON 10%/1M 40%/2M 20%/3M 30%</t>
        </is>
      </c>
      <c r="F589" s="27" t="n">
        <v>75</v>
      </c>
      <c r="G589" s="27">
        <f>A589*$B$7&gt;=$B$9</f>
        <v/>
      </c>
      <c r="H589" s="13">
        <f>$B$7*(A589*E$71+B589*F$71+C589*G$71+D589*H$71)+F589/100*$B$7*J$71-$C$71</f>
        <v/>
      </c>
      <c r="I589" s="13">
        <f>$B$7*(A589*L$71+B589*M$71+C589*N$71+D589*O$71)+F589/100*$B$7*Q$71-$C$71</f>
        <v/>
      </c>
      <c r="J589" s="13">
        <f>$B$7*(A589*S$71+B589*T$71+C589*U$71+D589*V$71)+F589/100*$B$7*X$71-$C$71</f>
        <v/>
      </c>
      <c r="K589" s="13">
        <f>$B$7*(A589*Z$71+B589*AA$71+C589*AB$71+D589*AC$71)+F589/100*$B$7*AE$71-$C$71</f>
        <v/>
      </c>
      <c r="L589" s="13">
        <f>$B$7*(A589*AG$71+B589*AH$71+C589*AI$71+D589*AJ$71)+F589/100*$B$7*AL$71-$C$71</f>
        <v/>
      </c>
      <c r="M589" s="13">
        <f>$B$7*(A589*AN$71+B589*AO$71+C589*AP$71+D589*AQ$71)+F589/100*$B$7*AS$71-$C$71</f>
        <v/>
      </c>
      <c r="N589" s="13">
        <f>SUMPRODUCT($H$24:$M$24,H589:M589)</f>
        <v/>
      </c>
      <c r="O589" s="14">
        <f>SQRT(SUMPRODUCT($H$24:$M$24,(H589:M589-N589)^2))</f>
        <v/>
      </c>
      <c r="P589" s="13">
        <f>MIN(H589:M589)</f>
        <v/>
      </c>
      <c r="Q589" s="13">
        <f>MAX(H589:M589)</f>
        <v/>
      </c>
      <c r="R589" s="27">
        <f>IF(G589,SUMPRODUCT(($G$76:$G$1505)*($N$76:$N$1505&gt;=N589)*($O$76:$O$1505&lt;=O589))=1,FALSE)</f>
        <v/>
      </c>
      <c r="S589" s="16">
        <f>IF(R589,ABS((O589-$AC$76)/MAX(0.0001,$AC$77-$AC$76)-(N589-$AC$78)/MAX(0.0001,$AC$79-$AC$78)),-1)</f>
        <v/>
      </c>
      <c r="T589" s="14">
        <f>IF(G589,O589,NA())</f>
        <v/>
      </c>
      <c r="U589" s="13">
        <f>IF(G589,N589,NA())</f>
        <v/>
      </c>
      <c r="V589" s="14">
        <f>IF(R589,O589,NA())</f>
        <v/>
      </c>
      <c r="W589" s="13">
        <f>IF(R589,N589,NA())</f>
        <v/>
      </c>
      <c r="X589" s="27">
        <f>IF(G589,P589,"")</f>
        <v/>
      </c>
      <c r="Y589" s="27">
        <f>IF(G589,N589,"")</f>
        <v/>
      </c>
      <c r="Z589" s="27">
        <f>IF(R589,O589,"")</f>
        <v/>
      </c>
      <c r="AA589" s="27">
        <f>IF(R589,N589,"")</f>
        <v/>
      </c>
    </row>
    <row r="590">
      <c r="A590" s="31" t="n">
        <v>0.1</v>
      </c>
      <c r="B590" s="31" t="n">
        <v>0.4</v>
      </c>
      <c r="C590" s="31" t="n">
        <v>0.2</v>
      </c>
      <c r="D590" s="31" t="n">
        <v>0.3</v>
      </c>
      <c r="E590" s="27" t="inlineStr">
        <is>
          <t>ON 10%/1M 40%/2M 20%/3M 30%</t>
        </is>
      </c>
      <c r="F590" s="27" t="n">
        <v>100</v>
      </c>
      <c r="G590" s="27">
        <f>A590*$B$7&gt;=$B$9</f>
        <v/>
      </c>
      <c r="H590" s="13">
        <f>$B$7*(A590*E$71+B590*F$71+C590*G$71+D590*H$71)+F590/100*$B$7*J$71-$C$71</f>
        <v/>
      </c>
      <c r="I590" s="13">
        <f>$B$7*(A590*L$71+B590*M$71+C590*N$71+D590*O$71)+F590/100*$B$7*Q$71-$C$71</f>
        <v/>
      </c>
      <c r="J590" s="13">
        <f>$B$7*(A590*S$71+B590*T$71+C590*U$71+D590*V$71)+F590/100*$B$7*X$71-$C$71</f>
        <v/>
      </c>
      <c r="K590" s="13">
        <f>$B$7*(A590*Z$71+B590*AA$71+C590*AB$71+D590*AC$71)+F590/100*$B$7*AE$71-$C$71</f>
        <v/>
      </c>
      <c r="L590" s="13">
        <f>$B$7*(A590*AG$71+B590*AH$71+C590*AI$71+D590*AJ$71)+F590/100*$B$7*AL$71-$C$71</f>
        <v/>
      </c>
      <c r="M590" s="13">
        <f>$B$7*(A590*AN$71+B590*AO$71+C590*AP$71+D590*AQ$71)+F590/100*$B$7*AS$71-$C$71</f>
        <v/>
      </c>
      <c r="N590" s="13">
        <f>SUMPRODUCT($H$24:$M$24,H590:M590)</f>
        <v/>
      </c>
      <c r="O590" s="14">
        <f>SQRT(SUMPRODUCT($H$24:$M$24,(H590:M590-N590)^2))</f>
        <v/>
      </c>
      <c r="P590" s="13">
        <f>MIN(H590:M590)</f>
        <v/>
      </c>
      <c r="Q590" s="13">
        <f>MAX(H590:M590)</f>
        <v/>
      </c>
      <c r="R590" s="27">
        <f>IF(G590,SUMPRODUCT(($G$76:$G$1505)*($N$76:$N$1505&gt;=N590)*($O$76:$O$1505&lt;=O590))=1,FALSE)</f>
        <v/>
      </c>
      <c r="S590" s="16">
        <f>IF(R590,ABS((O590-$AC$76)/MAX(0.0001,$AC$77-$AC$76)-(N590-$AC$78)/MAX(0.0001,$AC$79-$AC$78)),-1)</f>
        <v/>
      </c>
      <c r="T590" s="14">
        <f>IF(G590,O590,NA())</f>
        <v/>
      </c>
      <c r="U590" s="13">
        <f>IF(G590,N590,NA())</f>
        <v/>
      </c>
      <c r="V590" s="14">
        <f>IF(R590,O590,NA())</f>
        <v/>
      </c>
      <c r="W590" s="13">
        <f>IF(R590,N590,NA())</f>
        <v/>
      </c>
      <c r="X590" s="27">
        <f>IF(G590,P590,"")</f>
        <v/>
      </c>
      <c r="Y590" s="27">
        <f>IF(G590,N590,"")</f>
        <v/>
      </c>
      <c r="Z590" s="27">
        <f>IF(R590,O590,"")</f>
        <v/>
      </c>
      <c r="AA590" s="27">
        <f>IF(R590,N590,"")</f>
        <v/>
      </c>
    </row>
    <row r="591">
      <c r="A591" s="31" t="n">
        <v>0.1</v>
      </c>
      <c r="B591" s="31" t="n">
        <v>0.4</v>
      </c>
      <c r="C591" s="31" t="n">
        <v>0.3</v>
      </c>
      <c r="D591" s="31" t="n">
        <v>0.2</v>
      </c>
      <c r="E591" s="27" t="inlineStr">
        <is>
          <t>ON 10%/1M 40%/2M 30%/3M 20%</t>
        </is>
      </c>
      <c r="F591" s="27" t="n">
        <v>0</v>
      </c>
      <c r="G591" s="27">
        <f>A591*$B$7&gt;=$B$9</f>
        <v/>
      </c>
      <c r="H591" s="13">
        <f>$B$7*(A591*E$71+B591*F$71+C591*G$71+D591*H$71)+F591/100*$B$7*J$71-$C$71</f>
        <v/>
      </c>
      <c r="I591" s="13">
        <f>$B$7*(A591*L$71+B591*M$71+C591*N$71+D591*O$71)+F591/100*$B$7*Q$71-$C$71</f>
        <v/>
      </c>
      <c r="J591" s="13">
        <f>$B$7*(A591*S$71+B591*T$71+C591*U$71+D591*V$71)+F591/100*$B$7*X$71-$C$71</f>
        <v/>
      </c>
      <c r="K591" s="13">
        <f>$B$7*(A591*Z$71+B591*AA$71+C591*AB$71+D591*AC$71)+F591/100*$B$7*AE$71-$C$71</f>
        <v/>
      </c>
      <c r="L591" s="13">
        <f>$B$7*(A591*AG$71+B591*AH$71+C591*AI$71+D591*AJ$71)+F591/100*$B$7*AL$71-$C$71</f>
        <v/>
      </c>
      <c r="M591" s="13">
        <f>$B$7*(A591*AN$71+B591*AO$71+C591*AP$71+D591*AQ$71)+F591/100*$B$7*AS$71-$C$71</f>
        <v/>
      </c>
      <c r="N591" s="13">
        <f>SUMPRODUCT($H$24:$M$24,H591:M591)</f>
        <v/>
      </c>
      <c r="O591" s="14">
        <f>SQRT(SUMPRODUCT($H$24:$M$24,(H591:M591-N591)^2))</f>
        <v/>
      </c>
      <c r="P591" s="13">
        <f>MIN(H591:M591)</f>
        <v/>
      </c>
      <c r="Q591" s="13">
        <f>MAX(H591:M591)</f>
        <v/>
      </c>
      <c r="R591" s="27">
        <f>IF(G591,SUMPRODUCT(($G$76:$G$1505)*($N$76:$N$1505&gt;=N591)*($O$76:$O$1505&lt;=O591))=1,FALSE)</f>
        <v/>
      </c>
      <c r="S591" s="16">
        <f>IF(R591,ABS((O591-$AC$76)/MAX(0.0001,$AC$77-$AC$76)-(N591-$AC$78)/MAX(0.0001,$AC$79-$AC$78)),-1)</f>
        <v/>
      </c>
      <c r="T591" s="14">
        <f>IF(G591,O591,NA())</f>
        <v/>
      </c>
      <c r="U591" s="13">
        <f>IF(G591,N591,NA())</f>
        <v/>
      </c>
      <c r="V591" s="14">
        <f>IF(R591,O591,NA())</f>
        <v/>
      </c>
      <c r="W591" s="13">
        <f>IF(R591,N591,NA())</f>
        <v/>
      </c>
      <c r="X591" s="27">
        <f>IF(G591,P591,"")</f>
        <v/>
      </c>
      <c r="Y591" s="27">
        <f>IF(G591,N591,"")</f>
        <v/>
      </c>
      <c r="Z591" s="27">
        <f>IF(R591,O591,"")</f>
        <v/>
      </c>
      <c r="AA591" s="27">
        <f>IF(R591,N591,"")</f>
        <v/>
      </c>
    </row>
    <row r="592">
      <c r="A592" s="31" t="n">
        <v>0.1</v>
      </c>
      <c r="B592" s="31" t="n">
        <v>0.4</v>
      </c>
      <c r="C592" s="31" t="n">
        <v>0.3</v>
      </c>
      <c r="D592" s="31" t="n">
        <v>0.2</v>
      </c>
      <c r="E592" s="27" t="inlineStr">
        <is>
          <t>ON 10%/1M 40%/2M 30%/3M 20%</t>
        </is>
      </c>
      <c r="F592" s="27" t="n">
        <v>25</v>
      </c>
      <c r="G592" s="27">
        <f>A592*$B$7&gt;=$B$9</f>
        <v/>
      </c>
      <c r="H592" s="13">
        <f>$B$7*(A592*E$71+B592*F$71+C592*G$71+D592*H$71)+F592/100*$B$7*J$71-$C$71</f>
        <v/>
      </c>
      <c r="I592" s="13">
        <f>$B$7*(A592*L$71+B592*M$71+C592*N$71+D592*O$71)+F592/100*$B$7*Q$71-$C$71</f>
        <v/>
      </c>
      <c r="J592" s="13">
        <f>$B$7*(A592*S$71+B592*T$71+C592*U$71+D592*V$71)+F592/100*$B$7*X$71-$C$71</f>
        <v/>
      </c>
      <c r="K592" s="13">
        <f>$B$7*(A592*Z$71+B592*AA$71+C592*AB$71+D592*AC$71)+F592/100*$B$7*AE$71-$C$71</f>
        <v/>
      </c>
      <c r="L592" s="13">
        <f>$B$7*(A592*AG$71+B592*AH$71+C592*AI$71+D592*AJ$71)+F592/100*$B$7*AL$71-$C$71</f>
        <v/>
      </c>
      <c r="M592" s="13">
        <f>$B$7*(A592*AN$71+B592*AO$71+C592*AP$71+D592*AQ$71)+F592/100*$B$7*AS$71-$C$71</f>
        <v/>
      </c>
      <c r="N592" s="13">
        <f>SUMPRODUCT($H$24:$M$24,H592:M592)</f>
        <v/>
      </c>
      <c r="O592" s="14">
        <f>SQRT(SUMPRODUCT($H$24:$M$24,(H592:M592-N592)^2))</f>
        <v/>
      </c>
      <c r="P592" s="13">
        <f>MIN(H592:M592)</f>
        <v/>
      </c>
      <c r="Q592" s="13">
        <f>MAX(H592:M592)</f>
        <v/>
      </c>
      <c r="R592" s="27">
        <f>IF(G592,SUMPRODUCT(($G$76:$G$1505)*($N$76:$N$1505&gt;=N592)*($O$76:$O$1505&lt;=O592))=1,FALSE)</f>
        <v/>
      </c>
      <c r="S592" s="16">
        <f>IF(R592,ABS((O592-$AC$76)/MAX(0.0001,$AC$77-$AC$76)-(N592-$AC$78)/MAX(0.0001,$AC$79-$AC$78)),-1)</f>
        <v/>
      </c>
      <c r="T592" s="14">
        <f>IF(G592,O592,NA())</f>
        <v/>
      </c>
      <c r="U592" s="13">
        <f>IF(G592,N592,NA())</f>
        <v/>
      </c>
      <c r="V592" s="14">
        <f>IF(R592,O592,NA())</f>
        <v/>
      </c>
      <c r="W592" s="13">
        <f>IF(R592,N592,NA())</f>
        <v/>
      </c>
      <c r="X592" s="27">
        <f>IF(G592,P592,"")</f>
        <v/>
      </c>
      <c r="Y592" s="27">
        <f>IF(G592,N592,"")</f>
        <v/>
      </c>
      <c r="Z592" s="27">
        <f>IF(R592,O592,"")</f>
        <v/>
      </c>
      <c r="AA592" s="27">
        <f>IF(R592,N592,"")</f>
        <v/>
      </c>
    </row>
    <row r="593">
      <c r="A593" s="31" t="n">
        <v>0.1</v>
      </c>
      <c r="B593" s="31" t="n">
        <v>0.4</v>
      </c>
      <c r="C593" s="31" t="n">
        <v>0.3</v>
      </c>
      <c r="D593" s="31" t="n">
        <v>0.2</v>
      </c>
      <c r="E593" s="27" t="inlineStr">
        <is>
          <t>ON 10%/1M 40%/2M 30%/3M 20%</t>
        </is>
      </c>
      <c r="F593" s="27" t="n">
        <v>50</v>
      </c>
      <c r="G593" s="27">
        <f>A593*$B$7&gt;=$B$9</f>
        <v/>
      </c>
      <c r="H593" s="13">
        <f>$B$7*(A593*E$71+B593*F$71+C593*G$71+D593*H$71)+F593/100*$B$7*J$71-$C$71</f>
        <v/>
      </c>
      <c r="I593" s="13">
        <f>$B$7*(A593*L$71+B593*M$71+C593*N$71+D593*O$71)+F593/100*$B$7*Q$71-$C$71</f>
        <v/>
      </c>
      <c r="J593" s="13">
        <f>$B$7*(A593*S$71+B593*T$71+C593*U$71+D593*V$71)+F593/100*$B$7*X$71-$C$71</f>
        <v/>
      </c>
      <c r="K593" s="13">
        <f>$B$7*(A593*Z$71+B593*AA$71+C593*AB$71+D593*AC$71)+F593/100*$B$7*AE$71-$C$71</f>
        <v/>
      </c>
      <c r="L593" s="13">
        <f>$B$7*(A593*AG$71+B593*AH$71+C593*AI$71+D593*AJ$71)+F593/100*$B$7*AL$71-$C$71</f>
        <v/>
      </c>
      <c r="M593" s="13">
        <f>$B$7*(A593*AN$71+B593*AO$71+C593*AP$71+D593*AQ$71)+F593/100*$B$7*AS$71-$C$71</f>
        <v/>
      </c>
      <c r="N593" s="13">
        <f>SUMPRODUCT($H$24:$M$24,H593:M593)</f>
        <v/>
      </c>
      <c r="O593" s="14">
        <f>SQRT(SUMPRODUCT($H$24:$M$24,(H593:M593-N593)^2))</f>
        <v/>
      </c>
      <c r="P593" s="13">
        <f>MIN(H593:M593)</f>
        <v/>
      </c>
      <c r="Q593" s="13">
        <f>MAX(H593:M593)</f>
        <v/>
      </c>
      <c r="R593" s="27">
        <f>IF(G593,SUMPRODUCT(($G$76:$G$1505)*($N$76:$N$1505&gt;=N593)*($O$76:$O$1505&lt;=O593))=1,FALSE)</f>
        <v/>
      </c>
      <c r="S593" s="16">
        <f>IF(R593,ABS((O593-$AC$76)/MAX(0.0001,$AC$77-$AC$76)-(N593-$AC$78)/MAX(0.0001,$AC$79-$AC$78)),-1)</f>
        <v/>
      </c>
      <c r="T593" s="14">
        <f>IF(G593,O593,NA())</f>
        <v/>
      </c>
      <c r="U593" s="13">
        <f>IF(G593,N593,NA())</f>
        <v/>
      </c>
      <c r="V593" s="14">
        <f>IF(R593,O593,NA())</f>
        <v/>
      </c>
      <c r="W593" s="13">
        <f>IF(R593,N593,NA())</f>
        <v/>
      </c>
      <c r="X593" s="27">
        <f>IF(G593,P593,"")</f>
        <v/>
      </c>
      <c r="Y593" s="27">
        <f>IF(G593,N593,"")</f>
        <v/>
      </c>
      <c r="Z593" s="27">
        <f>IF(R593,O593,"")</f>
        <v/>
      </c>
      <c r="AA593" s="27">
        <f>IF(R593,N593,"")</f>
        <v/>
      </c>
    </row>
    <row r="594">
      <c r="A594" s="31" t="n">
        <v>0.1</v>
      </c>
      <c r="B594" s="31" t="n">
        <v>0.4</v>
      </c>
      <c r="C594" s="31" t="n">
        <v>0.3</v>
      </c>
      <c r="D594" s="31" t="n">
        <v>0.2</v>
      </c>
      <c r="E594" s="27" t="inlineStr">
        <is>
          <t>ON 10%/1M 40%/2M 30%/3M 20%</t>
        </is>
      </c>
      <c r="F594" s="27" t="n">
        <v>75</v>
      </c>
      <c r="G594" s="27">
        <f>A594*$B$7&gt;=$B$9</f>
        <v/>
      </c>
      <c r="H594" s="13">
        <f>$B$7*(A594*E$71+B594*F$71+C594*G$71+D594*H$71)+F594/100*$B$7*J$71-$C$71</f>
        <v/>
      </c>
      <c r="I594" s="13">
        <f>$B$7*(A594*L$71+B594*M$71+C594*N$71+D594*O$71)+F594/100*$B$7*Q$71-$C$71</f>
        <v/>
      </c>
      <c r="J594" s="13">
        <f>$B$7*(A594*S$71+B594*T$71+C594*U$71+D594*V$71)+F594/100*$B$7*X$71-$C$71</f>
        <v/>
      </c>
      <c r="K594" s="13">
        <f>$B$7*(A594*Z$71+B594*AA$71+C594*AB$71+D594*AC$71)+F594/100*$B$7*AE$71-$C$71</f>
        <v/>
      </c>
      <c r="L594" s="13">
        <f>$B$7*(A594*AG$71+B594*AH$71+C594*AI$71+D594*AJ$71)+F594/100*$B$7*AL$71-$C$71</f>
        <v/>
      </c>
      <c r="M594" s="13">
        <f>$B$7*(A594*AN$71+B594*AO$71+C594*AP$71+D594*AQ$71)+F594/100*$B$7*AS$71-$C$71</f>
        <v/>
      </c>
      <c r="N594" s="13">
        <f>SUMPRODUCT($H$24:$M$24,H594:M594)</f>
        <v/>
      </c>
      <c r="O594" s="14">
        <f>SQRT(SUMPRODUCT($H$24:$M$24,(H594:M594-N594)^2))</f>
        <v/>
      </c>
      <c r="P594" s="13">
        <f>MIN(H594:M594)</f>
        <v/>
      </c>
      <c r="Q594" s="13">
        <f>MAX(H594:M594)</f>
        <v/>
      </c>
      <c r="R594" s="27">
        <f>IF(G594,SUMPRODUCT(($G$76:$G$1505)*($N$76:$N$1505&gt;=N594)*($O$76:$O$1505&lt;=O594))=1,FALSE)</f>
        <v/>
      </c>
      <c r="S594" s="16">
        <f>IF(R594,ABS((O594-$AC$76)/MAX(0.0001,$AC$77-$AC$76)-(N594-$AC$78)/MAX(0.0001,$AC$79-$AC$78)),-1)</f>
        <v/>
      </c>
      <c r="T594" s="14">
        <f>IF(G594,O594,NA())</f>
        <v/>
      </c>
      <c r="U594" s="13">
        <f>IF(G594,N594,NA())</f>
        <v/>
      </c>
      <c r="V594" s="14">
        <f>IF(R594,O594,NA())</f>
        <v/>
      </c>
      <c r="W594" s="13">
        <f>IF(R594,N594,NA())</f>
        <v/>
      </c>
      <c r="X594" s="27">
        <f>IF(G594,P594,"")</f>
        <v/>
      </c>
      <c r="Y594" s="27">
        <f>IF(G594,N594,"")</f>
        <v/>
      </c>
      <c r="Z594" s="27">
        <f>IF(R594,O594,"")</f>
        <v/>
      </c>
      <c r="AA594" s="27">
        <f>IF(R594,N594,"")</f>
        <v/>
      </c>
    </row>
    <row r="595">
      <c r="A595" s="31" t="n">
        <v>0.1</v>
      </c>
      <c r="B595" s="31" t="n">
        <v>0.4</v>
      </c>
      <c r="C595" s="31" t="n">
        <v>0.3</v>
      </c>
      <c r="D595" s="31" t="n">
        <v>0.2</v>
      </c>
      <c r="E595" s="27" t="inlineStr">
        <is>
          <t>ON 10%/1M 40%/2M 30%/3M 20%</t>
        </is>
      </c>
      <c r="F595" s="27" t="n">
        <v>100</v>
      </c>
      <c r="G595" s="27">
        <f>A595*$B$7&gt;=$B$9</f>
        <v/>
      </c>
      <c r="H595" s="13">
        <f>$B$7*(A595*E$71+B595*F$71+C595*G$71+D595*H$71)+F595/100*$B$7*J$71-$C$71</f>
        <v/>
      </c>
      <c r="I595" s="13">
        <f>$B$7*(A595*L$71+B595*M$71+C595*N$71+D595*O$71)+F595/100*$B$7*Q$71-$C$71</f>
        <v/>
      </c>
      <c r="J595" s="13">
        <f>$B$7*(A595*S$71+B595*T$71+C595*U$71+D595*V$71)+F595/100*$B$7*X$71-$C$71</f>
        <v/>
      </c>
      <c r="K595" s="13">
        <f>$B$7*(A595*Z$71+B595*AA$71+C595*AB$71+D595*AC$71)+F595/100*$B$7*AE$71-$C$71</f>
        <v/>
      </c>
      <c r="L595" s="13">
        <f>$B$7*(A595*AG$71+B595*AH$71+C595*AI$71+D595*AJ$71)+F595/100*$B$7*AL$71-$C$71</f>
        <v/>
      </c>
      <c r="M595" s="13">
        <f>$B$7*(A595*AN$71+B595*AO$71+C595*AP$71+D595*AQ$71)+F595/100*$B$7*AS$71-$C$71</f>
        <v/>
      </c>
      <c r="N595" s="13">
        <f>SUMPRODUCT($H$24:$M$24,H595:M595)</f>
        <v/>
      </c>
      <c r="O595" s="14">
        <f>SQRT(SUMPRODUCT($H$24:$M$24,(H595:M595-N595)^2))</f>
        <v/>
      </c>
      <c r="P595" s="13">
        <f>MIN(H595:M595)</f>
        <v/>
      </c>
      <c r="Q595" s="13">
        <f>MAX(H595:M595)</f>
        <v/>
      </c>
      <c r="R595" s="27">
        <f>IF(G595,SUMPRODUCT(($G$76:$G$1505)*($N$76:$N$1505&gt;=N595)*($O$76:$O$1505&lt;=O595))=1,FALSE)</f>
        <v/>
      </c>
      <c r="S595" s="16">
        <f>IF(R595,ABS((O595-$AC$76)/MAX(0.0001,$AC$77-$AC$76)-(N595-$AC$78)/MAX(0.0001,$AC$79-$AC$78)),-1)</f>
        <v/>
      </c>
      <c r="T595" s="14">
        <f>IF(G595,O595,NA())</f>
        <v/>
      </c>
      <c r="U595" s="13">
        <f>IF(G595,N595,NA())</f>
        <v/>
      </c>
      <c r="V595" s="14">
        <f>IF(R595,O595,NA())</f>
        <v/>
      </c>
      <c r="W595" s="13">
        <f>IF(R595,N595,NA())</f>
        <v/>
      </c>
      <c r="X595" s="27">
        <f>IF(G595,P595,"")</f>
        <v/>
      </c>
      <c r="Y595" s="27">
        <f>IF(G595,N595,"")</f>
        <v/>
      </c>
      <c r="Z595" s="27">
        <f>IF(R595,O595,"")</f>
        <v/>
      </c>
      <c r="AA595" s="27">
        <f>IF(R595,N595,"")</f>
        <v/>
      </c>
    </row>
    <row r="596">
      <c r="A596" s="31" t="n">
        <v>0.1</v>
      </c>
      <c r="B596" s="31" t="n">
        <v>0.4</v>
      </c>
      <c r="C596" s="31" t="n">
        <v>0.4</v>
      </c>
      <c r="D596" s="31" t="n">
        <v>0.1</v>
      </c>
      <c r="E596" s="27" t="inlineStr">
        <is>
          <t>ON 10%/1M 40%/2M 40%/3M 10%</t>
        </is>
      </c>
      <c r="F596" s="27" t="n">
        <v>0</v>
      </c>
      <c r="G596" s="27">
        <f>A596*$B$7&gt;=$B$9</f>
        <v/>
      </c>
      <c r="H596" s="13">
        <f>$B$7*(A596*E$71+B596*F$71+C596*G$71+D596*H$71)+F596/100*$B$7*J$71-$C$71</f>
        <v/>
      </c>
      <c r="I596" s="13">
        <f>$B$7*(A596*L$71+B596*M$71+C596*N$71+D596*O$71)+F596/100*$B$7*Q$71-$C$71</f>
        <v/>
      </c>
      <c r="J596" s="13">
        <f>$B$7*(A596*S$71+B596*T$71+C596*U$71+D596*V$71)+F596/100*$B$7*X$71-$C$71</f>
        <v/>
      </c>
      <c r="K596" s="13">
        <f>$B$7*(A596*Z$71+B596*AA$71+C596*AB$71+D596*AC$71)+F596/100*$B$7*AE$71-$C$71</f>
        <v/>
      </c>
      <c r="L596" s="13">
        <f>$B$7*(A596*AG$71+B596*AH$71+C596*AI$71+D596*AJ$71)+F596/100*$B$7*AL$71-$C$71</f>
        <v/>
      </c>
      <c r="M596" s="13">
        <f>$B$7*(A596*AN$71+B596*AO$71+C596*AP$71+D596*AQ$71)+F596/100*$B$7*AS$71-$C$71</f>
        <v/>
      </c>
      <c r="N596" s="13">
        <f>SUMPRODUCT($H$24:$M$24,H596:M596)</f>
        <v/>
      </c>
      <c r="O596" s="14">
        <f>SQRT(SUMPRODUCT($H$24:$M$24,(H596:M596-N596)^2))</f>
        <v/>
      </c>
      <c r="P596" s="13">
        <f>MIN(H596:M596)</f>
        <v/>
      </c>
      <c r="Q596" s="13">
        <f>MAX(H596:M596)</f>
        <v/>
      </c>
      <c r="R596" s="27">
        <f>IF(G596,SUMPRODUCT(($G$76:$G$1505)*($N$76:$N$1505&gt;=N596)*($O$76:$O$1505&lt;=O596))=1,FALSE)</f>
        <v/>
      </c>
      <c r="S596" s="16">
        <f>IF(R596,ABS((O596-$AC$76)/MAX(0.0001,$AC$77-$AC$76)-(N596-$AC$78)/MAX(0.0001,$AC$79-$AC$78)),-1)</f>
        <v/>
      </c>
      <c r="T596" s="14">
        <f>IF(G596,O596,NA())</f>
        <v/>
      </c>
      <c r="U596" s="13">
        <f>IF(G596,N596,NA())</f>
        <v/>
      </c>
      <c r="V596" s="14">
        <f>IF(R596,O596,NA())</f>
        <v/>
      </c>
      <c r="W596" s="13">
        <f>IF(R596,N596,NA())</f>
        <v/>
      </c>
      <c r="X596" s="27">
        <f>IF(G596,P596,"")</f>
        <v/>
      </c>
      <c r="Y596" s="27">
        <f>IF(G596,N596,"")</f>
        <v/>
      </c>
      <c r="Z596" s="27">
        <f>IF(R596,O596,"")</f>
        <v/>
      </c>
      <c r="AA596" s="27">
        <f>IF(R596,N596,"")</f>
        <v/>
      </c>
    </row>
    <row r="597">
      <c r="A597" s="31" t="n">
        <v>0.1</v>
      </c>
      <c r="B597" s="31" t="n">
        <v>0.4</v>
      </c>
      <c r="C597" s="31" t="n">
        <v>0.4</v>
      </c>
      <c r="D597" s="31" t="n">
        <v>0.1</v>
      </c>
      <c r="E597" s="27" t="inlineStr">
        <is>
          <t>ON 10%/1M 40%/2M 40%/3M 10%</t>
        </is>
      </c>
      <c r="F597" s="27" t="n">
        <v>25</v>
      </c>
      <c r="G597" s="27">
        <f>A597*$B$7&gt;=$B$9</f>
        <v/>
      </c>
      <c r="H597" s="13">
        <f>$B$7*(A597*E$71+B597*F$71+C597*G$71+D597*H$71)+F597/100*$B$7*J$71-$C$71</f>
        <v/>
      </c>
      <c r="I597" s="13">
        <f>$B$7*(A597*L$71+B597*M$71+C597*N$71+D597*O$71)+F597/100*$B$7*Q$71-$C$71</f>
        <v/>
      </c>
      <c r="J597" s="13">
        <f>$B$7*(A597*S$71+B597*T$71+C597*U$71+D597*V$71)+F597/100*$B$7*X$71-$C$71</f>
        <v/>
      </c>
      <c r="K597" s="13">
        <f>$B$7*(A597*Z$71+B597*AA$71+C597*AB$71+D597*AC$71)+F597/100*$B$7*AE$71-$C$71</f>
        <v/>
      </c>
      <c r="L597" s="13">
        <f>$B$7*(A597*AG$71+B597*AH$71+C597*AI$71+D597*AJ$71)+F597/100*$B$7*AL$71-$C$71</f>
        <v/>
      </c>
      <c r="M597" s="13">
        <f>$B$7*(A597*AN$71+B597*AO$71+C597*AP$71+D597*AQ$71)+F597/100*$B$7*AS$71-$C$71</f>
        <v/>
      </c>
      <c r="N597" s="13">
        <f>SUMPRODUCT($H$24:$M$24,H597:M597)</f>
        <v/>
      </c>
      <c r="O597" s="14">
        <f>SQRT(SUMPRODUCT($H$24:$M$24,(H597:M597-N597)^2))</f>
        <v/>
      </c>
      <c r="P597" s="13">
        <f>MIN(H597:M597)</f>
        <v/>
      </c>
      <c r="Q597" s="13">
        <f>MAX(H597:M597)</f>
        <v/>
      </c>
      <c r="R597" s="27">
        <f>IF(G597,SUMPRODUCT(($G$76:$G$1505)*($N$76:$N$1505&gt;=N597)*($O$76:$O$1505&lt;=O597))=1,FALSE)</f>
        <v/>
      </c>
      <c r="S597" s="16">
        <f>IF(R597,ABS((O597-$AC$76)/MAX(0.0001,$AC$77-$AC$76)-(N597-$AC$78)/MAX(0.0001,$AC$79-$AC$78)),-1)</f>
        <v/>
      </c>
      <c r="T597" s="14">
        <f>IF(G597,O597,NA())</f>
        <v/>
      </c>
      <c r="U597" s="13">
        <f>IF(G597,N597,NA())</f>
        <v/>
      </c>
      <c r="V597" s="14">
        <f>IF(R597,O597,NA())</f>
        <v/>
      </c>
      <c r="W597" s="13">
        <f>IF(R597,N597,NA())</f>
        <v/>
      </c>
      <c r="X597" s="27">
        <f>IF(G597,P597,"")</f>
        <v/>
      </c>
      <c r="Y597" s="27">
        <f>IF(G597,N597,"")</f>
        <v/>
      </c>
      <c r="Z597" s="27">
        <f>IF(R597,O597,"")</f>
        <v/>
      </c>
      <c r="AA597" s="27">
        <f>IF(R597,N597,"")</f>
        <v/>
      </c>
    </row>
    <row r="598">
      <c r="A598" s="31" t="n">
        <v>0.1</v>
      </c>
      <c r="B598" s="31" t="n">
        <v>0.4</v>
      </c>
      <c r="C598" s="31" t="n">
        <v>0.4</v>
      </c>
      <c r="D598" s="31" t="n">
        <v>0.1</v>
      </c>
      <c r="E598" s="27" t="inlineStr">
        <is>
          <t>ON 10%/1M 40%/2M 40%/3M 10%</t>
        </is>
      </c>
      <c r="F598" s="27" t="n">
        <v>50</v>
      </c>
      <c r="G598" s="27">
        <f>A598*$B$7&gt;=$B$9</f>
        <v/>
      </c>
      <c r="H598" s="13">
        <f>$B$7*(A598*E$71+B598*F$71+C598*G$71+D598*H$71)+F598/100*$B$7*J$71-$C$71</f>
        <v/>
      </c>
      <c r="I598" s="13">
        <f>$B$7*(A598*L$71+B598*M$71+C598*N$71+D598*O$71)+F598/100*$B$7*Q$71-$C$71</f>
        <v/>
      </c>
      <c r="J598" s="13">
        <f>$B$7*(A598*S$71+B598*T$71+C598*U$71+D598*V$71)+F598/100*$B$7*X$71-$C$71</f>
        <v/>
      </c>
      <c r="K598" s="13">
        <f>$B$7*(A598*Z$71+B598*AA$71+C598*AB$71+D598*AC$71)+F598/100*$B$7*AE$71-$C$71</f>
        <v/>
      </c>
      <c r="L598" s="13">
        <f>$B$7*(A598*AG$71+B598*AH$71+C598*AI$71+D598*AJ$71)+F598/100*$B$7*AL$71-$C$71</f>
        <v/>
      </c>
      <c r="M598" s="13">
        <f>$B$7*(A598*AN$71+B598*AO$71+C598*AP$71+D598*AQ$71)+F598/100*$B$7*AS$71-$C$71</f>
        <v/>
      </c>
      <c r="N598" s="13">
        <f>SUMPRODUCT($H$24:$M$24,H598:M598)</f>
        <v/>
      </c>
      <c r="O598" s="14">
        <f>SQRT(SUMPRODUCT($H$24:$M$24,(H598:M598-N598)^2))</f>
        <v/>
      </c>
      <c r="P598" s="13">
        <f>MIN(H598:M598)</f>
        <v/>
      </c>
      <c r="Q598" s="13">
        <f>MAX(H598:M598)</f>
        <v/>
      </c>
      <c r="R598" s="27">
        <f>IF(G598,SUMPRODUCT(($G$76:$G$1505)*($N$76:$N$1505&gt;=N598)*($O$76:$O$1505&lt;=O598))=1,FALSE)</f>
        <v/>
      </c>
      <c r="S598" s="16">
        <f>IF(R598,ABS((O598-$AC$76)/MAX(0.0001,$AC$77-$AC$76)-(N598-$AC$78)/MAX(0.0001,$AC$79-$AC$78)),-1)</f>
        <v/>
      </c>
      <c r="T598" s="14">
        <f>IF(G598,O598,NA())</f>
        <v/>
      </c>
      <c r="U598" s="13">
        <f>IF(G598,N598,NA())</f>
        <v/>
      </c>
      <c r="V598" s="14">
        <f>IF(R598,O598,NA())</f>
        <v/>
      </c>
      <c r="W598" s="13">
        <f>IF(R598,N598,NA())</f>
        <v/>
      </c>
      <c r="X598" s="27">
        <f>IF(G598,P598,"")</f>
        <v/>
      </c>
      <c r="Y598" s="27">
        <f>IF(G598,N598,"")</f>
        <v/>
      </c>
      <c r="Z598" s="27">
        <f>IF(R598,O598,"")</f>
        <v/>
      </c>
      <c r="AA598" s="27">
        <f>IF(R598,N598,"")</f>
        <v/>
      </c>
    </row>
    <row r="599">
      <c r="A599" s="31" t="n">
        <v>0.1</v>
      </c>
      <c r="B599" s="31" t="n">
        <v>0.4</v>
      </c>
      <c r="C599" s="31" t="n">
        <v>0.4</v>
      </c>
      <c r="D599" s="31" t="n">
        <v>0.1</v>
      </c>
      <c r="E599" s="27" t="inlineStr">
        <is>
          <t>ON 10%/1M 40%/2M 40%/3M 10%</t>
        </is>
      </c>
      <c r="F599" s="27" t="n">
        <v>75</v>
      </c>
      <c r="G599" s="27">
        <f>A599*$B$7&gt;=$B$9</f>
        <v/>
      </c>
      <c r="H599" s="13">
        <f>$B$7*(A599*E$71+B599*F$71+C599*G$71+D599*H$71)+F599/100*$B$7*J$71-$C$71</f>
        <v/>
      </c>
      <c r="I599" s="13">
        <f>$B$7*(A599*L$71+B599*M$71+C599*N$71+D599*O$71)+F599/100*$B$7*Q$71-$C$71</f>
        <v/>
      </c>
      <c r="J599" s="13">
        <f>$B$7*(A599*S$71+B599*T$71+C599*U$71+D599*V$71)+F599/100*$B$7*X$71-$C$71</f>
        <v/>
      </c>
      <c r="K599" s="13">
        <f>$B$7*(A599*Z$71+B599*AA$71+C599*AB$71+D599*AC$71)+F599/100*$B$7*AE$71-$C$71</f>
        <v/>
      </c>
      <c r="L599" s="13">
        <f>$B$7*(A599*AG$71+B599*AH$71+C599*AI$71+D599*AJ$71)+F599/100*$B$7*AL$71-$C$71</f>
        <v/>
      </c>
      <c r="M599" s="13">
        <f>$B$7*(A599*AN$71+B599*AO$71+C599*AP$71+D599*AQ$71)+F599/100*$B$7*AS$71-$C$71</f>
        <v/>
      </c>
      <c r="N599" s="13">
        <f>SUMPRODUCT($H$24:$M$24,H599:M599)</f>
        <v/>
      </c>
      <c r="O599" s="14">
        <f>SQRT(SUMPRODUCT($H$24:$M$24,(H599:M599-N599)^2))</f>
        <v/>
      </c>
      <c r="P599" s="13">
        <f>MIN(H599:M599)</f>
        <v/>
      </c>
      <c r="Q599" s="13">
        <f>MAX(H599:M599)</f>
        <v/>
      </c>
      <c r="R599" s="27">
        <f>IF(G599,SUMPRODUCT(($G$76:$G$1505)*($N$76:$N$1505&gt;=N599)*($O$76:$O$1505&lt;=O599))=1,FALSE)</f>
        <v/>
      </c>
      <c r="S599" s="16">
        <f>IF(R599,ABS((O599-$AC$76)/MAX(0.0001,$AC$77-$AC$76)-(N599-$AC$78)/MAX(0.0001,$AC$79-$AC$78)),-1)</f>
        <v/>
      </c>
      <c r="T599" s="14">
        <f>IF(G599,O599,NA())</f>
        <v/>
      </c>
      <c r="U599" s="13">
        <f>IF(G599,N599,NA())</f>
        <v/>
      </c>
      <c r="V599" s="14">
        <f>IF(R599,O599,NA())</f>
        <v/>
      </c>
      <c r="W599" s="13">
        <f>IF(R599,N599,NA())</f>
        <v/>
      </c>
      <c r="X599" s="27">
        <f>IF(G599,P599,"")</f>
        <v/>
      </c>
      <c r="Y599" s="27">
        <f>IF(G599,N599,"")</f>
        <v/>
      </c>
      <c r="Z599" s="27">
        <f>IF(R599,O599,"")</f>
        <v/>
      </c>
      <c r="AA599" s="27">
        <f>IF(R599,N599,"")</f>
        <v/>
      </c>
    </row>
    <row r="600">
      <c r="A600" s="31" t="n">
        <v>0.1</v>
      </c>
      <c r="B600" s="31" t="n">
        <v>0.4</v>
      </c>
      <c r="C600" s="31" t="n">
        <v>0.4</v>
      </c>
      <c r="D600" s="31" t="n">
        <v>0.1</v>
      </c>
      <c r="E600" s="27" t="inlineStr">
        <is>
          <t>ON 10%/1M 40%/2M 40%/3M 10%</t>
        </is>
      </c>
      <c r="F600" s="27" t="n">
        <v>100</v>
      </c>
      <c r="G600" s="27">
        <f>A600*$B$7&gt;=$B$9</f>
        <v/>
      </c>
      <c r="H600" s="13">
        <f>$B$7*(A600*E$71+B600*F$71+C600*G$71+D600*H$71)+F600/100*$B$7*J$71-$C$71</f>
        <v/>
      </c>
      <c r="I600" s="13">
        <f>$B$7*(A600*L$71+B600*M$71+C600*N$71+D600*O$71)+F600/100*$B$7*Q$71-$C$71</f>
        <v/>
      </c>
      <c r="J600" s="13">
        <f>$B$7*(A600*S$71+B600*T$71+C600*U$71+D600*V$71)+F600/100*$B$7*X$71-$C$71</f>
        <v/>
      </c>
      <c r="K600" s="13">
        <f>$B$7*(A600*Z$71+B600*AA$71+C600*AB$71+D600*AC$71)+F600/100*$B$7*AE$71-$C$71</f>
        <v/>
      </c>
      <c r="L600" s="13">
        <f>$B$7*(A600*AG$71+B600*AH$71+C600*AI$71+D600*AJ$71)+F600/100*$B$7*AL$71-$C$71</f>
        <v/>
      </c>
      <c r="M600" s="13">
        <f>$B$7*(A600*AN$71+B600*AO$71+C600*AP$71+D600*AQ$71)+F600/100*$B$7*AS$71-$C$71</f>
        <v/>
      </c>
      <c r="N600" s="13">
        <f>SUMPRODUCT($H$24:$M$24,H600:M600)</f>
        <v/>
      </c>
      <c r="O600" s="14">
        <f>SQRT(SUMPRODUCT($H$24:$M$24,(H600:M600-N600)^2))</f>
        <v/>
      </c>
      <c r="P600" s="13">
        <f>MIN(H600:M600)</f>
        <v/>
      </c>
      <c r="Q600" s="13">
        <f>MAX(H600:M600)</f>
        <v/>
      </c>
      <c r="R600" s="27">
        <f>IF(G600,SUMPRODUCT(($G$76:$G$1505)*($N$76:$N$1505&gt;=N600)*($O$76:$O$1505&lt;=O600))=1,FALSE)</f>
        <v/>
      </c>
      <c r="S600" s="16">
        <f>IF(R600,ABS((O600-$AC$76)/MAX(0.0001,$AC$77-$AC$76)-(N600-$AC$78)/MAX(0.0001,$AC$79-$AC$78)),-1)</f>
        <v/>
      </c>
      <c r="T600" s="14">
        <f>IF(G600,O600,NA())</f>
        <v/>
      </c>
      <c r="U600" s="13">
        <f>IF(G600,N600,NA())</f>
        <v/>
      </c>
      <c r="V600" s="14">
        <f>IF(R600,O600,NA())</f>
        <v/>
      </c>
      <c r="W600" s="13">
        <f>IF(R600,N600,NA())</f>
        <v/>
      </c>
      <c r="X600" s="27">
        <f>IF(G600,P600,"")</f>
        <v/>
      </c>
      <c r="Y600" s="27">
        <f>IF(G600,N600,"")</f>
        <v/>
      </c>
      <c r="Z600" s="27">
        <f>IF(R600,O600,"")</f>
        <v/>
      </c>
      <c r="AA600" s="27">
        <f>IF(R600,N600,"")</f>
        <v/>
      </c>
    </row>
    <row r="601">
      <c r="A601" s="31" t="n">
        <v>0.1</v>
      </c>
      <c r="B601" s="31" t="n">
        <v>0.4</v>
      </c>
      <c r="C601" s="31" t="n">
        <v>0.5</v>
      </c>
      <c r="D601" s="31" t="n">
        <v>0</v>
      </c>
      <c r="E601" s="27" t="inlineStr">
        <is>
          <t>ON 10%/1M 40%/2M 50%</t>
        </is>
      </c>
      <c r="F601" s="27" t="n">
        <v>0</v>
      </c>
      <c r="G601" s="27">
        <f>A601*$B$7&gt;=$B$9</f>
        <v/>
      </c>
      <c r="H601" s="13">
        <f>$B$7*(A601*E$71+B601*F$71+C601*G$71+D601*H$71)+F601/100*$B$7*J$71-$C$71</f>
        <v/>
      </c>
      <c r="I601" s="13">
        <f>$B$7*(A601*L$71+B601*M$71+C601*N$71+D601*O$71)+F601/100*$B$7*Q$71-$C$71</f>
        <v/>
      </c>
      <c r="J601" s="13">
        <f>$B$7*(A601*S$71+B601*T$71+C601*U$71+D601*V$71)+F601/100*$B$7*X$71-$C$71</f>
        <v/>
      </c>
      <c r="K601" s="13">
        <f>$B$7*(A601*Z$71+B601*AA$71+C601*AB$71+D601*AC$71)+F601/100*$B$7*AE$71-$C$71</f>
        <v/>
      </c>
      <c r="L601" s="13">
        <f>$B$7*(A601*AG$71+B601*AH$71+C601*AI$71+D601*AJ$71)+F601/100*$B$7*AL$71-$C$71</f>
        <v/>
      </c>
      <c r="M601" s="13">
        <f>$B$7*(A601*AN$71+B601*AO$71+C601*AP$71+D601*AQ$71)+F601/100*$B$7*AS$71-$C$71</f>
        <v/>
      </c>
      <c r="N601" s="13">
        <f>SUMPRODUCT($H$24:$M$24,H601:M601)</f>
        <v/>
      </c>
      <c r="O601" s="14">
        <f>SQRT(SUMPRODUCT($H$24:$M$24,(H601:M601-N601)^2))</f>
        <v/>
      </c>
      <c r="P601" s="13">
        <f>MIN(H601:M601)</f>
        <v/>
      </c>
      <c r="Q601" s="13">
        <f>MAX(H601:M601)</f>
        <v/>
      </c>
      <c r="R601" s="27">
        <f>IF(G601,SUMPRODUCT(($G$76:$G$1505)*($N$76:$N$1505&gt;=N601)*($O$76:$O$1505&lt;=O601))=1,FALSE)</f>
        <v/>
      </c>
      <c r="S601" s="16">
        <f>IF(R601,ABS((O601-$AC$76)/MAX(0.0001,$AC$77-$AC$76)-(N601-$AC$78)/MAX(0.0001,$AC$79-$AC$78)),-1)</f>
        <v/>
      </c>
      <c r="T601" s="14">
        <f>IF(G601,O601,NA())</f>
        <v/>
      </c>
      <c r="U601" s="13">
        <f>IF(G601,N601,NA())</f>
        <v/>
      </c>
      <c r="V601" s="14">
        <f>IF(R601,O601,NA())</f>
        <v/>
      </c>
      <c r="W601" s="13">
        <f>IF(R601,N601,NA())</f>
        <v/>
      </c>
      <c r="X601" s="27">
        <f>IF(G601,P601,"")</f>
        <v/>
      </c>
      <c r="Y601" s="27">
        <f>IF(G601,N601,"")</f>
        <v/>
      </c>
      <c r="Z601" s="27">
        <f>IF(R601,O601,"")</f>
        <v/>
      </c>
      <c r="AA601" s="27">
        <f>IF(R601,N601,"")</f>
        <v/>
      </c>
    </row>
    <row r="602">
      <c r="A602" s="31" t="n">
        <v>0.1</v>
      </c>
      <c r="B602" s="31" t="n">
        <v>0.4</v>
      </c>
      <c r="C602" s="31" t="n">
        <v>0.5</v>
      </c>
      <c r="D602" s="31" t="n">
        <v>0</v>
      </c>
      <c r="E602" s="27" t="inlineStr">
        <is>
          <t>ON 10%/1M 40%/2M 50%</t>
        </is>
      </c>
      <c r="F602" s="27" t="n">
        <v>25</v>
      </c>
      <c r="G602" s="27">
        <f>A602*$B$7&gt;=$B$9</f>
        <v/>
      </c>
      <c r="H602" s="13">
        <f>$B$7*(A602*E$71+B602*F$71+C602*G$71+D602*H$71)+F602/100*$B$7*J$71-$C$71</f>
        <v/>
      </c>
      <c r="I602" s="13">
        <f>$B$7*(A602*L$71+B602*M$71+C602*N$71+D602*O$71)+F602/100*$B$7*Q$71-$C$71</f>
        <v/>
      </c>
      <c r="J602" s="13">
        <f>$B$7*(A602*S$71+B602*T$71+C602*U$71+D602*V$71)+F602/100*$B$7*X$71-$C$71</f>
        <v/>
      </c>
      <c r="K602" s="13">
        <f>$B$7*(A602*Z$71+B602*AA$71+C602*AB$71+D602*AC$71)+F602/100*$B$7*AE$71-$C$71</f>
        <v/>
      </c>
      <c r="L602" s="13">
        <f>$B$7*(A602*AG$71+B602*AH$71+C602*AI$71+D602*AJ$71)+F602/100*$B$7*AL$71-$C$71</f>
        <v/>
      </c>
      <c r="M602" s="13">
        <f>$B$7*(A602*AN$71+B602*AO$71+C602*AP$71+D602*AQ$71)+F602/100*$B$7*AS$71-$C$71</f>
        <v/>
      </c>
      <c r="N602" s="13">
        <f>SUMPRODUCT($H$24:$M$24,H602:M602)</f>
        <v/>
      </c>
      <c r="O602" s="14">
        <f>SQRT(SUMPRODUCT($H$24:$M$24,(H602:M602-N602)^2))</f>
        <v/>
      </c>
      <c r="P602" s="13">
        <f>MIN(H602:M602)</f>
        <v/>
      </c>
      <c r="Q602" s="13">
        <f>MAX(H602:M602)</f>
        <v/>
      </c>
      <c r="R602" s="27">
        <f>IF(G602,SUMPRODUCT(($G$76:$G$1505)*($N$76:$N$1505&gt;=N602)*($O$76:$O$1505&lt;=O602))=1,FALSE)</f>
        <v/>
      </c>
      <c r="S602" s="16">
        <f>IF(R602,ABS((O602-$AC$76)/MAX(0.0001,$AC$77-$AC$76)-(N602-$AC$78)/MAX(0.0001,$AC$79-$AC$78)),-1)</f>
        <v/>
      </c>
      <c r="T602" s="14">
        <f>IF(G602,O602,NA())</f>
        <v/>
      </c>
      <c r="U602" s="13">
        <f>IF(G602,N602,NA())</f>
        <v/>
      </c>
      <c r="V602" s="14">
        <f>IF(R602,O602,NA())</f>
        <v/>
      </c>
      <c r="W602" s="13">
        <f>IF(R602,N602,NA())</f>
        <v/>
      </c>
      <c r="X602" s="27">
        <f>IF(G602,P602,"")</f>
        <v/>
      </c>
      <c r="Y602" s="27">
        <f>IF(G602,N602,"")</f>
        <v/>
      </c>
      <c r="Z602" s="27">
        <f>IF(R602,O602,"")</f>
        <v/>
      </c>
      <c r="AA602" s="27">
        <f>IF(R602,N602,"")</f>
        <v/>
      </c>
    </row>
    <row r="603">
      <c r="A603" s="31" t="n">
        <v>0.1</v>
      </c>
      <c r="B603" s="31" t="n">
        <v>0.4</v>
      </c>
      <c r="C603" s="31" t="n">
        <v>0.5</v>
      </c>
      <c r="D603" s="31" t="n">
        <v>0</v>
      </c>
      <c r="E603" s="27" t="inlineStr">
        <is>
          <t>ON 10%/1M 40%/2M 50%</t>
        </is>
      </c>
      <c r="F603" s="27" t="n">
        <v>50</v>
      </c>
      <c r="G603" s="27">
        <f>A603*$B$7&gt;=$B$9</f>
        <v/>
      </c>
      <c r="H603" s="13">
        <f>$B$7*(A603*E$71+B603*F$71+C603*G$71+D603*H$71)+F603/100*$B$7*J$71-$C$71</f>
        <v/>
      </c>
      <c r="I603" s="13">
        <f>$B$7*(A603*L$71+B603*M$71+C603*N$71+D603*O$71)+F603/100*$B$7*Q$71-$C$71</f>
        <v/>
      </c>
      <c r="J603" s="13">
        <f>$B$7*(A603*S$71+B603*T$71+C603*U$71+D603*V$71)+F603/100*$B$7*X$71-$C$71</f>
        <v/>
      </c>
      <c r="K603" s="13">
        <f>$B$7*(A603*Z$71+B603*AA$71+C603*AB$71+D603*AC$71)+F603/100*$B$7*AE$71-$C$71</f>
        <v/>
      </c>
      <c r="L603" s="13">
        <f>$B$7*(A603*AG$71+B603*AH$71+C603*AI$71+D603*AJ$71)+F603/100*$B$7*AL$71-$C$71</f>
        <v/>
      </c>
      <c r="M603" s="13">
        <f>$B$7*(A603*AN$71+B603*AO$71+C603*AP$71+D603*AQ$71)+F603/100*$B$7*AS$71-$C$71</f>
        <v/>
      </c>
      <c r="N603" s="13">
        <f>SUMPRODUCT($H$24:$M$24,H603:M603)</f>
        <v/>
      </c>
      <c r="O603" s="14">
        <f>SQRT(SUMPRODUCT($H$24:$M$24,(H603:M603-N603)^2))</f>
        <v/>
      </c>
      <c r="P603" s="13">
        <f>MIN(H603:M603)</f>
        <v/>
      </c>
      <c r="Q603" s="13">
        <f>MAX(H603:M603)</f>
        <v/>
      </c>
      <c r="R603" s="27">
        <f>IF(G603,SUMPRODUCT(($G$76:$G$1505)*($N$76:$N$1505&gt;=N603)*($O$76:$O$1505&lt;=O603))=1,FALSE)</f>
        <v/>
      </c>
      <c r="S603" s="16">
        <f>IF(R603,ABS((O603-$AC$76)/MAX(0.0001,$AC$77-$AC$76)-(N603-$AC$78)/MAX(0.0001,$AC$79-$AC$78)),-1)</f>
        <v/>
      </c>
      <c r="T603" s="14">
        <f>IF(G603,O603,NA())</f>
        <v/>
      </c>
      <c r="U603" s="13">
        <f>IF(G603,N603,NA())</f>
        <v/>
      </c>
      <c r="V603" s="14">
        <f>IF(R603,O603,NA())</f>
        <v/>
      </c>
      <c r="W603" s="13">
        <f>IF(R603,N603,NA())</f>
        <v/>
      </c>
      <c r="X603" s="27">
        <f>IF(G603,P603,"")</f>
        <v/>
      </c>
      <c r="Y603" s="27">
        <f>IF(G603,N603,"")</f>
        <v/>
      </c>
      <c r="Z603" s="27">
        <f>IF(R603,O603,"")</f>
        <v/>
      </c>
      <c r="AA603" s="27">
        <f>IF(R603,N603,"")</f>
        <v/>
      </c>
    </row>
    <row r="604">
      <c r="A604" s="31" t="n">
        <v>0.1</v>
      </c>
      <c r="B604" s="31" t="n">
        <v>0.4</v>
      </c>
      <c r="C604" s="31" t="n">
        <v>0.5</v>
      </c>
      <c r="D604" s="31" t="n">
        <v>0</v>
      </c>
      <c r="E604" s="27" t="inlineStr">
        <is>
          <t>ON 10%/1M 40%/2M 50%</t>
        </is>
      </c>
      <c r="F604" s="27" t="n">
        <v>75</v>
      </c>
      <c r="G604" s="27">
        <f>A604*$B$7&gt;=$B$9</f>
        <v/>
      </c>
      <c r="H604" s="13">
        <f>$B$7*(A604*E$71+B604*F$71+C604*G$71+D604*H$71)+F604/100*$B$7*J$71-$C$71</f>
        <v/>
      </c>
      <c r="I604" s="13">
        <f>$B$7*(A604*L$71+B604*M$71+C604*N$71+D604*O$71)+F604/100*$B$7*Q$71-$C$71</f>
        <v/>
      </c>
      <c r="J604" s="13">
        <f>$B$7*(A604*S$71+B604*T$71+C604*U$71+D604*V$71)+F604/100*$B$7*X$71-$C$71</f>
        <v/>
      </c>
      <c r="K604" s="13">
        <f>$B$7*(A604*Z$71+B604*AA$71+C604*AB$71+D604*AC$71)+F604/100*$B$7*AE$71-$C$71</f>
        <v/>
      </c>
      <c r="L604" s="13">
        <f>$B$7*(A604*AG$71+B604*AH$71+C604*AI$71+D604*AJ$71)+F604/100*$B$7*AL$71-$C$71</f>
        <v/>
      </c>
      <c r="M604" s="13">
        <f>$B$7*(A604*AN$71+B604*AO$71+C604*AP$71+D604*AQ$71)+F604/100*$B$7*AS$71-$C$71</f>
        <v/>
      </c>
      <c r="N604" s="13">
        <f>SUMPRODUCT($H$24:$M$24,H604:M604)</f>
        <v/>
      </c>
      <c r="O604" s="14">
        <f>SQRT(SUMPRODUCT($H$24:$M$24,(H604:M604-N604)^2))</f>
        <v/>
      </c>
      <c r="P604" s="13">
        <f>MIN(H604:M604)</f>
        <v/>
      </c>
      <c r="Q604" s="13">
        <f>MAX(H604:M604)</f>
        <v/>
      </c>
      <c r="R604" s="27">
        <f>IF(G604,SUMPRODUCT(($G$76:$G$1505)*($N$76:$N$1505&gt;=N604)*($O$76:$O$1505&lt;=O604))=1,FALSE)</f>
        <v/>
      </c>
      <c r="S604" s="16">
        <f>IF(R604,ABS((O604-$AC$76)/MAX(0.0001,$AC$77-$AC$76)-(N604-$AC$78)/MAX(0.0001,$AC$79-$AC$78)),-1)</f>
        <v/>
      </c>
      <c r="T604" s="14">
        <f>IF(G604,O604,NA())</f>
        <v/>
      </c>
      <c r="U604" s="13">
        <f>IF(G604,N604,NA())</f>
        <v/>
      </c>
      <c r="V604" s="14">
        <f>IF(R604,O604,NA())</f>
        <v/>
      </c>
      <c r="W604" s="13">
        <f>IF(R604,N604,NA())</f>
        <v/>
      </c>
      <c r="X604" s="27">
        <f>IF(G604,P604,"")</f>
        <v/>
      </c>
      <c r="Y604" s="27">
        <f>IF(G604,N604,"")</f>
        <v/>
      </c>
      <c r="Z604" s="27">
        <f>IF(R604,O604,"")</f>
        <v/>
      </c>
      <c r="AA604" s="27">
        <f>IF(R604,N604,"")</f>
        <v/>
      </c>
    </row>
    <row r="605">
      <c r="A605" s="31" t="n">
        <v>0.1</v>
      </c>
      <c r="B605" s="31" t="n">
        <v>0.4</v>
      </c>
      <c r="C605" s="31" t="n">
        <v>0.5</v>
      </c>
      <c r="D605" s="31" t="n">
        <v>0</v>
      </c>
      <c r="E605" s="27" t="inlineStr">
        <is>
          <t>ON 10%/1M 40%/2M 50%</t>
        </is>
      </c>
      <c r="F605" s="27" t="n">
        <v>100</v>
      </c>
      <c r="G605" s="27">
        <f>A605*$B$7&gt;=$B$9</f>
        <v/>
      </c>
      <c r="H605" s="13">
        <f>$B$7*(A605*E$71+B605*F$71+C605*G$71+D605*H$71)+F605/100*$B$7*J$71-$C$71</f>
        <v/>
      </c>
      <c r="I605" s="13">
        <f>$B$7*(A605*L$71+B605*M$71+C605*N$71+D605*O$71)+F605/100*$B$7*Q$71-$C$71</f>
        <v/>
      </c>
      <c r="J605" s="13">
        <f>$B$7*(A605*S$71+B605*T$71+C605*U$71+D605*V$71)+F605/100*$B$7*X$71-$C$71</f>
        <v/>
      </c>
      <c r="K605" s="13">
        <f>$B$7*(A605*Z$71+B605*AA$71+C605*AB$71+D605*AC$71)+F605/100*$B$7*AE$71-$C$71</f>
        <v/>
      </c>
      <c r="L605" s="13">
        <f>$B$7*(A605*AG$71+B605*AH$71+C605*AI$71+D605*AJ$71)+F605/100*$B$7*AL$71-$C$71</f>
        <v/>
      </c>
      <c r="M605" s="13">
        <f>$B$7*(A605*AN$71+B605*AO$71+C605*AP$71+D605*AQ$71)+F605/100*$B$7*AS$71-$C$71</f>
        <v/>
      </c>
      <c r="N605" s="13">
        <f>SUMPRODUCT($H$24:$M$24,H605:M605)</f>
        <v/>
      </c>
      <c r="O605" s="14">
        <f>SQRT(SUMPRODUCT($H$24:$M$24,(H605:M605-N605)^2))</f>
        <v/>
      </c>
      <c r="P605" s="13">
        <f>MIN(H605:M605)</f>
        <v/>
      </c>
      <c r="Q605" s="13">
        <f>MAX(H605:M605)</f>
        <v/>
      </c>
      <c r="R605" s="27">
        <f>IF(G605,SUMPRODUCT(($G$76:$G$1505)*($N$76:$N$1505&gt;=N605)*($O$76:$O$1505&lt;=O605))=1,FALSE)</f>
        <v/>
      </c>
      <c r="S605" s="16">
        <f>IF(R605,ABS((O605-$AC$76)/MAX(0.0001,$AC$77-$AC$76)-(N605-$AC$78)/MAX(0.0001,$AC$79-$AC$78)),-1)</f>
        <v/>
      </c>
      <c r="T605" s="14">
        <f>IF(G605,O605,NA())</f>
        <v/>
      </c>
      <c r="U605" s="13">
        <f>IF(G605,N605,NA())</f>
        <v/>
      </c>
      <c r="V605" s="14">
        <f>IF(R605,O605,NA())</f>
        <v/>
      </c>
      <c r="W605" s="13">
        <f>IF(R605,N605,NA())</f>
        <v/>
      </c>
      <c r="X605" s="27">
        <f>IF(G605,P605,"")</f>
        <v/>
      </c>
      <c r="Y605" s="27">
        <f>IF(G605,N605,"")</f>
        <v/>
      </c>
      <c r="Z605" s="27">
        <f>IF(R605,O605,"")</f>
        <v/>
      </c>
      <c r="AA605" s="27">
        <f>IF(R605,N605,"")</f>
        <v/>
      </c>
    </row>
    <row r="606">
      <c r="A606" s="31" t="n">
        <v>0.1</v>
      </c>
      <c r="B606" s="31" t="n">
        <v>0.5</v>
      </c>
      <c r="C606" s="31" t="n">
        <v>0</v>
      </c>
      <c r="D606" s="31" t="n">
        <v>0.4</v>
      </c>
      <c r="E606" s="27" t="inlineStr">
        <is>
          <t>ON 10%/1M 50%/3M 40%</t>
        </is>
      </c>
      <c r="F606" s="27" t="n">
        <v>0</v>
      </c>
      <c r="G606" s="27">
        <f>A606*$B$7&gt;=$B$9</f>
        <v/>
      </c>
      <c r="H606" s="13">
        <f>$B$7*(A606*E$71+B606*F$71+C606*G$71+D606*H$71)+F606/100*$B$7*J$71-$C$71</f>
        <v/>
      </c>
      <c r="I606" s="13">
        <f>$B$7*(A606*L$71+B606*M$71+C606*N$71+D606*O$71)+F606/100*$B$7*Q$71-$C$71</f>
        <v/>
      </c>
      <c r="J606" s="13">
        <f>$B$7*(A606*S$71+B606*T$71+C606*U$71+D606*V$71)+F606/100*$B$7*X$71-$C$71</f>
        <v/>
      </c>
      <c r="K606" s="13">
        <f>$B$7*(A606*Z$71+B606*AA$71+C606*AB$71+D606*AC$71)+F606/100*$B$7*AE$71-$C$71</f>
        <v/>
      </c>
      <c r="L606" s="13">
        <f>$B$7*(A606*AG$71+B606*AH$71+C606*AI$71+D606*AJ$71)+F606/100*$B$7*AL$71-$C$71</f>
        <v/>
      </c>
      <c r="M606" s="13">
        <f>$B$7*(A606*AN$71+B606*AO$71+C606*AP$71+D606*AQ$71)+F606/100*$B$7*AS$71-$C$71</f>
        <v/>
      </c>
      <c r="N606" s="13">
        <f>SUMPRODUCT($H$24:$M$24,H606:M606)</f>
        <v/>
      </c>
      <c r="O606" s="14">
        <f>SQRT(SUMPRODUCT($H$24:$M$24,(H606:M606-N606)^2))</f>
        <v/>
      </c>
      <c r="P606" s="13">
        <f>MIN(H606:M606)</f>
        <v/>
      </c>
      <c r="Q606" s="13">
        <f>MAX(H606:M606)</f>
        <v/>
      </c>
      <c r="R606" s="27">
        <f>IF(G606,SUMPRODUCT(($G$76:$G$1505)*($N$76:$N$1505&gt;=N606)*($O$76:$O$1505&lt;=O606))=1,FALSE)</f>
        <v/>
      </c>
      <c r="S606" s="16">
        <f>IF(R606,ABS((O606-$AC$76)/MAX(0.0001,$AC$77-$AC$76)-(N606-$AC$78)/MAX(0.0001,$AC$79-$AC$78)),-1)</f>
        <v/>
      </c>
      <c r="T606" s="14">
        <f>IF(G606,O606,NA())</f>
        <v/>
      </c>
      <c r="U606" s="13">
        <f>IF(G606,N606,NA())</f>
        <v/>
      </c>
      <c r="V606" s="14">
        <f>IF(R606,O606,NA())</f>
        <v/>
      </c>
      <c r="W606" s="13">
        <f>IF(R606,N606,NA())</f>
        <v/>
      </c>
      <c r="X606" s="27">
        <f>IF(G606,P606,"")</f>
        <v/>
      </c>
      <c r="Y606" s="27">
        <f>IF(G606,N606,"")</f>
        <v/>
      </c>
      <c r="Z606" s="27">
        <f>IF(R606,O606,"")</f>
        <v/>
      </c>
      <c r="AA606" s="27">
        <f>IF(R606,N606,"")</f>
        <v/>
      </c>
    </row>
    <row r="607">
      <c r="A607" s="31" t="n">
        <v>0.1</v>
      </c>
      <c r="B607" s="31" t="n">
        <v>0.5</v>
      </c>
      <c r="C607" s="31" t="n">
        <v>0</v>
      </c>
      <c r="D607" s="31" t="n">
        <v>0.4</v>
      </c>
      <c r="E607" s="27" t="inlineStr">
        <is>
          <t>ON 10%/1M 50%/3M 40%</t>
        </is>
      </c>
      <c r="F607" s="27" t="n">
        <v>25</v>
      </c>
      <c r="G607" s="27">
        <f>A607*$B$7&gt;=$B$9</f>
        <v/>
      </c>
      <c r="H607" s="13">
        <f>$B$7*(A607*E$71+B607*F$71+C607*G$71+D607*H$71)+F607/100*$B$7*J$71-$C$71</f>
        <v/>
      </c>
      <c r="I607" s="13">
        <f>$B$7*(A607*L$71+B607*M$71+C607*N$71+D607*O$71)+F607/100*$B$7*Q$71-$C$71</f>
        <v/>
      </c>
      <c r="J607" s="13">
        <f>$B$7*(A607*S$71+B607*T$71+C607*U$71+D607*V$71)+F607/100*$B$7*X$71-$C$71</f>
        <v/>
      </c>
      <c r="K607" s="13">
        <f>$B$7*(A607*Z$71+B607*AA$71+C607*AB$71+D607*AC$71)+F607/100*$B$7*AE$71-$C$71</f>
        <v/>
      </c>
      <c r="L607" s="13">
        <f>$B$7*(A607*AG$71+B607*AH$71+C607*AI$71+D607*AJ$71)+F607/100*$B$7*AL$71-$C$71</f>
        <v/>
      </c>
      <c r="M607" s="13">
        <f>$B$7*(A607*AN$71+B607*AO$71+C607*AP$71+D607*AQ$71)+F607/100*$B$7*AS$71-$C$71</f>
        <v/>
      </c>
      <c r="N607" s="13">
        <f>SUMPRODUCT($H$24:$M$24,H607:M607)</f>
        <v/>
      </c>
      <c r="O607" s="14">
        <f>SQRT(SUMPRODUCT($H$24:$M$24,(H607:M607-N607)^2))</f>
        <v/>
      </c>
      <c r="P607" s="13">
        <f>MIN(H607:M607)</f>
        <v/>
      </c>
      <c r="Q607" s="13">
        <f>MAX(H607:M607)</f>
        <v/>
      </c>
      <c r="R607" s="27">
        <f>IF(G607,SUMPRODUCT(($G$76:$G$1505)*($N$76:$N$1505&gt;=N607)*($O$76:$O$1505&lt;=O607))=1,FALSE)</f>
        <v/>
      </c>
      <c r="S607" s="16">
        <f>IF(R607,ABS((O607-$AC$76)/MAX(0.0001,$AC$77-$AC$76)-(N607-$AC$78)/MAX(0.0001,$AC$79-$AC$78)),-1)</f>
        <v/>
      </c>
      <c r="T607" s="14">
        <f>IF(G607,O607,NA())</f>
        <v/>
      </c>
      <c r="U607" s="13">
        <f>IF(G607,N607,NA())</f>
        <v/>
      </c>
      <c r="V607" s="14">
        <f>IF(R607,O607,NA())</f>
        <v/>
      </c>
      <c r="W607" s="13">
        <f>IF(R607,N607,NA())</f>
        <v/>
      </c>
      <c r="X607" s="27">
        <f>IF(G607,P607,"")</f>
        <v/>
      </c>
      <c r="Y607" s="27">
        <f>IF(G607,N607,"")</f>
        <v/>
      </c>
      <c r="Z607" s="27">
        <f>IF(R607,O607,"")</f>
        <v/>
      </c>
      <c r="AA607" s="27">
        <f>IF(R607,N607,"")</f>
        <v/>
      </c>
    </row>
    <row r="608">
      <c r="A608" s="31" t="n">
        <v>0.1</v>
      </c>
      <c r="B608" s="31" t="n">
        <v>0.5</v>
      </c>
      <c r="C608" s="31" t="n">
        <v>0</v>
      </c>
      <c r="D608" s="31" t="n">
        <v>0.4</v>
      </c>
      <c r="E608" s="27" t="inlineStr">
        <is>
          <t>ON 10%/1M 50%/3M 40%</t>
        </is>
      </c>
      <c r="F608" s="27" t="n">
        <v>50</v>
      </c>
      <c r="G608" s="27">
        <f>A608*$B$7&gt;=$B$9</f>
        <v/>
      </c>
      <c r="H608" s="13">
        <f>$B$7*(A608*E$71+B608*F$71+C608*G$71+D608*H$71)+F608/100*$B$7*J$71-$C$71</f>
        <v/>
      </c>
      <c r="I608" s="13">
        <f>$B$7*(A608*L$71+B608*M$71+C608*N$71+D608*O$71)+F608/100*$B$7*Q$71-$C$71</f>
        <v/>
      </c>
      <c r="J608" s="13">
        <f>$B$7*(A608*S$71+B608*T$71+C608*U$71+D608*V$71)+F608/100*$B$7*X$71-$C$71</f>
        <v/>
      </c>
      <c r="K608" s="13">
        <f>$B$7*(A608*Z$71+B608*AA$71+C608*AB$71+D608*AC$71)+F608/100*$B$7*AE$71-$C$71</f>
        <v/>
      </c>
      <c r="L608" s="13">
        <f>$B$7*(A608*AG$71+B608*AH$71+C608*AI$71+D608*AJ$71)+F608/100*$B$7*AL$71-$C$71</f>
        <v/>
      </c>
      <c r="M608" s="13">
        <f>$B$7*(A608*AN$71+B608*AO$71+C608*AP$71+D608*AQ$71)+F608/100*$B$7*AS$71-$C$71</f>
        <v/>
      </c>
      <c r="N608" s="13">
        <f>SUMPRODUCT($H$24:$M$24,H608:M608)</f>
        <v/>
      </c>
      <c r="O608" s="14">
        <f>SQRT(SUMPRODUCT($H$24:$M$24,(H608:M608-N608)^2))</f>
        <v/>
      </c>
      <c r="P608" s="13">
        <f>MIN(H608:M608)</f>
        <v/>
      </c>
      <c r="Q608" s="13">
        <f>MAX(H608:M608)</f>
        <v/>
      </c>
      <c r="R608" s="27">
        <f>IF(G608,SUMPRODUCT(($G$76:$G$1505)*($N$76:$N$1505&gt;=N608)*($O$76:$O$1505&lt;=O608))=1,FALSE)</f>
        <v/>
      </c>
      <c r="S608" s="16">
        <f>IF(R608,ABS((O608-$AC$76)/MAX(0.0001,$AC$77-$AC$76)-(N608-$AC$78)/MAX(0.0001,$AC$79-$AC$78)),-1)</f>
        <v/>
      </c>
      <c r="T608" s="14">
        <f>IF(G608,O608,NA())</f>
        <v/>
      </c>
      <c r="U608" s="13">
        <f>IF(G608,N608,NA())</f>
        <v/>
      </c>
      <c r="V608" s="14">
        <f>IF(R608,O608,NA())</f>
        <v/>
      </c>
      <c r="W608" s="13">
        <f>IF(R608,N608,NA())</f>
        <v/>
      </c>
      <c r="X608" s="27">
        <f>IF(G608,P608,"")</f>
        <v/>
      </c>
      <c r="Y608" s="27">
        <f>IF(G608,N608,"")</f>
        <v/>
      </c>
      <c r="Z608" s="27">
        <f>IF(R608,O608,"")</f>
        <v/>
      </c>
      <c r="AA608" s="27">
        <f>IF(R608,N608,"")</f>
        <v/>
      </c>
    </row>
    <row r="609">
      <c r="A609" s="31" t="n">
        <v>0.1</v>
      </c>
      <c r="B609" s="31" t="n">
        <v>0.5</v>
      </c>
      <c r="C609" s="31" t="n">
        <v>0</v>
      </c>
      <c r="D609" s="31" t="n">
        <v>0.4</v>
      </c>
      <c r="E609" s="27" t="inlineStr">
        <is>
          <t>ON 10%/1M 50%/3M 40%</t>
        </is>
      </c>
      <c r="F609" s="27" t="n">
        <v>75</v>
      </c>
      <c r="G609" s="27">
        <f>A609*$B$7&gt;=$B$9</f>
        <v/>
      </c>
      <c r="H609" s="13">
        <f>$B$7*(A609*E$71+B609*F$71+C609*G$71+D609*H$71)+F609/100*$B$7*J$71-$C$71</f>
        <v/>
      </c>
      <c r="I609" s="13">
        <f>$B$7*(A609*L$71+B609*M$71+C609*N$71+D609*O$71)+F609/100*$B$7*Q$71-$C$71</f>
        <v/>
      </c>
      <c r="J609" s="13">
        <f>$B$7*(A609*S$71+B609*T$71+C609*U$71+D609*V$71)+F609/100*$B$7*X$71-$C$71</f>
        <v/>
      </c>
      <c r="K609" s="13">
        <f>$B$7*(A609*Z$71+B609*AA$71+C609*AB$71+D609*AC$71)+F609/100*$B$7*AE$71-$C$71</f>
        <v/>
      </c>
      <c r="L609" s="13">
        <f>$B$7*(A609*AG$71+B609*AH$71+C609*AI$71+D609*AJ$71)+F609/100*$B$7*AL$71-$C$71</f>
        <v/>
      </c>
      <c r="M609" s="13">
        <f>$B$7*(A609*AN$71+B609*AO$71+C609*AP$71+D609*AQ$71)+F609/100*$B$7*AS$71-$C$71</f>
        <v/>
      </c>
      <c r="N609" s="13">
        <f>SUMPRODUCT($H$24:$M$24,H609:M609)</f>
        <v/>
      </c>
      <c r="O609" s="14">
        <f>SQRT(SUMPRODUCT($H$24:$M$24,(H609:M609-N609)^2))</f>
        <v/>
      </c>
      <c r="P609" s="13">
        <f>MIN(H609:M609)</f>
        <v/>
      </c>
      <c r="Q609" s="13">
        <f>MAX(H609:M609)</f>
        <v/>
      </c>
      <c r="R609" s="27">
        <f>IF(G609,SUMPRODUCT(($G$76:$G$1505)*($N$76:$N$1505&gt;=N609)*($O$76:$O$1505&lt;=O609))=1,FALSE)</f>
        <v/>
      </c>
      <c r="S609" s="16">
        <f>IF(R609,ABS((O609-$AC$76)/MAX(0.0001,$AC$77-$AC$76)-(N609-$AC$78)/MAX(0.0001,$AC$79-$AC$78)),-1)</f>
        <v/>
      </c>
      <c r="T609" s="14">
        <f>IF(G609,O609,NA())</f>
        <v/>
      </c>
      <c r="U609" s="13">
        <f>IF(G609,N609,NA())</f>
        <v/>
      </c>
      <c r="V609" s="14">
        <f>IF(R609,O609,NA())</f>
        <v/>
      </c>
      <c r="W609" s="13">
        <f>IF(R609,N609,NA())</f>
        <v/>
      </c>
      <c r="X609" s="27">
        <f>IF(G609,P609,"")</f>
        <v/>
      </c>
      <c r="Y609" s="27">
        <f>IF(G609,N609,"")</f>
        <v/>
      </c>
      <c r="Z609" s="27">
        <f>IF(R609,O609,"")</f>
        <v/>
      </c>
      <c r="AA609" s="27">
        <f>IF(R609,N609,"")</f>
        <v/>
      </c>
    </row>
    <row r="610">
      <c r="A610" s="31" t="n">
        <v>0.1</v>
      </c>
      <c r="B610" s="31" t="n">
        <v>0.5</v>
      </c>
      <c r="C610" s="31" t="n">
        <v>0</v>
      </c>
      <c r="D610" s="31" t="n">
        <v>0.4</v>
      </c>
      <c r="E610" s="27" t="inlineStr">
        <is>
          <t>ON 10%/1M 50%/3M 40%</t>
        </is>
      </c>
      <c r="F610" s="27" t="n">
        <v>100</v>
      </c>
      <c r="G610" s="27">
        <f>A610*$B$7&gt;=$B$9</f>
        <v/>
      </c>
      <c r="H610" s="13">
        <f>$B$7*(A610*E$71+B610*F$71+C610*G$71+D610*H$71)+F610/100*$B$7*J$71-$C$71</f>
        <v/>
      </c>
      <c r="I610" s="13">
        <f>$B$7*(A610*L$71+B610*M$71+C610*N$71+D610*O$71)+F610/100*$B$7*Q$71-$C$71</f>
        <v/>
      </c>
      <c r="J610" s="13">
        <f>$B$7*(A610*S$71+B610*T$71+C610*U$71+D610*V$71)+F610/100*$B$7*X$71-$C$71</f>
        <v/>
      </c>
      <c r="K610" s="13">
        <f>$B$7*(A610*Z$71+B610*AA$71+C610*AB$71+D610*AC$71)+F610/100*$B$7*AE$71-$C$71</f>
        <v/>
      </c>
      <c r="L610" s="13">
        <f>$B$7*(A610*AG$71+B610*AH$71+C610*AI$71+D610*AJ$71)+F610/100*$B$7*AL$71-$C$71</f>
        <v/>
      </c>
      <c r="M610" s="13">
        <f>$B$7*(A610*AN$71+B610*AO$71+C610*AP$71+D610*AQ$71)+F610/100*$B$7*AS$71-$C$71</f>
        <v/>
      </c>
      <c r="N610" s="13">
        <f>SUMPRODUCT($H$24:$M$24,H610:M610)</f>
        <v/>
      </c>
      <c r="O610" s="14">
        <f>SQRT(SUMPRODUCT($H$24:$M$24,(H610:M610-N610)^2))</f>
        <v/>
      </c>
      <c r="P610" s="13">
        <f>MIN(H610:M610)</f>
        <v/>
      </c>
      <c r="Q610" s="13">
        <f>MAX(H610:M610)</f>
        <v/>
      </c>
      <c r="R610" s="27">
        <f>IF(G610,SUMPRODUCT(($G$76:$G$1505)*($N$76:$N$1505&gt;=N610)*($O$76:$O$1505&lt;=O610))=1,FALSE)</f>
        <v/>
      </c>
      <c r="S610" s="16">
        <f>IF(R610,ABS((O610-$AC$76)/MAX(0.0001,$AC$77-$AC$76)-(N610-$AC$78)/MAX(0.0001,$AC$79-$AC$78)),-1)</f>
        <v/>
      </c>
      <c r="T610" s="14">
        <f>IF(G610,O610,NA())</f>
        <v/>
      </c>
      <c r="U610" s="13">
        <f>IF(G610,N610,NA())</f>
        <v/>
      </c>
      <c r="V610" s="14">
        <f>IF(R610,O610,NA())</f>
        <v/>
      </c>
      <c r="W610" s="13">
        <f>IF(R610,N610,NA())</f>
        <v/>
      </c>
      <c r="X610" s="27">
        <f>IF(G610,P610,"")</f>
        <v/>
      </c>
      <c r="Y610" s="27">
        <f>IF(G610,N610,"")</f>
        <v/>
      </c>
      <c r="Z610" s="27">
        <f>IF(R610,O610,"")</f>
        <v/>
      </c>
      <c r="AA610" s="27">
        <f>IF(R610,N610,"")</f>
        <v/>
      </c>
    </row>
    <row r="611">
      <c r="A611" s="31" t="n">
        <v>0.1</v>
      </c>
      <c r="B611" s="31" t="n">
        <v>0.5</v>
      </c>
      <c r="C611" s="31" t="n">
        <v>0.1</v>
      </c>
      <c r="D611" s="31" t="n">
        <v>0.3</v>
      </c>
      <c r="E611" s="27" t="inlineStr">
        <is>
          <t>ON 10%/1M 50%/2M 10%/3M 30%</t>
        </is>
      </c>
      <c r="F611" s="27" t="n">
        <v>0</v>
      </c>
      <c r="G611" s="27">
        <f>A611*$B$7&gt;=$B$9</f>
        <v/>
      </c>
      <c r="H611" s="13">
        <f>$B$7*(A611*E$71+B611*F$71+C611*G$71+D611*H$71)+F611/100*$B$7*J$71-$C$71</f>
        <v/>
      </c>
      <c r="I611" s="13">
        <f>$B$7*(A611*L$71+B611*M$71+C611*N$71+D611*O$71)+F611/100*$B$7*Q$71-$C$71</f>
        <v/>
      </c>
      <c r="J611" s="13">
        <f>$B$7*(A611*S$71+B611*T$71+C611*U$71+D611*V$71)+F611/100*$B$7*X$71-$C$71</f>
        <v/>
      </c>
      <c r="K611" s="13">
        <f>$B$7*(A611*Z$71+B611*AA$71+C611*AB$71+D611*AC$71)+F611/100*$B$7*AE$71-$C$71</f>
        <v/>
      </c>
      <c r="L611" s="13">
        <f>$B$7*(A611*AG$71+B611*AH$71+C611*AI$71+D611*AJ$71)+F611/100*$B$7*AL$71-$C$71</f>
        <v/>
      </c>
      <c r="M611" s="13">
        <f>$B$7*(A611*AN$71+B611*AO$71+C611*AP$71+D611*AQ$71)+F611/100*$B$7*AS$71-$C$71</f>
        <v/>
      </c>
      <c r="N611" s="13">
        <f>SUMPRODUCT($H$24:$M$24,H611:M611)</f>
        <v/>
      </c>
      <c r="O611" s="14">
        <f>SQRT(SUMPRODUCT($H$24:$M$24,(H611:M611-N611)^2))</f>
        <v/>
      </c>
      <c r="P611" s="13">
        <f>MIN(H611:M611)</f>
        <v/>
      </c>
      <c r="Q611" s="13">
        <f>MAX(H611:M611)</f>
        <v/>
      </c>
      <c r="R611" s="27">
        <f>IF(G611,SUMPRODUCT(($G$76:$G$1505)*($N$76:$N$1505&gt;=N611)*($O$76:$O$1505&lt;=O611))=1,FALSE)</f>
        <v/>
      </c>
      <c r="S611" s="16">
        <f>IF(R611,ABS((O611-$AC$76)/MAX(0.0001,$AC$77-$AC$76)-(N611-$AC$78)/MAX(0.0001,$AC$79-$AC$78)),-1)</f>
        <v/>
      </c>
      <c r="T611" s="14">
        <f>IF(G611,O611,NA())</f>
        <v/>
      </c>
      <c r="U611" s="13">
        <f>IF(G611,N611,NA())</f>
        <v/>
      </c>
      <c r="V611" s="14">
        <f>IF(R611,O611,NA())</f>
        <v/>
      </c>
      <c r="W611" s="13">
        <f>IF(R611,N611,NA())</f>
        <v/>
      </c>
      <c r="X611" s="27">
        <f>IF(G611,P611,"")</f>
        <v/>
      </c>
      <c r="Y611" s="27">
        <f>IF(G611,N611,"")</f>
        <v/>
      </c>
      <c r="Z611" s="27">
        <f>IF(R611,O611,"")</f>
        <v/>
      </c>
      <c r="AA611" s="27">
        <f>IF(R611,N611,"")</f>
        <v/>
      </c>
    </row>
    <row r="612">
      <c r="A612" s="31" t="n">
        <v>0.1</v>
      </c>
      <c r="B612" s="31" t="n">
        <v>0.5</v>
      </c>
      <c r="C612" s="31" t="n">
        <v>0.1</v>
      </c>
      <c r="D612" s="31" t="n">
        <v>0.3</v>
      </c>
      <c r="E612" s="27" t="inlineStr">
        <is>
          <t>ON 10%/1M 50%/2M 10%/3M 30%</t>
        </is>
      </c>
      <c r="F612" s="27" t="n">
        <v>25</v>
      </c>
      <c r="G612" s="27">
        <f>A612*$B$7&gt;=$B$9</f>
        <v/>
      </c>
      <c r="H612" s="13">
        <f>$B$7*(A612*E$71+B612*F$71+C612*G$71+D612*H$71)+F612/100*$B$7*J$71-$C$71</f>
        <v/>
      </c>
      <c r="I612" s="13">
        <f>$B$7*(A612*L$71+B612*M$71+C612*N$71+D612*O$71)+F612/100*$B$7*Q$71-$C$71</f>
        <v/>
      </c>
      <c r="J612" s="13">
        <f>$B$7*(A612*S$71+B612*T$71+C612*U$71+D612*V$71)+F612/100*$B$7*X$71-$C$71</f>
        <v/>
      </c>
      <c r="K612" s="13">
        <f>$B$7*(A612*Z$71+B612*AA$71+C612*AB$71+D612*AC$71)+F612/100*$B$7*AE$71-$C$71</f>
        <v/>
      </c>
      <c r="L612" s="13">
        <f>$B$7*(A612*AG$71+B612*AH$71+C612*AI$71+D612*AJ$71)+F612/100*$B$7*AL$71-$C$71</f>
        <v/>
      </c>
      <c r="M612" s="13">
        <f>$B$7*(A612*AN$71+B612*AO$71+C612*AP$71+D612*AQ$71)+F612/100*$B$7*AS$71-$C$71</f>
        <v/>
      </c>
      <c r="N612" s="13">
        <f>SUMPRODUCT($H$24:$M$24,H612:M612)</f>
        <v/>
      </c>
      <c r="O612" s="14">
        <f>SQRT(SUMPRODUCT($H$24:$M$24,(H612:M612-N612)^2))</f>
        <v/>
      </c>
      <c r="P612" s="13">
        <f>MIN(H612:M612)</f>
        <v/>
      </c>
      <c r="Q612" s="13">
        <f>MAX(H612:M612)</f>
        <v/>
      </c>
      <c r="R612" s="27">
        <f>IF(G612,SUMPRODUCT(($G$76:$G$1505)*($N$76:$N$1505&gt;=N612)*($O$76:$O$1505&lt;=O612))=1,FALSE)</f>
        <v/>
      </c>
      <c r="S612" s="16">
        <f>IF(R612,ABS((O612-$AC$76)/MAX(0.0001,$AC$77-$AC$76)-(N612-$AC$78)/MAX(0.0001,$AC$79-$AC$78)),-1)</f>
        <v/>
      </c>
      <c r="T612" s="14">
        <f>IF(G612,O612,NA())</f>
        <v/>
      </c>
      <c r="U612" s="13">
        <f>IF(G612,N612,NA())</f>
        <v/>
      </c>
      <c r="V612" s="14">
        <f>IF(R612,O612,NA())</f>
        <v/>
      </c>
      <c r="W612" s="13">
        <f>IF(R612,N612,NA())</f>
        <v/>
      </c>
      <c r="X612" s="27">
        <f>IF(G612,P612,"")</f>
        <v/>
      </c>
      <c r="Y612" s="27">
        <f>IF(G612,N612,"")</f>
        <v/>
      </c>
      <c r="Z612" s="27">
        <f>IF(R612,O612,"")</f>
        <v/>
      </c>
      <c r="AA612" s="27">
        <f>IF(R612,N612,"")</f>
        <v/>
      </c>
    </row>
    <row r="613">
      <c r="A613" s="31" t="n">
        <v>0.1</v>
      </c>
      <c r="B613" s="31" t="n">
        <v>0.5</v>
      </c>
      <c r="C613" s="31" t="n">
        <v>0.1</v>
      </c>
      <c r="D613" s="31" t="n">
        <v>0.3</v>
      </c>
      <c r="E613" s="27" t="inlineStr">
        <is>
          <t>ON 10%/1M 50%/2M 10%/3M 30%</t>
        </is>
      </c>
      <c r="F613" s="27" t="n">
        <v>50</v>
      </c>
      <c r="G613" s="27">
        <f>A613*$B$7&gt;=$B$9</f>
        <v/>
      </c>
      <c r="H613" s="13">
        <f>$B$7*(A613*E$71+B613*F$71+C613*G$71+D613*H$71)+F613/100*$B$7*J$71-$C$71</f>
        <v/>
      </c>
      <c r="I613" s="13">
        <f>$B$7*(A613*L$71+B613*M$71+C613*N$71+D613*O$71)+F613/100*$B$7*Q$71-$C$71</f>
        <v/>
      </c>
      <c r="J613" s="13">
        <f>$B$7*(A613*S$71+B613*T$71+C613*U$71+D613*V$71)+F613/100*$B$7*X$71-$C$71</f>
        <v/>
      </c>
      <c r="K613" s="13">
        <f>$B$7*(A613*Z$71+B613*AA$71+C613*AB$71+D613*AC$71)+F613/100*$B$7*AE$71-$C$71</f>
        <v/>
      </c>
      <c r="L613" s="13">
        <f>$B$7*(A613*AG$71+B613*AH$71+C613*AI$71+D613*AJ$71)+F613/100*$B$7*AL$71-$C$71</f>
        <v/>
      </c>
      <c r="M613" s="13">
        <f>$B$7*(A613*AN$71+B613*AO$71+C613*AP$71+D613*AQ$71)+F613/100*$B$7*AS$71-$C$71</f>
        <v/>
      </c>
      <c r="N613" s="13">
        <f>SUMPRODUCT($H$24:$M$24,H613:M613)</f>
        <v/>
      </c>
      <c r="O613" s="14">
        <f>SQRT(SUMPRODUCT($H$24:$M$24,(H613:M613-N613)^2))</f>
        <v/>
      </c>
      <c r="P613" s="13">
        <f>MIN(H613:M613)</f>
        <v/>
      </c>
      <c r="Q613" s="13">
        <f>MAX(H613:M613)</f>
        <v/>
      </c>
      <c r="R613" s="27">
        <f>IF(G613,SUMPRODUCT(($G$76:$G$1505)*($N$76:$N$1505&gt;=N613)*($O$76:$O$1505&lt;=O613))=1,FALSE)</f>
        <v/>
      </c>
      <c r="S613" s="16">
        <f>IF(R613,ABS((O613-$AC$76)/MAX(0.0001,$AC$77-$AC$76)-(N613-$AC$78)/MAX(0.0001,$AC$79-$AC$78)),-1)</f>
        <v/>
      </c>
      <c r="T613" s="14">
        <f>IF(G613,O613,NA())</f>
        <v/>
      </c>
      <c r="U613" s="13">
        <f>IF(G613,N613,NA())</f>
        <v/>
      </c>
      <c r="V613" s="14">
        <f>IF(R613,O613,NA())</f>
        <v/>
      </c>
      <c r="W613" s="13">
        <f>IF(R613,N613,NA())</f>
        <v/>
      </c>
      <c r="X613" s="27">
        <f>IF(G613,P613,"")</f>
        <v/>
      </c>
      <c r="Y613" s="27">
        <f>IF(G613,N613,"")</f>
        <v/>
      </c>
      <c r="Z613" s="27">
        <f>IF(R613,O613,"")</f>
        <v/>
      </c>
      <c r="AA613" s="27">
        <f>IF(R613,N613,"")</f>
        <v/>
      </c>
    </row>
    <row r="614">
      <c r="A614" s="31" t="n">
        <v>0.1</v>
      </c>
      <c r="B614" s="31" t="n">
        <v>0.5</v>
      </c>
      <c r="C614" s="31" t="n">
        <v>0.1</v>
      </c>
      <c r="D614" s="31" t="n">
        <v>0.3</v>
      </c>
      <c r="E614" s="27" t="inlineStr">
        <is>
          <t>ON 10%/1M 50%/2M 10%/3M 30%</t>
        </is>
      </c>
      <c r="F614" s="27" t="n">
        <v>75</v>
      </c>
      <c r="G614" s="27">
        <f>A614*$B$7&gt;=$B$9</f>
        <v/>
      </c>
      <c r="H614" s="13">
        <f>$B$7*(A614*E$71+B614*F$71+C614*G$71+D614*H$71)+F614/100*$B$7*J$71-$C$71</f>
        <v/>
      </c>
      <c r="I614" s="13">
        <f>$B$7*(A614*L$71+B614*M$71+C614*N$71+D614*O$71)+F614/100*$B$7*Q$71-$C$71</f>
        <v/>
      </c>
      <c r="J614" s="13">
        <f>$B$7*(A614*S$71+B614*T$71+C614*U$71+D614*V$71)+F614/100*$B$7*X$71-$C$71</f>
        <v/>
      </c>
      <c r="K614" s="13">
        <f>$B$7*(A614*Z$71+B614*AA$71+C614*AB$71+D614*AC$71)+F614/100*$B$7*AE$71-$C$71</f>
        <v/>
      </c>
      <c r="L614" s="13">
        <f>$B$7*(A614*AG$71+B614*AH$71+C614*AI$71+D614*AJ$71)+F614/100*$B$7*AL$71-$C$71</f>
        <v/>
      </c>
      <c r="M614" s="13">
        <f>$B$7*(A614*AN$71+B614*AO$71+C614*AP$71+D614*AQ$71)+F614/100*$B$7*AS$71-$C$71</f>
        <v/>
      </c>
      <c r="N614" s="13">
        <f>SUMPRODUCT($H$24:$M$24,H614:M614)</f>
        <v/>
      </c>
      <c r="O614" s="14">
        <f>SQRT(SUMPRODUCT($H$24:$M$24,(H614:M614-N614)^2))</f>
        <v/>
      </c>
      <c r="P614" s="13">
        <f>MIN(H614:M614)</f>
        <v/>
      </c>
      <c r="Q614" s="13">
        <f>MAX(H614:M614)</f>
        <v/>
      </c>
      <c r="R614" s="27">
        <f>IF(G614,SUMPRODUCT(($G$76:$G$1505)*($N$76:$N$1505&gt;=N614)*($O$76:$O$1505&lt;=O614))=1,FALSE)</f>
        <v/>
      </c>
      <c r="S614" s="16">
        <f>IF(R614,ABS((O614-$AC$76)/MAX(0.0001,$AC$77-$AC$76)-(N614-$AC$78)/MAX(0.0001,$AC$79-$AC$78)),-1)</f>
        <v/>
      </c>
      <c r="T614" s="14">
        <f>IF(G614,O614,NA())</f>
        <v/>
      </c>
      <c r="U614" s="13">
        <f>IF(G614,N614,NA())</f>
        <v/>
      </c>
      <c r="V614" s="14">
        <f>IF(R614,O614,NA())</f>
        <v/>
      </c>
      <c r="W614" s="13">
        <f>IF(R614,N614,NA())</f>
        <v/>
      </c>
      <c r="X614" s="27">
        <f>IF(G614,P614,"")</f>
        <v/>
      </c>
      <c r="Y614" s="27">
        <f>IF(G614,N614,"")</f>
        <v/>
      </c>
      <c r="Z614" s="27">
        <f>IF(R614,O614,"")</f>
        <v/>
      </c>
      <c r="AA614" s="27">
        <f>IF(R614,N614,"")</f>
        <v/>
      </c>
    </row>
    <row r="615">
      <c r="A615" s="31" t="n">
        <v>0.1</v>
      </c>
      <c r="B615" s="31" t="n">
        <v>0.5</v>
      </c>
      <c r="C615" s="31" t="n">
        <v>0.1</v>
      </c>
      <c r="D615" s="31" t="n">
        <v>0.3</v>
      </c>
      <c r="E615" s="27" t="inlineStr">
        <is>
          <t>ON 10%/1M 50%/2M 10%/3M 30%</t>
        </is>
      </c>
      <c r="F615" s="27" t="n">
        <v>100</v>
      </c>
      <c r="G615" s="27">
        <f>A615*$B$7&gt;=$B$9</f>
        <v/>
      </c>
      <c r="H615" s="13">
        <f>$B$7*(A615*E$71+B615*F$71+C615*G$71+D615*H$71)+F615/100*$B$7*J$71-$C$71</f>
        <v/>
      </c>
      <c r="I615" s="13">
        <f>$B$7*(A615*L$71+B615*M$71+C615*N$71+D615*O$71)+F615/100*$B$7*Q$71-$C$71</f>
        <v/>
      </c>
      <c r="J615" s="13">
        <f>$B$7*(A615*S$71+B615*T$71+C615*U$71+D615*V$71)+F615/100*$B$7*X$71-$C$71</f>
        <v/>
      </c>
      <c r="K615" s="13">
        <f>$B$7*(A615*Z$71+B615*AA$71+C615*AB$71+D615*AC$71)+F615/100*$B$7*AE$71-$C$71</f>
        <v/>
      </c>
      <c r="L615" s="13">
        <f>$B$7*(A615*AG$71+B615*AH$71+C615*AI$71+D615*AJ$71)+F615/100*$B$7*AL$71-$C$71</f>
        <v/>
      </c>
      <c r="M615" s="13">
        <f>$B$7*(A615*AN$71+B615*AO$71+C615*AP$71+D615*AQ$71)+F615/100*$B$7*AS$71-$C$71</f>
        <v/>
      </c>
      <c r="N615" s="13">
        <f>SUMPRODUCT($H$24:$M$24,H615:M615)</f>
        <v/>
      </c>
      <c r="O615" s="14">
        <f>SQRT(SUMPRODUCT($H$24:$M$24,(H615:M615-N615)^2))</f>
        <v/>
      </c>
      <c r="P615" s="13">
        <f>MIN(H615:M615)</f>
        <v/>
      </c>
      <c r="Q615" s="13">
        <f>MAX(H615:M615)</f>
        <v/>
      </c>
      <c r="R615" s="27">
        <f>IF(G615,SUMPRODUCT(($G$76:$G$1505)*($N$76:$N$1505&gt;=N615)*($O$76:$O$1505&lt;=O615))=1,FALSE)</f>
        <v/>
      </c>
      <c r="S615" s="16">
        <f>IF(R615,ABS((O615-$AC$76)/MAX(0.0001,$AC$77-$AC$76)-(N615-$AC$78)/MAX(0.0001,$AC$79-$AC$78)),-1)</f>
        <v/>
      </c>
      <c r="T615" s="14">
        <f>IF(G615,O615,NA())</f>
        <v/>
      </c>
      <c r="U615" s="13">
        <f>IF(G615,N615,NA())</f>
        <v/>
      </c>
      <c r="V615" s="14">
        <f>IF(R615,O615,NA())</f>
        <v/>
      </c>
      <c r="W615" s="13">
        <f>IF(R615,N615,NA())</f>
        <v/>
      </c>
      <c r="X615" s="27">
        <f>IF(G615,P615,"")</f>
        <v/>
      </c>
      <c r="Y615" s="27">
        <f>IF(G615,N615,"")</f>
        <v/>
      </c>
      <c r="Z615" s="27">
        <f>IF(R615,O615,"")</f>
        <v/>
      </c>
      <c r="AA615" s="27">
        <f>IF(R615,N615,"")</f>
        <v/>
      </c>
    </row>
    <row r="616">
      <c r="A616" s="31" t="n">
        <v>0.1</v>
      </c>
      <c r="B616" s="31" t="n">
        <v>0.5</v>
      </c>
      <c r="C616" s="31" t="n">
        <v>0.2</v>
      </c>
      <c r="D616" s="31" t="n">
        <v>0.2</v>
      </c>
      <c r="E616" s="27" t="inlineStr">
        <is>
          <t>ON 10%/1M 50%/2M 20%/3M 20%</t>
        </is>
      </c>
      <c r="F616" s="27" t="n">
        <v>0</v>
      </c>
      <c r="G616" s="27">
        <f>A616*$B$7&gt;=$B$9</f>
        <v/>
      </c>
      <c r="H616" s="13">
        <f>$B$7*(A616*E$71+B616*F$71+C616*G$71+D616*H$71)+F616/100*$B$7*J$71-$C$71</f>
        <v/>
      </c>
      <c r="I616" s="13">
        <f>$B$7*(A616*L$71+B616*M$71+C616*N$71+D616*O$71)+F616/100*$B$7*Q$71-$C$71</f>
        <v/>
      </c>
      <c r="J616" s="13">
        <f>$B$7*(A616*S$71+B616*T$71+C616*U$71+D616*V$71)+F616/100*$B$7*X$71-$C$71</f>
        <v/>
      </c>
      <c r="K616" s="13">
        <f>$B$7*(A616*Z$71+B616*AA$71+C616*AB$71+D616*AC$71)+F616/100*$B$7*AE$71-$C$71</f>
        <v/>
      </c>
      <c r="L616" s="13">
        <f>$B$7*(A616*AG$71+B616*AH$71+C616*AI$71+D616*AJ$71)+F616/100*$B$7*AL$71-$C$71</f>
        <v/>
      </c>
      <c r="M616" s="13">
        <f>$B$7*(A616*AN$71+B616*AO$71+C616*AP$71+D616*AQ$71)+F616/100*$B$7*AS$71-$C$71</f>
        <v/>
      </c>
      <c r="N616" s="13">
        <f>SUMPRODUCT($H$24:$M$24,H616:M616)</f>
        <v/>
      </c>
      <c r="O616" s="14">
        <f>SQRT(SUMPRODUCT($H$24:$M$24,(H616:M616-N616)^2))</f>
        <v/>
      </c>
      <c r="P616" s="13">
        <f>MIN(H616:M616)</f>
        <v/>
      </c>
      <c r="Q616" s="13">
        <f>MAX(H616:M616)</f>
        <v/>
      </c>
      <c r="R616" s="27">
        <f>IF(G616,SUMPRODUCT(($G$76:$G$1505)*($N$76:$N$1505&gt;=N616)*($O$76:$O$1505&lt;=O616))=1,FALSE)</f>
        <v/>
      </c>
      <c r="S616" s="16">
        <f>IF(R616,ABS((O616-$AC$76)/MAX(0.0001,$AC$77-$AC$76)-(N616-$AC$78)/MAX(0.0001,$AC$79-$AC$78)),-1)</f>
        <v/>
      </c>
      <c r="T616" s="14">
        <f>IF(G616,O616,NA())</f>
        <v/>
      </c>
      <c r="U616" s="13">
        <f>IF(G616,N616,NA())</f>
        <v/>
      </c>
      <c r="V616" s="14">
        <f>IF(R616,O616,NA())</f>
        <v/>
      </c>
      <c r="W616" s="13">
        <f>IF(R616,N616,NA())</f>
        <v/>
      </c>
      <c r="X616" s="27">
        <f>IF(G616,P616,"")</f>
        <v/>
      </c>
      <c r="Y616" s="27">
        <f>IF(G616,N616,"")</f>
        <v/>
      </c>
      <c r="Z616" s="27">
        <f>IF(R616,O616,"")</f>
        <v/>
      </c>
      <c r="AA616" s="27">
        <f>IF(R616,N616,"")</f>
        <v/>
      </c>
    </row>
    <row r="617">
      <c r="A617" s="31" t="n">
        <v>0.1</v>
      </c>
      <c r="B617" s="31" t="n">
        <v>0.5</v>
      </c>
      <c r="C617" s="31" t="n">
        <v>0.2</v>
      </c>
      <c r="D617" s="31" t="n">
        <v>0.2</v>
      </c>
      <c r="E617" s="27" t="inlineStr">
        <is>
          <t>ON 10%/1M 50%/2M 20%/3M 20%</t>
        </is>
      </c>
      <c r="F617" s="27" t="n">
        <v>25</v>
      </c>
      <c r="G617" s="27">
        <f>A617*$B$7&gt;=$B$9</f>
        <v/>
      </c>
      <c r="H617" s="13">
        <f>$B$7*(A617*E$71+B617*F$71+C617*G$71+D617*H$71)+F617/100*$B$7*J$71-$C$71</f>
        <v/>
      </c>
      <c r="I617" s="13">
        <f>$B$7*(A617*L$71+B617*M$71+C617*N$71+D617*O$71)+F617/100*$B$7*Q$71-$C$71</f>
        <v/>
      </c>
      <c r="J617" s="13">
        <f>$B$7*(A617*S$71+B617*T$71+C617*U$71+D617*V$71)+F617/100*$B$7*X$71-$C$71</f>
        <v/>
      </c>
      <c r="K617" s="13">
        <f>$B$7*(A617*Z$71+B617*AA$71+C617*AB$71+D617*AC$71)+F617/100*$B$7*AE$71-$C$71</f>
        <v/>
      </c>
      <c r="L617" s="13">
        <f>$B$7*(A617*AG$71+B617*AH$71+C617*AI$71+D617*AJ$71)+F617/100*$B$7*AL$71-$C$71</f>
        <v/>
      </c>
      <c r="M617" s="13">
        <f>$B$7*(A617*AN$71+B617*AO$71+C617*AP$71+D617*AQ$71)+F617/100*$B$7*AS$71-$C$71</f>
        <v/>
      </c>
      <c r="N617" s="13">
        <f>SUMPRODUCT($H$24:$M$24,H617:M617)</f>
        <v/>
      </c>
      <c r="O617" s="14">
        <f>SQRT(SUMPRODUCT($H$24:$M$24,(H617:M617-N617)^2))</f>
        <v/>
      </c>
      <c r="P617" s="13">
        <f>MIN(H617:M617)</f>
        <v/>
      </c>
      <c r="Q617" s="13">
        <f>MAX(H617:M617)</f>
        <v/>
      </c>
      <c r="R617" s="27">
        <f>IF(G617,SUMPRODUCT(($G$76:$G$1505)*($N$76:$N$1505&gt;=N617)*($O$76:$O$1505&lt;=O617))=1,FALSE)</f>
        <v/>
      </c>
      <c r="S617" s="16">
        <f>IF(R617,ABS((O617-$AC$76)/MAX(0.0001,$AC$77-$AC$76)-(N617-$AC$78)/MAX(0.0001,$AC$79-$AC$78)),-1)</f>
        <v/>
      </c>
      <c r="T617" s="14">
        <f>IF(G617,O617,NA())</f>
        <v/>
      </c>
      <c r="U617" s="13">
        <f>IF(G617,N617,NA())</f>
        <v/>
      </c>
      <c r="V617" s="14">
        <f>IF(R617,O617,NA())</f>
        <v/>
      </c>
      <c r="W617" s="13">
        <f>IF(R617,N617,NA())</f>
        <v/>
      </c>
      <c r="X617" s="27">
        <f>IF(G617,P617,"")</f>
        <v/>
      </c>
      <c r="Y617" s="27">
        <f>IF(G617,N617,"")</f>
        <v/>
      </c>
      <c r="Z617" s="27">
        <f>IF(R617,O617,"")</f>
        <v/>
      </c>
      <c r="AA617" s="27">
        <f>IF(R617,N617,"")</f>
        <v/>
      </c>
    </row>
    <row r="618">
      <c r="A618" s="31" t="n">
        <v>0.1</v>
      </c>
      <c r="B618" s="31" t="n">
        <v>0.5</v>
      </c>
      <c r="C618" s="31" t="n">
        <v>0.2</v>
      </c>
      <c r="D618" s="31" t="n">
        <v>0.2</v>
      </c>
      <c r="E618" s="27" t="inlineStr">
        <is>
          <t>ON 10%/1M 50%/2M 20%/3M 20%</t>
        </is>
      </c>
      <c r="F618" s="27" t="n">
        <v>50</v>
      </c>
      <c r="G618" s="27">
        <f>A618*$B$7&gt;=$B$9</f>
        <v/>
      </c>
      <c r="H618" s="13">
        <f>$B$7*(A618*E$71+B618*F$71+C618*G$71+D618*H$71)+F618/100*$B$7*J$71-$C$71</f>
        <v/>
      </c>
      <c r="I618" s="13">
        <f>$B$7*(A618*L$71+B618*M$71+C618*N$71+D618*O$71)+F618/100*$B$7*Q$71-$C$71</f>
        <v/>
      </c>
      <c r="J618" s="13">
        <f>$B$7*(A618*S$71+B618*T$71+C618*U$71+D618*V$71)+F618/100*$B$7*X$71-$C$71</f>
        <v/>
      </c>
      <c r="K618" s="13">
        <f>$B$7*(A618*Z$71+B618*AA$71+C618*AB$71+D618*AC$71)+F618/100*$B$7*AE$71-$C$71</f>
        <v/>
      </c>
      <c r="L618" s="13">
        <f>$B$7*(A618*AG$71+B618*AH$71+C618*AI$71+D618*AJ$71)+F618/100*$B$7*AL$71-$C$71</f>
        <v/>
      </c>
      <c r="M618" s="13">
        <f>$B$7*(A618*AN$71+B618*AO$71+C618*AP$71+D618*AQ$71)+F618/100*$B$7*AS$71-$C$71</f>
        <v/>
      </c>
      <c r="N618" s="13">
        <f>SUMPRODUCT($H$24:$M$24,H618:M618)</f>
        <v/>
      </c>
      <c r="O618" s="14">
        <f>SQRT(SUMPRODUCT($H$24:$M$24,(H618:M618-N618)^2))</f>
        <v/>
      </c>
      <c r="P618" s="13">
        <f>MIN(H618:M618)</f>
        <v/>
      </c>
      <c r="Q618" s="13">
        <f>MAX(H618:M618)</f>
        <v/>
      </c>
      <c r="R618" s="27">
        <f>IF(G618,SUMPRODUCT(($G$76:$G$1505)*($N$76:$N$1505&gt;=N618)*($O$76:$O$1505&lt;=O618))=1,FALSE)</f>
        <v/>
      </c>
      <c r="S618" s="16">
        <f>IF(R618,ABS((O618-$AC$76)/MAX(0.0001,$AC$77-$AC$76)-(N618-$AC$78)/MAX(0.0001,$AC$79-$AC$78)),-1)</f>
        <v/>
      </c>
      <c r="T618" s="14">
        <f>IF(G618,O618,NA())</f>
        <v/>
      </c>
      <c r="U618" s="13">
        <f>IF(G618,N618,NA())</f>
        <v/>
      </c>
      <c r="V618" s="14">
        <f>IF(R618,O618,NA())</f>
        <v/>
      </c>
      <c r="W618" s="13">
        <f>IF(R618,N618,NA())</f>
        <v/>
      </c>
      <c r="X618" s="27">
        <f>IF(G618,P618,"")</f>
        <v/>
      </c>
      <c r="Y618" s="27">
        <f>IF(G618,N618,"")</f>
        <v/>
      </c>
      <c r="Z618" s="27">
        <f>IF(R618,O618,"")</f>
        <v/>
      </c>
      <c r="AA618" s="27">
        <f>IF(R618,N618,"")</f>
        <v/>
      </c>
    </row>
    <row r="619">
      <c r="A619" s="31" t="n">
        <v>0.1</v>
      </c>
      <c r="B619" s="31" t="n">
        <v>0.5</v>
      </c>
      <c r="C619" s="31" t="n">
        <v>0.2</v>
      </c>
      <c r="D619" s="31" t="n">
        <v>0.2</v>
      </c>
      <c r="E619" s="27" t="inlineStr">
        <is>
          <t>ON 10%/1M 50%/2M 20%/3M 20%</t>
        </is>
      </c>
      <c r="F619" s="27" t="n">
        <v>75</v>
      </c>
      <c r="G619" s="27">
        <f>A619*$B$7&gt;=$B$9</f>
        <v/>
      </c>
      <c r="H619" s="13">
        <f>$B$7*(A619*E$71+B619*F$71+C619*G$71+D619*H$71)+F619/100*$B$7*J$71-$C$71</f>
        <v/>
      </c>
      <c r="I619" s="13">
        <f>$B$7*(A619*L$71+B619*M$71+C619*N$71+D619*O$71)+F619/100*$B$7*Q$71-$C$71</f>
        <v/>
      </c>
      <c r="J619" s="13">
        <f>$B$7*(A619*S$71+B619*T$71+C619*U$71+D619*V$71)+F619/100*$B$7*X$71-$C$71</f>
        <v/>
      </c>
      <c r="K619" s="13">
        <f>$B$7*(A619*Z$71+B619*AA$71+C619*AB$71+D619*AC$71)+F619/100*$B$7*AE$71-$C$71</f>
        <v/>
      </c>
      <c r="L619" s="13">
        <f>$B$7*(A619*AG$71+B619*AH$71+C619*AI$71+D619*AJ$71)+F619/100*$B$7*AL$71-$C$71</f>
        <v/>
      </c>
      <c r="M619" s="13">
        <f>$B$7*(A619*AN$71+B619*AO$71+C619*AP$71+D619*AQ$71)+F619/100*$B$7*AS$71-$C$71</f>
        <v/>
      </c>
      <c r="N619" s="13">
        <f>SUMPRODUCT($H$24:$M$24,H619:M619)</f>
        <v/>
      </c>
      <c r="O619" s="14">
        <f>SQRT(SUMPRODUCT($H$24:$M$24,(H619:M619-N619)^2))</f>
        <v/>
      </c>
      <c r="P619" s="13">
        <f>MIN(H619:M619)</f>
        <v/>
      </c>
      <c r="Q619" s="13">
        <f>MAX(H619:M619)</f>
        <v/>
      </c>
      <c r="R619" s="27">
        <f>IF(G619,SUMPRODUCT(($G$76:$G$1505)*($N$76:$N$1505&gt;=N619)*($O$76:$O$1505&lt;=O619))=1,FALSE)</f>
        <v/>
      </c>
      <c r="S619" s="16">
        <f>IF(R619,ABS((O619-$AC$76)/MAX(0.0001,$AC$77-$AC$76)-(N619-$AC$78)/MAX(0.0001,$AC$79-$AC$78)),-1)</f>
        <v/>
      </c>
      <c r="T619" s="14">
        <f>IF(G619,O619,NA())</f>
        <v/>
      </c>
      <c r="U619" s="13">
        <f>IF(G619,N619,NA())</f>
        <v/>
      </c>
      <c r="V619" s="14">
        <f>IF(R619,O619,NA())</f>
        <v/>
      </c>
      <c r="W619" s="13">
        <f>IF(R619,N619,NA())</f>
        <v/>
      </c>
      <c r="X619" s="27">
        <f>IF(G619,P619,"")</f>
        <v/>
      </c>
      <c r="Y619" s="27">
        <f>IF(G619,N619,"")</f>
        <v/>
      </c>
      <c r="Z619" s="27">
        <f>IF(R619,O619,"")</f>
        <v/>
      </c>
      <c r="AA619" s="27">
        <f>IF(R619,N619,"")</f>
        <v/>
      </c>
    </row>
    <row r="620">
      <c r="A620" s="31" t="n">
        <v>0.1</v>
      </c>
      <c r="B620" s="31" t="n">
        <v>0.5</v>
      </c>
      <c r="C620" s="31" t="n">
        <v>0.2</v>
      </c>
      <c r="D620" s="31" t="n">
        <v>0.2</v>
      </c>
      <c r="E620" s="27" t="inlineStr">
        <is>
          <t>ON 10%/1M 50%/2M 20%/3M 20%</t>
        </is>
      </c>
      <c r="F620" s="27" t="n">
        <v>100</v>
      </c>
      <c r="G620" s="27">
        <f>A620*$B$7&gt;=$B$9</f>
        <v/>
      </c>
      <c r="H620" s="13">
        <f>$B$7*(A620*E$71+B620*F$71+C620*G$71+D620*H$71)+F620/100*$B$7*J$71-$C$71</f>
        <v/>
      </c>
      <c r="I620" s="13">
        <f>$B$7*(A620*L$71+B620*M$71+C620*N$71+D620*O$71)+F620/100*$B$7*Q$71-$C$71</f>
        <v/>
      </c>
      <c r="J620" s="13">
        <f>$B$7*(A620*S$71+B620*T$71+C620*U$71+D620*V$71)+F620/100*$B$7*X$71-$C$71</f>
        <v/>
      </c>
      <c r="K620" s="13">
        <f>$B$7*(A620*Z$71+B620*AA$71+C620*AB$71+D620*AC$71)+F620/100*$B$7*AE$71-$C$71</f>
        <v/>
      </c>
      <c r="L620" s="13">
        <f>$B$7*(A620*AG$71+B620*AH$71+C620*AI$71+D620*AJ$71)+F620/100*$B$7*AL$71-$C$71</f>
        <v/>
      </c>
      <c r="M620" s="13">
        <f>$B$7*(A620*AN$71+B620*AO$71+C620*AP$71+D620*AQ$71)+F620/100*$B$7*AS$71-$C$71</f>
        <v/>
      </c>
      <c r="N620" s="13">
        <f>SUMPRODUCT($H$24:$M$24,H620:M620)</f>
        <v/>
      </c>
      <c r="O620" s="14">
        <f>SQRT(SUMPRODUCT($H$24:$M$24,(H620:M620-N620)^2))</f>
        <v/>
      </c>
      <c r="P620" s="13">
        <f>MIN(H620:M620)</f>
        <v/>
      </c>
      <c r="Q620" s="13">
        <f>MAX(H620:M620)</f>
        <v/>
      </c>
      <c r="R620" s="27">
        <f>IF(G620,SUMPRODUCT(($G$76:$G$1505)*($N$76:$N$1505&gt;=N620)*($O$76:$O$1505&lt;=O620))=1,FALSE)</f>
        <v/>
      </c>
      <c r="S620" s="16">
        <f>IF(R620,ABS((O620-$AC$76)/MAX(0.0001,$AC$77-$AC$76)-(N620-$AC$78)/MAX(0.0001,$AC$79-$AC$78)),-1)</f>
        <v/>
      </c>
      <c r="T620" s="14">
        <f>IF(G620,O620,NA())</f>
        <v/>
      </c>
      <c r="U620" s="13">
        <f>IF(G620,N620,NA())</f>
        <v/>
      </c>
      <c r="V620" s="14">
        <f>IF(R620,O620,NA())</f>
        <v/>
      </c>
      <c r="W620" s="13">
        <f>IF(R620,N620,NA())</f>
        <v/>
      </c>
      <c r="X620" s="27">
        <f>IF(G620,P620,"")</f>
        <v/>
      </c>
      <c r="Y620" s="27">
        <f>IF(G620,N620,"")</f>
        <v/>
      </c>
      <c r="Z620" s="27">
        <f>IF(R620,O620,"")</f>
        <v/>
      </c>
      <c r="AA620" s="27">
        <f>IF(R620,N620,"")</f>
        <v/>
      </c>
    </row>
    <row r="621">
      <c r="A621" s="31" t="n">
        <v>0.1</v>
      </c>
      <c r="B621" s="31" t="n">
        <v>0.5</v>
      </c>
      <c r="C621" s="31" t="n">
        <v>0.3</v>
      </c>
      <c r="D621" s="31" t="n">
        <v>0.1</v>
      </c>
      <c r="E621" s="27" t="inlineStr">
        <is>
          <t>ON 10%/1M 50%/2M 30%/3M 10%</t>
        </is>
      </c>
      <c r="F621" s="27" t="n">
        <v>0</v>
      </c>
      <c r="G621" s="27">
        <f>A621*$B$7&gt;=$B$9</f>
        <v/>
      </c>
      <c r="H621" s="13">
        <f>$B$7*(A621*E$71+B621*F$71+C621*G$71+D621*H$71)+F621/100*$B$7*J$71-$C$71</f>
        <v/>
      </c>
      <c r="I621" s="13">
        <f>$B$7*(A621*L$71+B621*M$71+C621*N$71+D621*O$71)+F621/100*$B$7*Q$71-$C$71</f>
        <v/>
      </c>
      <c r="J621" s="13">
        <f>$B$7*(A621*S$71+B621*T$71+C621*U$71+D621*V$71)+F621/100*$B$7*X$71-$C$71</f>
        <v/>
      </c>
      <c r="K621" s="13">
        <f>$B$7*(A621*Z$71+B621*AA$71+C621*AB$71+D621*AC$71)+F621/100*$B$7*AE$71-$C$71</f>
        <v/>
      </c>
      <c r="L621" s="13">
        <f>$B$7*(A621*AG$71+B621*AH$71+C621*AI$71+D621*AJ$71)+F621/100*$B$7*AL$71-$C$71</f>
        <v/>
      </c>
      <c r="M621" s="13">
        <f>$B$7*(A621*AN$71+B621*AO$71+C621*AP$71+D621*AQ$71)+F621/100*$B$7*AS$71-$C$71</f>
        <v/>
      </c>
      <c r="N621" s="13">
        <f>SUMPRODUCT($H$24:$M$24,H621:M621)</f>
        <v/>
      </c>
      <c r="O621" s="14">
        <f>SQRT(SUMPRODUCT($H$24:$M$24,(H621:M621-N621)^2))</f>
        <v/>
      </c>
      <c r="P621" s="13">
        <f>MIN(H621:M621)</f>
        <v/>
      </c>
      <c r="Q621" s="13">
        <f>MAX(H621:M621)</f>
        <v/>
      </c>
      <c r="R621" s="27">
        <f>IF(G621,SUMPRODUCT(($G$76:$G$1505)*($N$76:$N$1505&gt;=N621)*($O$76:$O$1505&lt;=O621))=1,FALSE)</f>
        <v/>
      </c>
      <c r="S621" s="16">
        <f>IF(R621,ABS((O621-$AC$76)/MAX(0.0001,$AC$77-$AC$76)-(N621-$AC$78)/MAX(0.0001,$AC$79-$AC$78)),-1)</f>
        <v/>
      </c>
      <c r="T621" s="14">
        <f>IF(G621,O621,NA())</f>
        <v/>
      </c>
      <c r="U621" s="13">
        <f>IF(G621,N621,NA())</f>
        <v/>
      </c>
      <c r="V621" s="14">
        <f>IF(R621,O621,NA())</f>
        <v/>
      </c>
      <c r="W621" s="13">
        <f>IF(R621,N621,NA())</f>
        <v/>
      </c>
      <c r="X621" s="27">
        <f>IF(G621,P621,"")</f>
        <v/>
      </c>
      <c r="Y621" s="27">
        <f>IF(G621,N621,"")</f>
        <v/>
      </c>
      <c r="Z621" s="27">
        <f>IF(R621,O621,"")</f>
        <v/>
      </c>
      <c r="AA621" s="27">
        <f>IF(R621,N621,"")</f>
        <v/>
      </c>
    </row>
    <row r="622">
      <c r="A622" s="31" t="n">
        <v>0.1</v>
      </c>
      <c r="B622" s="31" t="n">
        <v>0.5</v>
      </c>
      <c r="C622" s="31" t="n">
        <v>0.3</v>
      </c>
      <c r="D622" s="31" t="n">
        <v>0.1</v>
      </c>
      <c r="E622" s="27" t="inlineStr">
        <is>
          <t>ON 10%/1M 50%/2M 30%/3M 10%</t>
        </is>
      </c>
      <c r="F622" s="27" t="n">
        <v>25</v>
      </c>
      <c r="G622" s="27">
        <f>A622*$B$7&gt;=$B$9</f>
        <v/>
      </c>
      <c r="H622" s="13">
        <f>$B$7*(A622*E$71+B622*F$71+C622*G$71+D622*H$71)+F622/100*$B$7*J$71-$C$71</f>
        <v/>
      </c>
      <c r="I622" s="13">
        <f>$B$7*(A622*L$71+B622*M$71+C622*N$71+D622*O$71)+F622/100*$B$7*Q$71-$C$71</f>
        <v/>
      </c>
      <c r="J622" s="13">
        <f>$B$7*(A622*S$71+B622*T$71+C622*U$71+D622*V$71)+F622/100*$B$7*X$71-$C$71</f>
        <v/>
      </c>
      <c r="K622" s="13">
        <f>$B$7*(A622*Z$71+B622*AA$71+C622*AB$71+D622*AC$71)+F622/100*$B$7*AE$71-$C$71</f>
        <v/>
      </c>
      <c r="L622" s="13">
        <f>$B$7*(A622*AG$71+B622*AH$71+C622*AI$71+D622*AJ$71)+F622/100*$B$7*AL$71-$C$71</f>
        <v/>
      </c>
      <c r="M622" s="13">
        <f>$B$7*(A622*AN$71+B622*AO$71+C622*AP$71+D622*AQ$71)+F622/100*$B$7*AS$71-$C$71</f>
        <v/>
      </c>
      <c r="N622" s="13">
        <f>SUMPRODUCT($H$24:$M$24,H622:M622)</f>
        <v/>
      </c>
      <c r="O622" s="14">
        <f>SQRT(SUMPRODUCT($H$24:$M$24,(H622:M622-N622)^2))</f>
        <v/>
      </c>
      <c r="P622" s="13">
        <f>MIN(H622:M622)</f>
        <v/>
      </c>
      <c r="Q622" s="13">
        <f>MAX(H622:M622)</f>
        <v/>
      </c>
      <c r="R622" s="27">
        <f>IF(G622,SUMPRODUCT(($G$76:$G$1505)*($N$76:$N$1505&gt;=N622)*($O$76:$O$1505&lt;=O622))=1,FALSE)</f>
        <v/>
      </c>
      <c r="S622" s="16">
        <f>IF(R622,ABS((O622-$AC$76)/MAX(0.0001,$AC$77-$AC$76)-(N622-$AC$78)/MAX(0.0001,$AC$79-$AC$78)),-1)</f>
        <v/>
      </c>
      <c r="T622" s="14">
        <f>IF(G622,O622,NA())</f>
        <v/>
      </c>
      <c r="U622" s="13">
        <f>IF(G622,N622,NA())</f>
        <v/>
      </c>
      <c r="V622" s="14">
        <f>IF(R622,O622,NA())</f>
        <v/>
      </c>
      <c r="W622" s="13">
        <f>IF(R622,N622,NA())</f>
        <v/>
      </c>
      <c r="X622" s="27">
        <f>IF(G622,P622,"")</f>
        <v/>
      </c>
      <c r="Y622" s="27">
        <f>IF(G622,N622,"")</f>
        <v/>
      </c>
      <c r="Z622" s="27">
        <f>IF(R622,O622,"")</f>
        <v/>
      </c>
      <c r="AA622" s="27">
        <f>IF(R622,N622,"")</f>
        <v/>
      </c>
    </row>
    <row r="623">
      <c r="A623" s="31" t="n">
        <v>0.1</v>
      </c>
      <c r="B623" s="31" t="n">
        <v>0.5</v>
      </c>
      <c r="C623" s="31" t="n">
        <v>0.3</v>
      </c>
      <c r="D623" s="31" t="n">
        <v>0.1</v>
      </c>
      <c r="E623" s="27" t="inlineStr">
        <is>
          <t>ON 10%/1M 50%/2M 30%/3M 10%</t>
        </is>
      </c>
      <c r="F623" s="27" t="n">
        <v>50</v>
      </c>
      <c r="G623" s="27">
        <f>A623*$B$7&gt;=$B$9</f>
        <v/>
      </c>
      <c r="H623" s="13">
        <f>$B$7*(A623*E$71+B623*F$71+C623*G$71+D623*H$71)+F623/100*$B$7*J$71-$C$71</f>
        <v/>
      </c>
      <c r="I623" s="13">
        <f>$B$7*(A623*L$71+B623*M$71+C623*N$71+D623*O$71)+F623/100*$B$7*Q$71-$C$71</f>
        <v/>
      </c>
      <c r="J623" s="13">
        <f>$B$7*(A623*S$71+B623*T$71+C623*U$71+D623*V$71)+F623/100*$B$7*X$71-$C$71</f>
        <v/>
      </c>
      <c r="K623" s="13">
        <f>$B$7*(A623*Z$71+B623*AA$71+C623*AB$71+D623*AC$71)+F623/100*$B$7*AE$71-$C$71</f>
        <v/>
      </c>
      <c r="L623" s="13">
        <f>$B$7*(A623*AG$71+B623*AH$71+C623*AI$71+D623*AJ$71)+F623/100*$B$7*AL$71-$C$71</f>
        <v/>
      </c>
      <c r="M623" s="13">
        <f>$B$7*(A623*AN$71+B623*AO$71+C623*AP$71+D623*AQ$71)+F623/100*$B$7*AS$71-$C$71</f>
        <v/>
      </c>
      <c r="N623" s="13">
        <f>SUMPRODUCT($H$24:$M$24,H623:M623)</f>
        <v/>
      </c>
      <c r="O623" s="14">
        <f>SQRT(SUMPRODUCT($H$24:$M$24,(H623:M623-N623)^2))</f>
        <v/>
      </c>
      <c r="P623" s="13">
        <f>MIN(H623:M623)</f>
        <v/>
      </c>
      <c r="Q623" s="13">
        <f>MAX(H623:M623)</f>
        <v/>
      </c>
      <c r="R623" s="27">
        <f>IF(G623,SUMPRODUCT(($G$76:$G$1505)*($N$76:$N$1505&gt;=N623)*($O$76:$O$1505&lt;=O623))=1,FALSE)</f>
        <v/>
      </c>
      <c r="S623" s="16">
        <f>IF(R623,ABS((O623-$AC$76)/MAX(0.0001,$AC$77-$AC$76)-(N623-$AC$78)/MAX(0.0001,$AC$79-$AC$78)),-1)</f>
        <v/>
      </c>
      <c r="T623" s="14">
        <f>IF(G623,O623,NA())</f>
        <v/>
      </c>
      <c r="U623" s="13">
        <f>IF(G623,N623,NA())</f>
        <v/>
      </c>
      <c r="V623" s="14">
        <f>IF(R623,O623,NA())</f>
        <v/>
      </c>
      <c r="W623" s="13">
        <f>IF(R623,N623,NA())</f>
        <v/>
      </c>
      <c r="X623" s="27">
        <f>IF(G623,P623,"")</f>
        <v/>
      </c>
      <c r="Y623" s="27">
        <f>IF(G623,N623,"")</f>
        <v/>
      </c>
      <c r="Z623" s="27">
        <f>IF(R623,O623,"")</f>
        <v/>
      </c>
      <c r="AA623" s="27">
        <f>IF(R623,N623,"")</f>
        <v/>
      </c>
    </row>
    <row r="624">
      <c r="A624" s="31" t="n">
        <v>0.1</v>
      </c>
      <c r="B624" s="31" t="n">
        <v>0.5</v>
      </c>
      <c r="C624" s="31" t="n">
        <v>0.3</v>
      </c>
      <c r="D624" s="31" t="n">
        <v>0.1</v>
      </c>
      <c r="E624" s="27" t="inlineStr">
        <is>
          <t>ON 10%/1M 50%/2M 30%/3M 10%</t>
        </is>
      </c>
      <c r="F624" s="27" t="n">
        <v>75</v>
      </c>
      <c r="G624" s="27">
        <f>A624*$B$7&gt;=$B$9</f>
        <v/>
      </c>
      <c r="H624" s="13">
        <f>$B$7*(A624*E$71+B624*F$71+C624*G$71+D624*H$71)+F624/100*$B$7*J$71-$C$71</f>
        <v/>
      </c>
      <c r="I624" s="13">
        <f>$B$7*(A624*L$71+B624*M$71+C624*N$71+D624*O$71)+F624/100*$B$7*Q$71-$C$71</f>
        <v/>
      </c>
      <c r="J624" s="13">
        <f>$B$7*(A624*S$71+B624*T$71+C624*U$71+D624*V$71)+F624/100*$B$7*X$71-$C$71</f>
        <v/>
      </c>
      <c r="K624" s="13">
        <f>$B$7*(A624*Z$71+B624*AA$71+C624*AB$71+D624*AC$71)+F624/100*$B$7*AE$71-$C$71</f>
        <v/>
      </c>
      <c r="L624" s="13">
        <f>$B$7*(A624*AG$71+B624*AH$71+C624*AI$71+D624*AJ$71)+F624/100*$B$7*AL$71-$C$71</f>
        <v/>
      </c>
      <c r="M624" s="13">
        <f>$B$7*(A624*AN$71+B624*AO$71+C624*AP$71+D624*AQ$71)+F624/100*$B$7*AS$71-$C$71</f>
        <v/>
      </c>
      <c r="N624" s="13">
        <f>SUMPRODUCT($H$24:$M$24,H624:M624)</f>
        <v/>
      </c>
      <c r="O624" s="14">
        <f>SQRT(SUMPRODUCT($H$24:$M$24,(H624:M624-N624)^2))</f>
        <v/>
      </c>
      <c r="P624" s="13">
        <f>MIN(H624:M624)</f>
        <v/>
      </c>
      <c r="Q624" s="13">
        <f>MAX(H624:M624)</f>
        <v/>
      </c>
      <c r="R624" s="27">
        <f>IF(G624,SUMPRODUCT(($G$76:$G$1505)*($N$76:$N$1505&gt;=N624)*($O$76:$O$1505&lt;=O624))=1,FALSE)</f>
        <v/>
      </c>
      <c r="S624" s="16">
        <f>IF(R624,ABS((O624-$AC$76)/MAX(0.0001,$AC$77-$AC$76)-(N624-$AC$78)/MAX(0.0001,$AC$79-$AC$78)),-1)</f>
        <v/>
      </c>
      <c r="T624" s="14">
        <f>IF(G624,O624,NA())</f>
        <v/>
      </c>
      <c r="U624" s="13">
        <f>IF(G624,N624,NA())</f>
        <v/>
      </c>
      <c r="V624" s="14">
        <f>IF(R624,O624,NA())</f>
        <v/>
      </c>
      <c r="W624" s="13">
        <f>IF(R624,N624,NA())</f>
        <v/>
      </c>
      <c r="X624" s="27">
        <f>IF(G624,P624,"")</f>
        <v/>
      </c>
      <c r="Y624" s="27">
        <f>IF(G624,N624,"")</f>
        <v/>
      </c>
      <c r="Z624" s="27">
        <f>IF(R624,O624,"")</f>
        <v/>
      </c>
      <c r="AA624" s="27">
        <f>IF(R624,N624,"")</f>
        <v/>
      </c>
    </row>
    <row r="625">
      <c r="A625" s="31" t="n">
        <v>0.1</v>
      </c>
      <c r="B625" s="31" t="n">
        <v>0.5</v>
      </c>
      <c r="C625" s="31" t="n">
        <v>0.3</v>
      </c>
      <c r="D625" s="31" t="n">
        <v>0.1</v>
      </c>
      <c r="E625" s="27" t="inlineStr">
        <is>
          <t>ON 10%/1M 50%/2M 30%/3M 10%</t>
        </is>
      </c>
      <c r="F625" s="27" t="n">
        <v>100</v>
      </c>
      <c r="G625" s="27">
        <f>A625*$B$7&gt;=$B$9</f>
        <v/>
      </c>
      <c r="H625" s="13">
        <f>$B$7*(A625*E$71+B625*F$71+C625*G$71+D625*H$71)+F625/100*$B$7*J$71-$C$71</f>
        <v/>
      </c>
      <c r="I625" s="13">
        <f>$B$7*(A625*L$71+B625*M$71+C625*N$71+D625*O$71)+F625/100*$B$7*Q$71-$C$71</f>
        <v/>
      </c>
      <c r="J625" s="13">
        <f>$B$7*(A625*S$71+B625*T$71+C625*U$71+D625*V$71)+F625/100*$B$7*X$71-$C$71</f>
        <v/>
      </c>
      <c r="K625" s="13">
        <f>$B$7*(A625*Z$71+B625*AA$71+C625*AB$71+D625*AC$71)+F625/100*$B$7*AE$71-$C$71</f>
        <v/>
      </c>
      <c r="L625" s="13">
        <f>$B$7*(A625*AG$71+B625*AH$71+C625*AI$71+D625*AJ$71)+F625/100*$B$7*AL$71-$C$71</f>
        <v/>
      </c>
      <c r="M625" s="13">
        <f>$B$7*(A625*AN$71+B625*AO$71+C625*AP$71+D625*AQ$71)+F625/100*$B$7*AS$71-$C$71</f>
        <v/>
      </c>
      <c r="N625" s="13">
        <f>SUMPRODUCT($H$24:$M$24,H625:M625)</f>
        <v/>
      </c>
      <c r="O625" s="14">
        <f>SQRT(SUMPRODUCT($H$24:$M$24,(H625:M625-N625)^2))</f>
        <v/>
      </c>
      <c r="P625" s="13">
        <f>MIN(H625:M625)</f>
        <v/>
      </c>
      <c r="Q625" s="13">
        <f>MAX(H625:M625)</f>
        <v/>
      </c>
      <c r="R625" s="27">
        <f>IF(G625,SUMPRODUCT(($G$76:$G$1505)*($N$76:$N$1505&gt;=N625)*($O$76:$O$1505&lt;=O625))=1,FALSE)</f>
        <v/>
      </c>
      <c r="S625" s="16">
        <f>IF(R625,ABS((O625-$AC$76)/MAX(0.0001,$AC$77-$AC$76)-(N625-$AC$78)/MAX(0.0001,$AC$79-$AC$78)),-1)</f>
        <v/>
      </c>
      <c r="T625" s="14">
        <f>IF(G625,O625,NA())</f>
        <v/>
      </c>
      <c r="U625" s="13">
        <f>IF(G625,N625,NA())</f>
        <v/>
      </c>
      <c r="V625" s="14">
        <f>IF(R625,O625,NA())</f>
        <v/>
      </c>
      <c r="W625" s="13">
        <f>IF(R625,N625,NA())</f>
        <v/>
      </c>
      <c r="X625" s="27">
        <f>IF(G625,P625,"")</f>
        <v/>
      </c>
      <c r="Y625" s="27">
        <f>IF(G625,N625,"")</f>
        <v/>
      </c>
      <c r="Z625" s="27">
        <f>IF(R625,O625,"")</f>
        <v/>
      </c>
      <c r="AA625" s="27">
        <f>IF(R625,N625,"")</f>
        <v/>
      </c>
    </row>
    <row r="626">
      <c r="A626" s="31" t="n">
        <v>0.1</v>
      </c>
      <c r="B626" s="31" t="n">
        <v>0.5</v>
      </c>
      <c r="C626" s="31" t="n">
        <v>0.4</v>
      </c>
      <c r="D626" s="31" t="n">
        <v>0</v>
      </c>
      <c r="E626" s="27" t="inlineStr">
        <is>
          <t>ON 10%/1M 50%/2M 40%</t>
        </is>
      </c>
      <c r="F626" s="27" t="n">
        <v>0</v>
      </c>
      <c r="G626" s="27">
        <f>A626*$B$7&gt;=$B$9</f>
        <v/>
      </c>
      <c r="H626" s="13">
        <f>$B$7*(A626*E$71+B626*F$71+C626*G$71+D626*H$71)+F626/100*$B$7*J$71-$C$71</f>
        <v/>
      </c>
      <c r="I626" s="13">
        <f>$B$7*(A626*L$71+B626*M$71+C626*N$71+D626*O$71)+F626/100*$B$7*Q$71-$C$71</f>
        <v/>
      </c>
      <c r="J626" s="13">
        <f>$B$7*(A626*S$71+B626*T$71+C626*U$71+D626*V$71)+F626/100*$B$7*X$71-$C$71</f>
        <v/>
      </c>
      <c r="K626" s="13">
        <f>$B$7*(A626*Z$71+B626*AA$71+C626*AB$71+D626*AC$71)+F626/100*$B$7*AE$71-$C$71</f>
        <v/>
      </c>
      <c r="L626" s="13">
        <f>$B$7*(A626*AG$71+B626*AH$71+C626*AI$71+D626*AJ$71)+F626/100*$B$7*AL$71-$C$71</f>
        <v/>
      </c>
      <c r="M626" s="13">
        <f>$B$7*(A626*AN$71+B626*AO$71+C626*AP$71+D626*AQ$71)+F626/100*$B$7*AS$71-$C$71</f>
        <v/>
      </c>
      <c r="N626" s="13">
        <f>SUMPRODUCT($H$24:$M$24,H626:M626)</f>
        <v/>
      </c>
      <c r="O626" s="14">
        <f>SQRT(SUMPRODUCT($H$24:$M$24,(H626:M626-N626)^2))</f>
        <v/>
      </c>
      <c r="P626" s="13">
        <f>MIN(H626:M626)</f>
        <v/>
      </c>
      <c r="Q626" s="13">
        <f>MAX(H626:M626)</f>
        <v/>
      </c>
      <c r="R626" s="27">
        <f>IF(G626,SUMPRODUCT(($G$76:$G$1505)*($N$76:$N$1505&gt;=N626)*($O$76:$O$1505&lt;=O626))=1,FALSE)</f>
        <v/>
      </c>
      <c r="S626" s="16">
        <f>IF(R626,ABS((O626-$AC$76)/MAX(0.0001,$AC$77-$AC$76)-(N626-$AC$78)/MAX(0.0001,$AC$79-$AC$78)),-1)</f>
        <v/>
      </c>
      <c r="T626" s="14">
        <f>IF(G626,O626,NA())</f>
        <v/>
      </c>
      <c r="U626" s="13">
        <f>IF(G626,N626,NA())</f>
        <v/>
      </c>
      <c r="V626" s="14">
        <f>IF(R626,O626,NA())</f>
        <v/>
      </c>
      <c r="W626" s="13">
        <f>IF(R626,N626,NA())</f>
        <v/>
      </c>
      <c r="X626" s="27">
        <f>IF(G626,P626,"")</f>
        <v/>
      </c>
      <c r="Y626" s="27">
        <f>IF(G626,N626,"")</f>
        <v/>
      </c>
      <c r="Z626" s="27">
        <f>IF(R626,O626,"")</f>
        <v/>
      </c>
      <c r="AA626" s="27">
        <f>IF(R626,N626,"")</f>
        <v/>
      </c>
    </row>
    <row r="627">
      <c r="A627" s="31" t="n">
        <v>0.1</v>
      </c>
      <c r="B627" s="31" t="n">
        <v>0.5</v>
      </c>
      <c r="C627" s="31" t="n">
        <v>0.4</v>
      </c>
      <c r="D627" s="31" t="n">
        <v>0</v>
      </c>
      <c r="E627" s="27" t="inlineStr">
        <is>
          <t>ON 10%/1M 50%/2M 40%</t>
        </is>
      </c>
      <c r="F627" s="27" t="n">
        <v>25</v>
      </c>
      <c r="G627" s="27">
        <f>A627*$B$7&gt;=$B$9</f>
        <v/>
      </c>
      <c r="H627" s="13">
        <f>$B$7*(A627*E$71+B627*F$71+C627*G$71+D627*H$71)+F627/100*$B$7*J$71-$C$71</f>
        <v/>
      </c>
      <c r="I627" s="13">
        <f>$B$7*(A627*L$71+B627*M$71+C627*N$71+D627*O$71)+F627/100*$B$7*Q$71-$C$71</f>
        <v/>
      </c>
      <c r="J627" s="13">
        <f>$B$7*(A627*S$71+B627*T$71+C627*U$71+D627*V$71)+F627/100*$B$7*X$71-$C$71</f>
        <v/>
      </c>
      <c r="K627" s="13">
        <f>$B$7*(A627*Z$71+B627*AA$71+C627*AB$71+D627*AC$71)+F627/100*$B$7*AE$71-$C$71</f>
        <v/>
      </c>
      <c r="L627" s="13">
        <f>$B$7*(A627*AG$71+B627*AH$71+C627*AI$71+D627*AJ$71)+F627/100*$B$7*AL$71-$C$71</f>
        <v/>
      </c>
      <c r="M627" s="13">
        <f>$B$7*(A627*AN$71+B627*AO$71+C627*AP$71+D627*AQ$71)+F627/100*$B$7*AS$71-$C$71</f>
        <v/>
      </c>
      <c r="N627" s="13">
        <f>SUMPRODUCT($H$24:$M$24,H627:M627)</f>
        <v/>
      </c>
      <c r="O627" s="14">
        <f>SQRT(SUMPRODUCT($H$24:$M$24,(H627:M627-N627)^2))</f>
        <v/>
      </c>
      <c r="P627" s="13">
        <f>MIN(H627:M627)</f>
        <v/>
      </c>
      <c r="Q627" s="13">
        <f>MAX(H627:M627)</f>
        <v/>
      </c>
      <c r="R627" s="27">
        <f>IF(G627,SUMPRODUCT(($G$76:$G$1505)*($N$76:$N$1505&gt;=N627)*($O$76:$O$1505&lt;=O627))=1,FALSE)</f>
        <v/>
      </c>
      <c r="S627" s="16">
        <f>IF(R627,ABS((O627-$AC$76)/MAX(0.0001,$AC$77-$AC$76)-(N627-$AC$78)/MAX(0.0001,$AC$79-$AC$78)),-1)</f>
        <v/>
      </c>
      <c r="T627" s="14">
        <f>IF(G627,O627,NA())</f>
        <v/>
      </c>
      <c r="U627" s="13">
        <f>IF(G627,N627,NA())</f>
        <v/>
      </c>
      <c r="V627" s="14">
        <f>IF(R627,O627,NA())</f>
        <v/>
      </c>
      <c r="W627" s="13">
        <f>IF(R627,N627,NA())</f>
        <v/>
      </c>
      <c r="X627" s="27">
        <f>IF(G627,P627,"")</f>
        <v/>
      </c>
      <c r="Y627" s="27">
        <f>IF(G627,N627,"")</f>
        <v/>
      </c>
      <c r="Z627" s="27">
        <f>IF(R627,O627,"")</f>
        <v/>
      </c>
      <c r="AA627" s="27">
        <f>IF(R627,N627,"")</f>
        <v/>
      </c>
    </row>
    <row r="628">
      <c r="A628" s="31" t="n">
        <v>0.1</v>
      </c>
      <c r="B628" s="31" t="n">
        <v>0.5</v>
      </c>
      <c r="C628" s="31" t="n">
        <v>0.4</v>
      </c>
      <c r="D628" s="31" t="n">
        <v>0</v>
      </c>
      <c r="E628" s="27" t="inlineStr">
        <is>
          <t>ON 10%/1M 50%/2M 40%</t>
        </is>
      </c>
      <c r="F628" s="27" t="n">
        <v>50</v>
      </c>
      <c r="G628" s="27">
        <f>A628*$B$7&gt;=$B$9</f>
        <v/>
      </c>
      <c r="H628" s="13">
        <f>$B$7*(A628*E$71+B628*F$71+C628*G$71+D628*H$71)+F628/100*$B$7*J$71-$C$71</f>
        <v/>
      </c>
      <c r="I628" s="13">
        <f>$B$7*(A628*L$71+B628*M$71+C628*N$71+D628*O$71)+F628/100*$B$7*Q$71-$C$71</f>
        <v/>
      </c>
      <c r="J628" s="13">
        <f>$B$7*(A628*S$71+B628*T$71+C628*U$71+D628*V$71)+F628/100*$B$7*X$71-$C$71</f>
        <v/>
      </c>
      <c r="K628" s="13">
        <f>$B$7*(A628*Z$71+B628*AA$71+C628*AB$71+D628*AC$71)+F628/100*$B$7*AE$71-$C$71</f>
        <v/>
      </c>
      <c r="L628" s="13">
        <f>$B$7*(A628*AG$71+B628*AH$71+C628*AI$71+D628*AJ$71)+F628/100*$B$7*AL$71-$C$71</f>
        <v/>
      </c>
      <c r="M628" s="13">
        <f>$B$7*(A628*AN$71+B628*AO$71+C628*AP$71+D628*AQ$71)+F628/100*$B$7*AS$71-$C$71</f>
        <v/>
      </c>
      <c r="N628" s="13">
        <f>SUMPRODUCT($H$24:$M$24,H628:M628)</f>
        <v/>
      </c>
      <c r="O628" s="14">
        <f>SQRT(SUMPRODUCT($H$24:$M$24,(H628:M628-N628)^2))</f>
        <v/>
      </c>
      <c r="P628" s="13">
        <f>MIN(H628:M628)</f>
        <v/>
      </c>
      <c r="Q628" s="13">
        <f>MAX(H628:M628)</f>
        <v/>
      </c>
      <c r="R628" s="27">
        <f>IF(G628,SUMPRODUCT(($G$76:$G$1505)*($N$76:$N$1505&gt;=N628)*($O$76:$O$1505&lt;=O628))=1,FALSE)</f>
        <v/>
      </c>
      <c r="S628" s="16">
        <f>IF(R628,ABS((O628-$AC$76)/MAX(0.0001,$AC$77-$AC$76)-(N628-$AC$78)/MAX(0.0001,$AC$79-$AC$78)),-1)</f>
        <v/>
      </c>
      <c r="T628" s="14">
        <f>IF(G628,O628,NA())</f>
        <v/>
      </c>
      <c r="U628" s="13">
        <f>IF(G628,N628,NA())</f>
        <v/>
      </c>
      <c r="V628" s="14">
        <f>IF(R628,O628,NA())</f>
        <v/>
      </c>
      <c r="W628" s="13">
        <f>IF(R628,N628,NA())</f>
        <v/>
      </c>
      <c r="X628" s="27">
        <f>IF(G628,P628,"")</f>
        <v/>
      </c>
      <c r="Y628" s="27">
        <f>IF(G628,N628,"")</f>
        <v/>
      </c>
      <c r="Z628" s="27">
        <f>IF(R628,O628,"")</f>
        <v/>
      </c>
      <c r="AA628" s="27">
        <f>IF(R628,N628,"")</f>
        <v/>
      </c>
    </row>
    <row r="629">
      <c r="A629" s="31" t="n">
        <v>0.1</v>
      </c>
      <c r="B629" s="31" t="n">
        <v>0.5</v>
      </c>
      <c r="C629" s="31" t="n">
        <v>0.4</v>
      </c>
      <c r="D629" s="31" t="n">
        <v>0</v>
      </c>
      <c r="E629" s="27" t="inlineStr">
        <is>
          <t>ON 10%/1M 50%/2M 40%</t>
        </is>
      </c>
      <c r="F629" s="27" t="n">
        <v>75</v>
      </c>
      <c r="G629" s="27">
        <f>A629*$B$7&gt;=$B$9</f>
        <v/>
      </c>
      <c r="H629" s="13">
        <f>$B$7*(A629*E$71+B629*F$71+C629*G$71+D629*H$71)+F629/100*$B$7*J$71-$C$71</f>
        <v/>
      </c>
      <c r="I629" s="13">
        <f>$B$7*(A629*L$71+B629*M$71+C629*N$71+D629*O$71)+F629/100*$B$7*Q$71-$C$71</f>
        <v/>
      </c>
      <c r="J629" s="13">
        <f>$B$7*(A629*S$71+B629*T$71+C629*U$71+D629*V$71)+F629/100*$B$7*X$71-$C$71</f>
        <v/>
      </c>
      <c r="K629" s="13">
        <f>$B$7*(A629*Z$71+B629*AA$71+C629*AB$71+D629*AC$71)+F629/100*$B$7*AE$71-$C$71</f>
        <v/>
      </c>
      <c r="L629" s="13">
        <f>$B$7*(A629*AG$71+B629*AH$71+C629*AI$71+D629*AJ$71)+F629/100*$B$7*AL$71-$C$71</f>
        <v/>
      </c>
      <c r="M629" s="13">
        <f>$B$7*(A629*AN$71+B629*AO$71+C629*AP$71+D629*AQ$71)+F629/100*$B$7*AS$71-$C$71</f>
        <v/>
      </c>
      <c r="N629" s="13">
        <f>SUMPRODUCT($H$24:$M$24,H629:M629)</f>
        <v/>
      </c>
      <c r="O629" s="14">
        <f>SQRT(SUMPRODUCT($H$24:$M$24,(H629:M629-N629)^2))</f>
        <v/>
      </c>
      <c r="P629" s="13">
        <f>MIN(H629:M629)</f>
        <v/>
      </c>
      <c r="Q629" s="13">
        <f>MAX(H629:M629)</f>
        <v/>
      </c>
      <c r="R629" s="27">
        <f>IF(G629,SUMPRODUCT(($G$76:$G$1505)*($N$76:$N$1505&gt;=N629)*($O$76:$O$1505&lt;=O629))=1,FALSE)</f>
        <v/>
      </c>
      <c r="S629" s="16">
        <f>IF(R629,ABS((O629-$AC$76)/MAX(0.0001,$AC$77-$AC$76)-(N629-$AC$78)/MAX(0.0001,$AC$79-$AC$78)),-1)</f>
        <v/>
      </c>
      <c r="T629" s="14">
        <f>IF(G629,O629,NA())</f>
        <v/>
      </c>
      <c r="U629" s="13">
        <f>IF(G629,N629,NA())</f>
        <v/>
      </c>
      <c r="V629" s="14">
        <f>IF(R629,O629,NA())</f>
        <v/>
      </c>
      <c r="W629" s="13">
        <f>IF(R629,N629,NA())</f>
        <v/>
      </c>
      <c r="X629" s="27">
        <f>IF(G629,P629,"")</f>
        <v/>
      </c>
      <c r="Y629" s="27">
        <f>IF(G629,N629,"")</f>
        <v/>
      </c>
      <c r="Z629" s="27">
        <f>IF(R629,O629,"")</f>
        <v/>
      </c>
      <c r="AA629" s="27">
        <f>IF(R629,N629,"")</f>
        <v/>
      </c>
    </row>
    <row r="630">
      <c r="A630" s="31" t="n">
        <v>0.1</v>
      </c>
      <c r="B630" s="31" t="n">
        <v>0.5</v>
      </c>
      <c r="C630" s="31" t="n">
        <v>0.4</v>
      </c>
      <c r="D630" s="31" t="n">
        <v>0</v>
      </c>
      <c r="E630" s="27" t="inlineStr">
        <is>
          <t>ON 10%/1M 50%/2M 40%</t>
        </is>
      </c>
      <c r="F630" s="27" t="n">
        <v>100</v>
      </c>
      <c r="G630" s="27">
        <f>A630*$B$7&gt;=$B$9</f>
        <v/>
      </c>
      <c r="H630" s="13">
        <f>$B$7*(A630*E$71+B630*F$71+C630*G$71+D630*H$71)+F630/100*$B$7*J$71-$C$71</f>
        <v/>
      </c>
      <c r="I630" s="13">
        <f>$B$7*(A630*L$71+B630*M$71+C630*N$71+D630*O$71)+F630/100*$B$7*Q$71-$C$71</f>
        <v/>
      </c>
      <c r="J630" s="13">
        <f>$B$7*(A630*S$71+B630*T$71+C630*U$71+D630*V$71)+F630/100*$B$7*X$71-$C$71</f>
        <v/>
      </c>
      <c r="K630" s="13">
        <f>$B$7*(A630*Z$71+B630*AA$71+C630*AB$71+D630*AC$71)+F630/100*$B$7*AE$71-$C$71</f>
        <v/>
      </c>
      <c r="L630" s="13">
        <f>$B$7*(A630*AG$71+B630*AH$71+C630*AI$71+D630*AJ$71)+F630/100*$B$7*AL$71-$C$71</f>
        <v/>
      </c>
      <c r="M630" s="13">
        <f>$B$7*(A630*AN$71+B630*AO$71+C630*AP$71+D630*AQ$71)+F630/100*$B$7*AS$71-$C$71</f>
        <v/>
      </c>
      <c r="N630" s="13">
        <f>SUMPRODUCT($H$24:$M$24,H630:M630)</f>
        <v/>
      </c>
      <c r="O630" s="14">
        <f>SQRT(SUMPRODUCT($H$24:$M$24,(H630:M630-N630)^2))</f>
        <v/>
      </c>
      <c r="P630" s="13">
        <f>MIN(H630:M630)</f>
        <v/>
      </c>
      <c r="Q630" s="13">
        <f>MAX(H630:M630)</f>
        <v/>
      </c>
      <c r="R630" s="27">
        <f>IF(G630,SUMPRODUCT(($G$76:$G$1505)*($N$76:$N$1505&gt;=N630)*($O$76:$O$1505&lt;=O630))=1,FALSE)</f>
        <v/>
      </c>
      <c r="S630" s="16">
        <f>IF(R630,ABS((O630-$AC$76)/MAX(0.0001,$AC$77-$AC$76)-(N630-$AC$78)/MAX(0.0001,$AC$79-$AC$78)),-1)</f>
        <v/>
      </c>
      <c r="T630" s="14">
        <f>IF(G630,O630,NA())</f>
        <v/>
      </c>
      <c r="U630" s="13">
        <f>IF(G630,N630,NA())</f>
        <v/>
      </c>
      <c r="V630" s="14">
        <f>IF(R630,O630,NA())</f>
        <v/>
      </c>
      <c r="W630" s="13">
        <f>IF(R630,N630,NA())</f>
        <v/>
      </c>
      <c r="X630" s="27">
        <f>IF(G630,P630,"")</f>
        <v/>
      </c>
      <c r="Y630" s="27">
        <f>IF(G630,N630,"")</f>
        <v/>
      </c>
      <c r="Z630" s="27">
        <f>IF(R630,O630,"")</f>
        <v/>
      </c>
      <c r="AA630" s="27">
        <f>IF(R630,N630,"")</f>
        <v/>
      </c>
    </row>
    <row r="631">
      <c r="A631" s="31" t="n">
        <v>0.1</v>
      </c>
      <c r="B631" s="31" t="n">
        <v>0.6</v>
      </c>
      <c r="C631" s="31" t="n">
        <v>0</v>
      </c>
      <c r="D631" s="31" t="n">
        <v>0.3</v>
      </c>
      <c r="E631" s="27" t="inlineStr">
        <is>
          <t>ON 10%/1M 60%/3M 30%</t>
        </is>
      </c>
      <c r="F631" s="27" t="n">
        <v>0</v>
      </c>
      <c r="G631" s="27">
        <f>A631*$B$7&gt;=$B$9</f>
        <v/>
      </c>
      <c r="H631" s="13">
        <f>$B$7*(A631*E$71+B631*F$71+C631*G$71+D631*H$71)+F631/100*$B$7*J$71-$C$71</f>
        <v/>
      </c>
      <c r="I631" s="13">
        <f>$B$7*(A631*L$71+B631*M$71+C631*N$71+D631*O$71)+F631/100*$B$7*Q$71-$C$71</f>
        <v/>
      </c>
      <c r="J631" s="13">
        <f>$B$7*(A631*S$71+B631*T$71+C631*U$71+D631*V$71)+F631/100*$B$7*X$71-$C$71</f>
        <v/>
      </c>
      <c r="K631" s="13">
        <f>$B$7*(A631*Z$71+B631*AA$71+C631*AB$71+D631*AC$71)+F631/100*$B$7*AE$71-$C$71</f>
        <v/>
      </c>
      <c r="L631" s="13">
        <f>$B$7*(A631*AG$71+B631*AH$71+C631*AI$71+D631*AJ$71)+F631/100*$B$7*AL$71-$C$71</f>
        <v/>
      </c>
      <c r="M631" s="13">
        <f>$B$7*(A631*AN$71+B631*AO$71+C631*AP$71+D631*AQ$71)+F631/100*$B$7*AS$71-$C$71</f>
        <v/>
      </c>
      <c r="N631" s="13">
        <f>SUMPRODUCT($H$24:$M$24,H631:M631)</f>
        <v/>
      </c>
      <c r="O631" s="14">
        <f>SQRT(SUMPRODUCT($H$24:$M$24,(H631:M631-N631)^2))</f>
        <v/>
      </c>
      <c r="P631" s="13">
        <f>MIN(H631:M631)</f>
        <v/>
      </c>
      <c r="Q631" s="13">
        <f>MAX(H631:M631)</f>
        <v/>
      </c>
      <c r="R631" s="27">
        <f>IF(G631,SUMPRODUCT(($G$76:$G$1505)*($N$76:$N$1505&gt;=N631)*($O$76:$O$1505&lt;=O631))=1,FALSE)</f>
        <v/>
      </c>
      <c r="S631" s="16">
        <f>IF(R631,ABS((O631-$AC$76)/MAX(0.0001,$AC$77-$AC$76)-(N631-$AC$78)/MAX(0.0001,$AC$79-$AC$78)),-1)</f>
        <v/>
      </c>
      <c r="T631" s="14">
        <f>IF(G631,O631,NA())</f>
        <v/>
      </c>
      <c r="U631" s="13">
        <f>IF(G631,N631,NA())</f>
        <v/>
      </c>
      <c r="V631" s="14">
        <f>IF(R631,O631,NA())</f>
        <v/>
      </c>
      <c r="W631" s="13">
        <f>IF(R631,N631,NA())</f>
        <v/>
      </c>
      <c r="X631" s="27">
        <f>IF(G631,P631,"")</f>
        <v/>
      </c>
      <c r="Y631" s="27">
        <f>IF(G631,N631,"")</f>
        <v/>
      </c>
      <c r="Z631" s="27">
        <f>IF(R631,O631,"")</f>
        <v/>
      </c>
      <c r="AA631" s="27">
        <f>IF(R631,N631,"")</f>
        <v/>
      </c>
    </row>
    <row r="632">
      <c r="A632" s="31" t="n">
        <v>0.1</v>
      </c>
      <c r="B632" s="31" t="n">
        <v>0.6</v>
      </c>
      <c r="C632" s="31" t="n">
        <v>0</v>
      </c>
      <c r="D632" s="31" t="n">
        <v>0.3</v>
      </c>
      <c r="E632" s="27" t="inlineStr">
        <is>
          <t>ON 10%/1M 60%/3M 30%</t>
        </is>
      </c>
      <c r="F632" s="27" t="n">
        <v>25</v>
      </c>
      <c r="G632" s="27">
        <f>A632*$B$7&gt;=$B$9</f>
        <v/>
      </c>
      <c r="H632" s="13">
        <f>$B$7*(A632*E$71+B632*F$71+C632*G$71+D632*H$71)+F632/100*$B$7*J$71-$C$71</f>
        <v/>
      </c>
      <c r="I632" s="13">
        <f>$B$7*(A632*L$71+B632*M$71+C632*N$71+D632*O$71)+F632/100*$B$7*Q$71-$C$71</f>
        <v/>
      </c>
      <c r="J632" s="13">
        <f>$B$7*(A632*S$71+B632*T$71+C632*U$71+D632*V$71)+F632/100*$B$7*X$71-$C$71</f>
        <v/>
      </c>
      <c r="K632" s="13">
        <f>$B$7*(A632*Z$71+B632*AA$71+C632*AB$71+D632*AC$71)+F632/100*$B$7*AE$71-$C$71</f>
        <v/>
      </c>
      <c r="L632" s="13">
        <f>$B$7*(A632*AG$71+B632*AH$71+C632*AI$71+D632*AJ$71)+F632/100*$B$7*AL$71-$C$71</f>
        <v/>
      </c>
      <c r="M632" s="13">
        <f>$B$7*(A632*AN$71+B632*AO$71+C632*AP$71+D632*AQ$71)+F632/100*$B$7*AS$71-$C$71</f>
        <v/>
      </c>
      <c r="N632" s="13">
        <f>SUMPRODUCT($H$24:$M$24,H632:M632)</f>
        <v/>
      </c>
      <c r="O632" s="14">
        <f>SQRT(SUMPRODUCT($H$24:$M$24,(H632:M632-N632)^2))</f>
        <v/>
      </c>
      <c r="P632" s="13">
        <f>MIN(H632:M632)</f>
        <v/>
      </c>
      <c r="Q632" s="13">
        <f>MAX(H632:M632)</f>
        <v/>
      </c>
      <c r="R632" s="27">
        <f>IF(G632,SUMPRODUCT(($G$76:$G$1505)*($N$76:$N$1505&gt;=N632)*($O$76:$O$1505&lt;=O632))=1,FALSE)</f>
        <v/>
      </c>
      <c r="S632" s="16">
        <f>IF(R632,ABS((O632-$AC$76)/MAX(0.0001,$AC$77-$AC$76)-(N632-$AC$78)/MAX(0.0001,$AC$79-$AC$78)),-1)</f>
        <v/>
      </c>
      <c r="T632" s="14">
        <f>IF(G632,O632,NA())</f>
        <v/>
      </c>
      <c r="U632" s="13">
        <f>IF(G632,N632,NA())</f>
        <v/>
      </c>
      <c r="V632" s="14">
        <f>IF(R632,O632,NA())</f>
        <v/>
      </c>
      <c r="W632" s="13">
        <f>IF(R632,N632,NA())</f>
        <v/>
      </c>
      <c r="X632" s="27">
        <f>IF(G632,P632,"")</f>
        <v/>
      </c>
      <c r="Y632" s="27">
        <f>IF(G632,N632,"")</f>
        <v/>
      </c>
      <c r="Z632" s="27">
        <f>IF(R632,O632,"")</f>
        <v/>
      </c>
      <c r="AA632" s="27">
        <f>IF(R632,N632,"")</f>
        <v/>
      </c>
    </row>
    <row r="633">
      <c r="A633" s="31" t="n">
        <v>0.1</v>
      </c>
      <c r="B633" s="31" t="n">
        <v>0.6</v>
      </c>
      <c r="C633" s="31" t="n">
        <v>0</v>
      </c>
      <c r="D633" s="31" t="n">
        <v>0.3</v>
      </c>
      <c r="E633" s="27" t="inlineStr">
        <is>
          <t>ON 10%/1M 60%/3M 30%</t>
        </is>
      </c>
      <c r="F633" s="27" t="n">
        <v>50</v>
      </c>
      <c r="G633" s="27">
        <f>A633*$B$7&gt;=$B$9</f>
        <v/>
      </c>
      <c r="H633" s="13">
        <f>$B$7*(A633*E$71+B633*F$71+C633*G$71+D633*H$71)+F633/100*$B$7*J$71-$C$71</f>
        <v/>
      </c>
      <c r="I633" s="13">
        <f>$B$7*(A633*L$71+B633*M$71+C633*N$71+D633*O$71)+F633/100*$B$7*Q$71-$C$71</f>
        <v/>
      </c>
      <c r="J633" s="13">
        <f>$B$7*(A633*S$71+B633*T$71+C633*U$71+D633*V$71)+F633/100*$B$7*X$71-$C$71</f>
        <v/>
      </c>
      <c r="K633" s="13">
        <f>$B$7*(A633*Z$71+B633*AA$71+C633*AB$71+D633*AC$71)+F633/100*$B$7*AE$71-$C$71</f>
        <v/>
      </c>
      <c r="L633" s="13">
        <f>$B$7*(A633*AG$71+B633*AH$71+C633*AI$71+D633*AJ$71)+F633/100*$B$7*AL$71-$C$71</f>
        <v/>
      </c>
      <c r="M633" s="13">
        <f>$B$7*(A633*AN$71+B633*AO$71+C633*AP$71+D633*AQ$71)+F633/100*$B$7*AS$71-$C$71</f>
        <v/>
      </c>
      <c r="N633" s="13">
        <f>SUMPRODUCT($H$24:$M$24,H633:M633)</f>
        <v/>
      </c>
      <c r="O633" s="14">
        <f>SQRT(SUMPRODUCT($H$24:$M$24,(H633:M633-N633)^2))</f>
        <v/>
      </c>
      <c r="P633" s="13">
        <f>MIN(H633:M633)</f>
        <v/>
      </c>
      <c r="Q633" s="13">
        <f>MAX(H633:M633)</f>
        <v/>
      </c>
      <c r="R633" s="27">
        <f>IF(G633,SUMPRODUCT(($G$76:$G$1505)*($N$76:$N$1505&gt;=N633)*($O$76:$O$1505&lt;=O633))=1,FALSE)</f>
        <v/>
      </c>
      <c r="S633" s="16">
        <f>IF(R633,ABS((O633-$AC$76)/MAX(0.0001,$AC$77-$AC$76)-(N633-$AC$78)/MAX(0.0001,$AC$79-$AC$78)),-1)</f>
        <v/>
      </c>
      <c r="T633" s="14">
        <f>IF(G633,O633,NA())</f>
        <v/>
      </c>
      <c r="U633" s="13">
        <f>IF(G633,N633,NA())</f>
        <v/>
      </c>
      <c r="V633" s="14">
        <f>IF(R633,O633,NA())</f>
        <v/>
      </c>
      <c r="W633" s="13">
        <f>IF(R633,N633,NA())</f>
        <v/>
      </c>
      <c r="X633" s="27">
        <f>IF(G633,P633,"")</f>
        <v/>
      </c>
      <c r="Y633" s="27">
        <f>IF(G633,N633,"")</f>
        <v/>
      </c>
      <c r="Z633" s="27">
        <f>IF(R633,O633,"")</f>
        <v/>
      </c>
      <c r="AA633" s="27">
        <f>IF(R633,N633,"")</f>
        <v/>
      </c>
    </row>
    <row r="634">
      <c r="A634" s="31" t="n">
        <v>0.1</v>
      </c>
      <c r="B634" s="31" t="n">
        <v>0.6</v>
      </c>
      <c r="C634" s="31" t="n">
        <v>0</v>
      </c>
      <c r="D634" s="31" t="n">
        <v>0.3</v>
      </c>
      <c r="E634" s="27" t="inlineStr">
        <is>
          <t>ON 10%/1M 60%/3M 30%</t>
        </is>
      </c>
      <c r="F634" s="27" t="n">
        <v>75</v>
      </c>
      <c r="G634" s="27">
        <f>A634*$B$7&gt;=$B$9</f>
        <v/>
      </c>
      <c r="H634" s="13">
        <f>$B$7*(A634*E$71+B634*F$71+C634*G$71+D634*H$71)+F634/100*$B$7*J$71-$C$71</f>
        <v/>
      </c>
      <c r="I634" s="13">
        <f>$B$7*(A634*L$71+B634*M$71+C634*N$71+D634*O$71)+F634/100*$B$7*Q$71-$C$71</f>
        <v/>
      </c>
      <c r="J634" s="13">
        <f>$B$7*(A634*S$71+B634*T$71+C634*U$71+D634*V$71)+F634/100*$B$7*X$71-$C$71</f>
        <v/>
      </c>
      <c r="K634" s="13">
        <f>$B$7*(A634*Z$71+B634*AA$71+C634*AB$71+D634*AC$71)+F634/100*$B$7*AE$71-$C$71</f>
        <v/>
      </c>
      <c r="L634" s="13">
        <f>$B$7*(A634*AG$71+B634*AH$71+C634*AI$71+D634*AJ$71)+F634/100*$B$7*AL$71-$C$71</f>
        <v/>
      </c>
      <c r="M634" s="13">
        <f>$B$7*(A634*AN$71+B634*AO$71+C634*AP$71+D634*AQ$71)+F634/100*$B$7*AS$71-$C$71</f>
        <v/>
      </c>
      <c r="N634" s="13">
        <f>SUMPRODUCT($H$24:$M$24,H634:M634)</f>
        <v/>
      </c>
      <c r="O634" s="14">
        <f>SQRT(SUMPRODUCT($H$24:$M$24,(H634:M634-N634)^2))</f>
        <v/>
      </c>
      <c r="P634" s="13">
        <f>MIN(H634:M634)</f>
        <v/>
      </c>
      <c r="Q634" s="13">
        <f>MAX(H634:M634)</f>
        <v/>
      </c>
      <c r="R634" s="27">
        <f>IF(G634,SUMPRODUCT(($G$76:$G$1505)*($N$76:$N$1505&gt;=N634)*($O$76:$O$1505&lt;=O634))=1,FALSE)</f>
        <v/>
      </c>
      <c r="S634" s="16">
        <f>IF(R634,ABS((O634-$AC$76)/MAX(0.0001,$AC$77-$AC$76)-(N634-$AC$78)/MAX(0.0001,$AC$79-$AC$78)),-1)</f>
        <v/>
      </c>
      <c r="T634" s="14">
        <f>IF(G634,O634,NA())</f>
        <v/>
      </c>
      <c r="U634" s="13">
        <f>IF(G634,N634,NA())</f>
        <v/>
      </c>
      <c r="V634" s="14">
        <f>IF(R634,O634,NA())</f>
        <v/>
      </c>
      <c r="W634" s="13">
        <f>IF(R634,N634,NA())</f>
        <v/>
      </c>
      <c r="X634" s="27">
        <f>IF(G634,P634,"")</f>
        <v/>
      </c>
      <c r="Y634" s="27">
        <f>IF(G634,N634,"")</f>
        <v/>
      </c>
      <c r="Z634" s="27">
        <f>IF(R634,O634,"")</f>
        <v/>
      </c>
      <c r="AA634" s="27">
        <f>IF(R634,N634,"")</f>
        <v/>
      </c>
    </row>
    <row r="635">
      <c r="A635" s="31" t="n">
        <v>0.1</v>
      </c>
      <c r="B635" s="31" t="n">
        <v>0.6</v>
      </c>
      <c r="C635" s="31" t="n">
        <v>0</v>
      </c>
      <c r="D635" s="31" t="n">
        <v>0.3</v>
      </c>
      <c r="E635" s="27" t="inlineStr">
        <is>
          <t>ON 10%/1M 60%/3M 30%</t>
        </is>
      </c>
      <c r="F635" s="27" t="n">
        <v>100</v>
      </c>
      <c r="G635" s="27">
        <f>A635*$B$7&gt;=$B$9</f>
        <v/>
      </c>
      <c r="H635" s="13">
        <f>$B$7*(A635*E$71+B635*F$71+C635*G$71+D635*H$71)+F635/100*$B$7*J$71-$C$71</f>
        <v/>
      </c>
      <c r="I635" s="13">
        <f>$B$7*(A635*L$71+B635*M$71+C635*N$71+D635*O$71)+F635/100*$B$7*Q$71-$C$71</f>
        <v/>
      </c>
      <c r="J635" s="13">
        <f>$B$7*(A635*S$71+B635*T$71+C635*U$71+D635*V$71)+F635/100*$B$7*X$71-$C$71</f>
        <v/>
      </c>
      <c r="K635" s="13">
        <f>$B$7*(A635*Z$71+B635*AA$71+C635*AB$71+D635*AC$71)+F635/100*$B$7*AE$71-$C$71</f>
        <v/>
      </c>
      <c r="L635" s="13">
        <f>$B$7*(A635*AG$71+B635*AH$71+C635*AI$71+D635*AJ$71)+F635/100*$B$7*AL$71-$C$71</f>
        <v/>
      </c>
      <c r="M635" s="13">
        <f>$B$7*(A635*AN$71+B635*AO$71+C635*AP$71+D635*AQ$71)+F635/100*$B$7*AS$71-$C$71</f>
        <v/>
      </c>
      <c r="N635" s="13">
        <f>SUMPRODUCT($H$24:$M$24,H635:M635)</f>
        <v/>
      </c>
      <c r="O635" s="14">
        <f>SQRT(SUMPRODUCT($H$24:$M$24,(H635:M635-N635)^2))</f>
        <v/>
      </c>
      <c r="P635" s="13">
        <f>MIN(H635:M635)</f>
        <v/>
      </c>
      <c r="Q635" s="13">
        <f>MAX(H635:M635)</f>
        <v/>
      </c>
      <c r="R635" s="27">
        <f>IF(G635,SUMPRODUCT(($G$76:$G$1505)*($N$76:$N$1505&gt;=N635)*($O$76:$O$1505&lt;=O635))=1,FALSE)</f>
        <v/>
      </c>
      <c r="S635" s="16">
        <f>IF(R635,ABS((O635-$AC$76)/MAX(0.0001,$AC$77-$AC$76)-(N635-$AC$78)/MAX(0.0001,$AC$79-$AC$78)),-1)</f>
        <v/>
      </c>
      <c r="T635" s="14">
        <f>IF(G635,O635,NA())</f>
        <v/>
      </c>
      <c r="U635" s="13">
        <f>IF(G635,N635,NA())</f>
        <v/>
      </c>
      <c r="V635" s="14">
        <f>IF(R635,O635,NA())</f>
        <v/>
      </c>
      <c r="W635" s="13">
        <f>IF(R635,N635,NA())</f>
        <v/>
      </c>
      <c r="X635" s="27">
        <f>IF(G635,P635,"")</f>
        <v/>
      </c>
      <c r="Y635" s="27">
        <f>IF(G635,N635,"")</f>
        <v/>
      </c>
      <c r="Z635" s="27">
        <f>IF(R635,O635,"")</f>
        <v/>
      </c>
      <c r="AA635" s="27">
        <f>IF(R635,N635,"")</f>
        <v/>
      </c>
    </row>
    <row r="636">
      <c r="A636" s="31" t="n">
        <v>0.1</v>
      </c>
      <c r="B636" s="31" t="n">
        <v>0.6</v>
      </c>
      <c r="C636" s="31" t="n">
        <v>0.1</v>
      </c>
      <c r="D636" s="31" t="n">
        <v>0.2</v>
      </c>
      <c r="E636" s="27" t="inlineStr">
        <is>
          <t>ON 10%/1M 60%/2M 10%/3M 20%</t>
        </is>
      </c>
      <c r="F636" s="27" t="n">
        <v>0</v>
      </c>
      <c r="G636" s="27">
        <f>A636*$B$7&gt;=$B$9</f>
        <v/>
      </c>
      <c r="H636" s="13">
        <f>$B$7*(A636*E$71+B636*F$71+C636*G$71+D636*H$71)+F636/100*$B$7*J$71-$C$71</f>
        <v/>
      </c>
      <c r="I636" s="13">
        <f>$B$7*(A636*L$71+B636*M$71+C636*N$71+D636*O$71)+F636/100*$B$7*Q$71-$C$71</f>
        <v/>
      </c>
      <c r="J636" s="13">
        <f>$B$7*(A636*S$71+B636*T$71+C636*U$71+D636*V$71)+F636/100*$B$7*X$71-$C$71</f>
        <v/>
      </c>
      <c r="K636" s="13">
        <f>$B$7*(A636*Z$71+B636*AA$71+C636*AB$71+D636*AC$71)+F636/100*$B$7*AE$71-$C$71</f>
        <v/>
      </c>
      <c r="L636" s="13">
        <f>$B$7*(A636*AG$71+B636*AH$71+C636*AI$71+D636*AJ$71)+F636/100*$B$7*AL$71-$C$71</f>
        <v/>
      </c>
      <c r="M636" s="13">
        <f>$B$7*(A636*AN$71+B636*AO$71+C636*AP$71+D636*AQ$71)+F636/100*$B$7*AS$71-$C$71</f>
        <v/>
      </c>
      <c r="N636" s="13">
        <f>SUMPRODUCT($H$24:$M$24,H636:M636)</f>
        <v/>
      </c>
      <c r="O636" s="14">
        <f>SQRT(SUMPRODUCT($H$24:$M$24,(H636:M636-N636)^2))</f>
        <v/>
      </c>
      <c r="P636" s="13">
        <f>MIN(H636:M636)</f>
        <v/>
      </c>
      <c r="Q636" s="13">
        <f>MAX(H636:M636)</f>
        <v/>
      </c>
      <c r="R636" s="27">
        <f>IF(G636,SUMPRODUCT(($G$76:$G$1505)*($N$76:$N$1505&gt;=N636)*($O$76:$O$1505&lt;=O636))=1,FALSE)</f>
        <v/>
      </c>
      <c r="S636" s="16">
        <f>IF(R636,ABS((O636-$AC$76)/MAX(0.0001,$AC$77-$AC$76)-(N636-$AC$78)/MAX(0.0001,$AC$79-$AC$78)),-1)</f>
        <v/>
      </c>
      <c r="T636" s="14">
        <f>IF(G636,O636,NA())</f>
        <v/>
      </c>
      <c r="U636" s="13">
        <f>IF(G636,N636,NA())</f>
        <v/>
      </c>
      <c r="V636" s="14">
        <f>IF(R636,O636,NA())</f>
        <v/>
      </c>
      <c r="W636" s="13">
        <f>IF(R636,N636,NA())</f>
        <v/>
      </c>
      <c r="X636" s="27">
        <f>IF(G636,P636,"")</f>
        <v/>
      </c>
      <c r="Y636" s="27">
        <f>IF(G636,N636,"")</f>
        <v/>
      </c>
      <c r="Z636" s="27">
        <f>IF(R636,O636,"")</f>
        <v/>
      </c>
      <c r="AA636" s="27">
        <f>IF(R636,N636,"")</f>
        <v/>
      </c>
    </row>
    <row r="637">
      <c r="A637" s="31" t="n">
        <v>0.1</v>
      </c>
      <c r="B637" s="31" t="n">
        <v>0.6</v>
      </c>
      <c r="C637" s="31" t="n">
        <v>0.1</v>
      </c>
      <c r="D637" s="31" t="n">
        <v>0.2</v>
      </c>
      <c r="E637" s="27" t="inlineStr">
        <is>
          <t>ON 10%/1M 60%/2M 10%/3M 20%</t>
        </is>
      </c>
      <c r="F637" s="27" t="n">
        <v>25</v>
      </c>
      <c r="G637" s="27">
        <f>A637*$B$7&gt;=$B$9</f>
        <v/>
      </c>
      <c r="H637" s="13">
        <f>$B$7*(A637*E$71+B637*F$71+C637*G$71+D637*H$71)+F637/100*$B$7*J$71-$C$71</f>
        <v/>
      </c>
      <c r="I637" s="13">
        <f>$B$7*(A637*L$71+B637*M$71+C637*N$71+D637*O$71)+F637/100*$B$7*Q$71-$C$71</f>
        <v/>
      </c>
      <c r="J637" s="13">
        <f>$B$7*(A637*S$71+B637*T$71+C637*U$71+D637*V$71)+F637/100*$B$7*X$71-$C$71</f>
        <v/>
      </c>
      <c r="K637" s="13">
        <f>$B$7*(A637*Z$71+B637*AA$71+C637*AB$71+D637*AC$71)+F637/100*$B$7*AE$71-$C$71</f>
        <v/>
      </c>
      <c r="L637" s="13">
        <f>$B$7*(A637*AG$71+B637*AH$71+C637*AI$71+D637*AJ$71)+F637/100*$B$7*AL$71-$C$71</f>
        <v/>
      </c>
      <c r="M637" s="13">
        <f>$B$7*(A637*AN$71+B637*AO$71+C637*AP$71+D637*AQ$71)+F637/100*$B$7*AS$71-$C$71</f>
        <v/>
      </c>
      <c r="N637" s="13">
        <f>SUMPRODUCT($H$24:$M$24,H637:M637)</f>
        <v/>
      </c>
      <c r="O637" s="14">
        <f>SQRT(SUMPRODUCT($H$24:$M$24,(H637:M637-N637)^2))</f>
        <v/>
      </c>
      <c r="P637" s="13">
        <f>MIN(H637:M637)</f>
        <v/>
      </c>
      <c r="Q637" s="13">
        <f>MAX(H637:M637)</f>
        <v/>
      </c>
      <c r="R637" s="27">
        <f>IF(G637,SUMPRODUCT(($G$76:$G$1505)*($N$76:$N$1505&gt;=N637)*($O$76:$O$1505&lt;=O637))=1,FALSE)</f>
        <v/>
      </c>
      <c r="S637" s="16">
        <f>IF(R637,ABS((O637-$AC$76)/MAX(0.0001,$AC$77-$AC$76)-(N637-$AC$78)/MAX(0.0001,$AC$79-$AC$78)),-1)</f>
        <v/>
      </c>
      <c r="T637" s="14">
        <f>IF(G637,O637,NA())</f>
        <v/>
      </c>
      <c r="U637" s="13">
        <f>IF(G637,N637,NA())</f>
        <v/>
      </c>
      <c r="V637" s="14">
        <f>IF(R637,O637,NA())</f>
        <v/>
      </c>
      <c r="W637" s="13">
        <f>IF(R637,N637,NA())</f>
        <v/>
      </c>
      <c r="X637" s="27">
        <f>IF(G637,P637,"")</f>
        <v/>
      </c>
      <c r="Y637" s="27">
        <f>IF(G637,N637,"")</f>
        <v/>
      </c>
      <c r="Z637" s="27">
        <f>IF(R637,O637,"")</f>
        <v/>
      </c>
      <c r="AA637" s="27">
        <f>IF(R637,N637,"")</f>
        <v/>
      </c>
    </row>
    <row r="638">
      <c r="A638" s="31" t="n">
        <v>0.1</v>
      </c>
      <c r="B638" s="31" t="n">
        <v>0.6</v>
      </c>
      <c r="C638" s="31" t="n">
        <v>0.1</v>
      </c>
      <c r="D638" s="31" t="n">
        <v>0.2</v>
      </c>
      <c r="E638" s="27" t="inlineStr">
        <is>
          <t>ON 10%/1M 60%/2M 10%/3M 20%</t>
        </is>
      </c>
      <c r="F638" s="27" t="n">
        <v>50</v>
      </c>
      <c r="G638" s="27">
        <f>A638*$B$7&gt;=$B$9</f>
        <v/>
      </c>
      <c r="H638" s="13">
        <f>$B$7*(A638*E$71+B638*F$71+C638*G$71+D638*H$71)+F638/100*$B$7*J$71-$C$71</f>
        <v/>
      </c>
      <c r="I638" s="13">
        <f>$B$7*(A638*L$71+B638*M$71+C638*N$71+D638*O$71)+F638/100*$B$7*Q$71-$C$71</f>
        <v/>
      </c>
      <c r="J638" s="13">
        <f>$B$7*(A638*S$71+B638*T$71+C638*U$71+D638*V$71)+F638/100*$B$7*X$71-$C$71</f>
        <v/>
      </c>
      <c r="K638" s="13">
        <f>$B$7*(A638*Z$71+B638*AA$71+C638*AB$71+D638*AC$71)+F638/100*$B$7*AE$71-$C$71</f>
        <v/>
      </c>
      <c r="L638" s="13">
        <f>$B$7*(A638*AG$71+B638*AH$71+C638*AI$71+D638*AJ$71)+F638/100*$B$7*AL$71-$C$71</f>
        <v/>
      </c>
      <c r="M638" s="13">
        <f>$B$7*(A638*AN$71+B638*AO$71+C638*AP$71+D638*AQ$71)+F638/100*$B$7*AS$71-$C$71</f>
        <v/>
      </c>
      <c r="N638" s="13">
        <f>SUMPRODUCT($H$24:$M$24,H638:M638)</f>
        <v/>
      </c>
      <c r="O638" s="14">
        <f>SQRT(SUMPRODUCT($H$24:$M$24,(H638:M638-N638)^2))</f>
        <v/>
      </c>
      <c r="P638" s="13">
        <f>MIN(H638:M638)</f>
        <v/>
      </c>
      <c r="Q638" s="13">
        <f>MAX(H638:M638)</f>
        <v/>
      </c>
      <c r="R638" s="27">
        <f>IF(G638,SUMPRODUCT(($G$76:$G$1505)*($N$76:$N$1505&gt;=N638)*($O$76:$O$1505&lt;=O638))=1,FALSE)</f>
        <v/>
      </c>
      <c r="S638" s="16">
        <f>IF(R638,ABS((O638-$AC$76)/MAX(0.0001,$AC$77-$AC$76)-(N638-$AC$78)/MAX(0.0001,$AC$79-$AC$78)),-1)</f>
        <v/>
      </c>
      <c r="T638" s="14">
        <f>IF(G638,O638,NA())</f>
        <v/>
      </c>
      <c r="U638" s="13">
        <f>IF(G638,N638,NA())</f>
        <v/>
      </c>
      <c r="V638" s="14">
        <f>IF(R638,O638,NA())</f>
        <v/>
      </c>
      <c r="W638" s="13">
        <f>IF(R638,N638,NA())</f>
        <v/>
      </c>
      <c r="X638" s="27">
        <f>IF(G638,P638,"")</f>
        <v/>
      </c>
      <c r="Y638" s="27">
        <f>IF(G638,N638,"")</f>
        <v/>
      </c>
      <c r="Z638" s="27">
        <f>IF(R638,O638,"")</f>
        <v/>
      </c>
      <c r="AA638" s="27">
        <f>IF(R638,N638,"")</f>
        <v/>
      </c>
    </row>
    <row r="639">
      <c r="A639" s="31" t="n">
        <v>0.1</v>
      </c>
      <c r="B639" s="31" t="n">
        <v>0.6</v>
      </c>
      <c r="C639" s="31" t="n">
        <v>0.1</v>
      </c>
      <c r="D639" s="31" t="n">
        <v>0.2</v>
      </c>
      <c r="E639" s="27" t="inlineStr">
        <is>
          <t>ON 10%/1M 60%/2M 10%/3M 20%</t>
        </is>
      </c>
      <c r="F639" s="27" t="n">
        <v>75</v>
      </c>
      <c r="G639" s="27">
        <f>A639*$B$7&gt;=$B$9</f>
        <v/>
      </c>
      <c r="H639" s="13">
        <f>$B$7*(A639*E$71+B639*F$71+C639*G$71+D639*H$71)+F639/100*$B$7*J$71-$C$71</f>
        <v/>
      </c>
      <c r="I639" s="13">
        <f>$B$7*(A639*L$71+B639*M$71+C639*N$71+D639*O$71)+F639/100*$B$7*Q$71-$C$71</f>
        <v/>
      </c>
      <c r="J639" s="13">
        <f>$B$7*(A639*S$71+B639*T$71+C639*U$71+D639*V$71)+F639/100*$B$7*X$71-$C$71</f>
        <v/>
      </c>
      <c r="K639" s="13">
        <f>$B$7*(A639*Z$71+B639*AA$71+C639*AB$71+D639*AC$71)+F639/100*$B$7*AE$71-$C$71</f>
        <v/>
      </c>
      <c r="L639" s="13">
        <f>$B$7*(A639*AG$71+B639*AH$71+C639*AI$71+D639*AJ$71)+F639/100*$B$7*AL$71-$C$71</f>
        <v/>
      </c>
      <c r="M639" s="13">
        <f>$B$7*(A639*AN$71+B639*AO$71+C639*AP$71+D639*AQ$71)+F639/100*$B$7*AS$71-$C$71</f>
        <v/>
      </c>
      <c r="N639" s="13">
        <f>SUMPRODUCT($H$24:$M$24,H639:M639)</f>
        <v/>
      </c>
      <c r="O639" s="14">
        <f>SQRT(SUMPRODUCT($H$24:$M$24,(H639:M639-N639)^2))</f>
        <v/>
      </c>
      <c r="P639" s="13">
        <f>MIN(H639:M639)</f>
        <v/>
      </c>
      <c r="Q639" s="13">
        <f>MAX(H639:M639)</f>
        <v/>
      </c>
      <c r="R639" s="27">
        <f>IF(G639,SUMPRODUCT(($G$76:$G$1505)*($N$76:$N$1505&gt;=N639)*($O$76:$O$1505&lt;=O639))=1,FALSE)</f>
        <v/>
      </c>
      <c r="S639" s="16">
        <f>IF(R639,ABS((O639-$AC$76)/MAX(0.0001,$AC$77-$AC$76)-(N639-$AC$78)/MAX(0.0001,$AC$79-$AC$78)),-1)</f>
        <v/>
      </c>
      <c r="T639" s="14">
        <f>IF(G639,O639,NA())</f>
        <v/>
      </c>
      <c r="U639" s="13">
        <f>IF(G639,N639,NA())</f>
        <v/>
      </c>
      <c r="V639" s="14">
        <f>IF(R639,O639,NA())</f>
        <v/>
      </c>
      <c r="W639" s="13">
        <f>IF(R639,N639,NA())</f>
        <v/>
      </c>
      <c r="X639" s="27">
        <f>IF(G639,P639,"")</f>
        <v/>
      </c>
      <c r="Y639" s="27">
        <f>IF(G639,N639,"")</f>
        <v/>
      </c>
      <c r="Z639" s="27">
        <f>IF(R639,O639,"")</f>
        <v/>
      </c>
      <c r="AA639" s="27">
        <f>IF(R639,N639,"")</f>
        <v/>
      </c>
    </row>
    <row r="640">
      <c r="A640" s="31" t="n">
        <v>0.1</v>
      </c>
      <c r="B640" s="31" t="n">
        <v>0.6</v>
      </c>
      <c r="C640" s="31" t="n">
        <v>0.1</v>
      </c>
      <c r="D640" s="31" t="n">
        <v>0.2</v>
      </c>
      <c r="E640" s="27" t="inlineStr">
        <is>
          <t>ON 10%/1M 60%/2M 10%/3M 20%</t>
        </is>
      </c>
      <c r="F640" s="27" t="n">
        <v>100</v>
      </c>
      <c r="G640" s="27">
        <f>A640*$B$7&gt;=$B$9</f>
        <v/>
      </c>
      <c r="H640" s="13">
        <f>$B$7*(A640*E$71+B640*F$71+C640*G$71+D640*H$71)+F640/100*$B$7*J$71-$C$71</f>
        <v/>
      </c>
      <c r="I640" s="13">
        <f>$B$7*(A640*L$71+B640*M$71+C640*N$71+D640*O$71)+F640/100*$B$7*Q$71-$C$71</f>
        <v/>
      </c>
      <c r="J640" s="13">
        <f>$B$7*(A640*S$71+B640*T$71+C640*U$71+D640*V$71)+F640/100*$B$7*X$71-$C$71</f>
        <v/>
      </c>
      <c r="K640" s="13">
        <f>$B$7*(A640*Z$71+B640*AA$71+C640*AB$71+D640*AC$71)+F640/100*$B$7*AE$71-$C$71</f>
        <v/>
      </c>
      <c r="L640" s="13">
        <f>$B$7*(A640*AG$71+B640*AH$71+C640*AI$71+D640*AJ$71)+F640/100*$B$7*AL$71-$C$71</f>
        <v/>
      </c>
      <c r="M640" s="13">
        <f>$B$7*(A640*AN$71+B640*AO$71+C640*AP$71+D640*AQ$71)+F640/100*$B$7*AS$71-$C$71</f>
        <v/>
      </c>
      <c r="N640" s="13">
        <f>SUMPRODUCT($H$24:$M$24,H640:M640)</f>
        <v/>
      </c>
      <c r="O640" s="14">
        <f>SQRT(SUMPRODUCT($H$24:$M$24,(H640:M640-N640)^2))</f>
        <v/>
      </c>
      <c r="P640" s="13">
        <f>MIN(H640:M640)</f>
        <v/>
      </c>
      <c r="Q640" s="13">
        <f>MAX(H640:M640)</f>
        <v/>
      </c>
      <c r="R640" s="27">
        <f>IF(G640,SUMPRODUCT(($G$76:$G$1505)*($N$76:$N$1505&gt;=N640)*($O$76:$O$1505&lt;=O640))=1,FALSE)</f>
        <v/>
      </c>
      <c r="S640" s="16">
        <f>IF(R640,ABS((O640-$AC$76)/MAX(0.0001,$AC$77-$AC$76)-(N640-$AC$78)/MAX(0.0001,$AC$79-$AC$78)),-1)</f>
        <v/>
      </c>
      <c r="T640" s="14">
        <f>IF(G640,O640,NA())</f>
        <v/>
      </c>
      <c r="U640" s="13">
        <f>IF(G640,N640,NA())</f>
        <v/>
      </c>
      <c r="V640" s="14">
        <f>IF(R640,O640,NA())</f>
        <v/>
      </c>
      <c r="W640" s="13">
        <f>IF(R640,N640,NA())</f>
        <v/>
      </c>
      <c r="X640" s="27">
        <f>IF(G640,P640,"")</f>
        <v/>
      </c>
      <c r="Y640" s="27">
        <f>IF(G640,N640,"")</f>
        <v/>
      </c>
      <c r="Z640" s="27">
        <f>IF(R640,O640,"")</f>
        <v/>
      </c>
      <c r="AA640" s="27">
        <f>IF(R640,N640,"")</f>
        <v/>
      </c>
    </row>
    <row r="641">
      <c r="A641" s="31" t="n">
        <v>0.1</v>
      </c>
      <c r="B641" s="31" t="n">
        <v>0.6</v>
      </c>
      <c r="C641" s="31" t="n">
        <v>0.2</v>
      </c>
      <c r="D641" s="31" t="n">
        <v>0.1</v>
      </c>
      <c r="E641" s="27" t="inlineStr">
        <is>
          <t>ON 10%/1M 60%/2M 20%/3M 10%</t>
        </is>
      </c>
      <c r="F641" s="27" t="n">
        <v>0</v>
      </c>
      <c r="G641" s="27">
        <f>A641*$B$7&gt;=$B$9</f>
        <v/>
      </c>
      <c r="H641" s="13">
        <f>$B$7*(A641*E$71+B641*F$71+C641*G$71+D641*H$71)+F641/100*$B$7*J$71-$C$71</f>
        <v/>
      </c>
      <c r="I641" s="13">
        <f>$B$7*(A641*L$71+B641*M$71+C641*N$71+D641*O$71)+F641/100*$B$7*Q$71-$C$71</f>
        <v/>
      </c>
      <c r="J641" s="13">
        <f>$B$7*(A641*S$71+B641*T$71+C641*U$71+D641*V$71)+F641/100*$B$7*X$71-$C$71</f>
        <v/>
      </c>
      <c r="K641" s="13">
        <f>$B$7*(A641*Z$71+B641*AA$71+C641*AB$71+D641*AC$71)+F641/100*$B$7*AE$71-$C$71</f>
        <v/>
      </c>
      <c r="L641" s="13">
        <f>$B$7*(A641*AG$71+B641*AH$71+C641*AI$71+D641*AJ$71)+F641/100*$B$7*AL$71-$C$71</f>
        <v/>
      </c>
      <c r="M641" s="13">
        <f>$B$7*(A641*AN$71+B641*AO$71+C641*AP$71+D641*AQ$71)+F641/100*$B$7*AS$71-$C$71</f>
        <v/>
      </c>
      <c r="N641" s="13">
        <f>SUMPRODUCT($H$24:$M$24,H641:M641)</f>
        <v/>
      </c>
      <c r="O641" s="14">
        <f>SQRT(SUMPRODUCT($H$24:$M$24,(H641:M641-N641)^2))</f>
        <v/>
      </c>
      <c r="P641" s="13">
        <f>MIN(H641:M641)</f>
        <v/>
      </c>
      <c r="Q641" s="13">
        <f>MAX(H641:M641)</f>
        <v/>
      </c>
      <c r="R641" s="27">
        <f>IF(G641,SUMPRODUCT(($G$76:$G$1505)*($N$76:$N$1505&gt;=N641)*($O$76:$O$1505&lt;=O641))=1,FALSE)</f>
        <v/>
      </c>
      <c r="S641" s="16">
        <f>IF(R641,ABS((O641-$AC$76)/MAX(0.0001,$AC$77-$AC$76)-(N641-$AC$78)/MAX(0.0001,$AC$79-$AC$78)),-1)</f>
        <v/>
      </c>
      <c r="T641" s="14">
        <f>IF(G641,O641,NA())</f>
        <v/>
      </c>
      <c r="U641" s="13">
        <f>IF(G641,N641,NA())</f>
        <v/>
      </c>
      <c r="V641" s="14">
        <f>IF(R641,O641,NA())</f>
        <v/>
      </c>
      <c r="W641" s="13">
        <f>IF(R641,N641,NA())</f>
        <v/>
      </c>
      <c r="X641" s="27">
        <f>IF(G641,P641,"")</f>
        <v/>
      </c>
      <c r="Y641" s="27">
        <f>IF(G641,N641,"")</f>
        <v/>
      </c>
      <c r="Z641" s="27">
        <f>IF(R641,O641,"")</f>
        <v/>
      </c>
      <c r="AA641" s="27">
        <f>IF(R641,N641,"")</f>
        <v/>
      </c>
    </row>
    <row r="642">
      <c r="A642" s="31" t="n">
        <v>0.1</v>
      </c>
      <c r="B642" s="31" t="n">
        <v>0.6</v>
      </c>
      <c r="C642" s="31" t="n">
        <v>0.2</v>
      </c>
      <c r="D642" s="31" t="n">
        <v>0.1</v>
      </c>
      <c r="E642" s="27" t="inlineStr">
        <is>
          <t>ON 10%/1M 60%/2M 20%/3M 10%</t>
        </is>
      </c>
      <c r="F642" s="27" t="n">
        <v>25</v>
      </c>
      <c r="G642" s="27">
        <f>A642*$B$7&gt;=$B$9</f>
        <v/>
      </c>
      <c r="H642" s="13">
        <f>$B$7*(A642*E$71+B642*F$71+C642*G$71+D642*H$71)+F642/100*$B$7*J$71-$C$71</f>
        <v/>
      </c>
      <c r="I642" s="13">
        <f>$B$7*(A642*L$71+B642*M$71+C642*N$71+D642*O$71)+F642/100*$B$7*Q$71-$C$71</f>
        <v/>
      </c>
      <c r="J642" s="13">
        <f>$B$7*(A642*S$71+B642*T$71+C642*U$71+D642*V$71)+F642/100*$B$7*X$71-$C$71</f>
        <v/>
      </c>
      <c r="K642" s="13">
        <f>$B$7*(A642*Z$71+B642*AA$71+C642*AB$71+D642*AC$71)+F642/100*$B$7*AE$71-$C$71</f>
        <v/>
      </c>
      <c r="L642" s="13">
        <f>$B$7*(A642*AG$71+B642*AH$71+C642*AI$71+D642*AJ$71)+F642/100*$B$7*AL$71-$C$71</f>
        <v/>
      </c>
      <c r="M642" s="13">
        <f>$B$7*(A642*AN$71+B642*AO$71+C642*AP$71+D642*AQ$71)+F642/100*$B$7*AS$71-$C$71</f>
        <v/>
      </c>
      <c r="N642" s="13">
        <f>SUMPRODUCT($H$24:$M$24,H642:M642)</f>
        <v/>
      </c>
      <c r="O642" s="14">
        <f>SQRT(SUMPRODUCT($H$24:$M$24,(H642:M642-N642)^2))</f>
        <v/>
      </c>
      <c r="P642" s="13">
        <f>MIN(H642:M642)</f>
        <v/>
      </c>
      <c r="Q642" s="13">
        <f>MAX(H642:M642)</f>
        <v/>
      </c>
      <c r="R642" s="27">
        <f>IF(G642,SUMPRODUCT(($G$76:$G$1505)*($N$76:$N$1505&gt;=N642)*($O$76:$O$1505&lt;=O642))=1,FALSE)</f>
        <v/>
      </c>
      <c r="S642" s="16">
        <f>IF(R642,ABS((O642-$AC$76)/MAX(0.0001,$AC$77-$AC$76)-(N642-$AC$78)/MAX(0.0001,$AC$79-$AC$78)),-1)</f>
        <v/>
      </c>
      <c r="T642" s="14">
        <f>IF(G642,O642,NA())</f>
        <v/>
      </c>
      <c r="U642" s="13">
        <f>IF(G642,N642,NA())</f>
        <v/>
      </c>
      <c r="V642" s="14">
        <f>IF(R642,O642,NA())</f>
        <v/>
      </c>
      <c r="W642" s="13">
        <f>IF(R642,N642,NA())</f>
        <v/>
      </c>
      <c r="X642" s="27">
        <f>IF(G642,P642,"")</f>
        <v/>
      </c>
      <c r="Y642" s="27">
        <f>IF(G642,N642,"")</f>
        <v/>
      </c>
      <c r="Z642" s="27">
        <f>IF(R642,O642,"")</f>
        <v/>
      </c>
      <c r="AA642" s="27">
        <f>IF(R642,N642,"")</f>
        <v/>
      </c>
    </row>
    <row r="643">
      <c r="A643" s="31" t="n">
        <v>0.1</v>
      </c>
      <c r="B643" s="31" t="n">
        <v>0.6</v>
      </c>
      <c r="C643" s="31" t="n">
        <v>0.2</v>
      </c>
      <c r="D643" s="31" t="n">
        <v>0.1</v>
      </c>
      <c r="E643" s="27" t="inlineStr">
        <is>
          <t>ON 10%/1M 60%/2M 20%/3M 10%</t>
        </is>
      </c>
      <c r="F643" s="27" t="n">
        <v>50</v>
      </c>
      <c r="G643" s="27">
        <f>A643*$B$7&gt;=$B$9</f>
        <v/>
      </c>
      <c r="H643" s="13">
        <f>$B$7*(A643*E$71+B643*F$71+C643*G$71+D643*H$71)+F643/100*$B$7*J$71-$C$71</f>
        <v/>
      </c>
      <c r="I643" s="13">
        <f>$B$7*(A643*L$71+B643*M$71+C643*N$71+D643*O$71)+F643/100*$B$7*Q$71-$C$71</f>
        <v/>
      </c>
      <c r="J643" s="13">
        <f>$B$7*(A643*S$71+B643*T$71+C643*U$71+D643*V$71)+F643/100*$B$7*X$71-$C$71</f>
        <v/>
      </c>
      <c r="K643" s="13">
        <f>$B$7*(A643*Z$71+B643*AA$71+C643*AB$71+D643*AC$71)+F643/100*$B$7*AE$71-$C$71</f>
        <v/>
      </c>
      <c r="L643" s="13">
        <f>$B$7*(A643*AG$71+B643*AH$71+C643*AI$71+D643*AJ$71)+F643/100*$B$7*AL$71-$C$71</f>
        <v/>
      </c>
      <c r="M643" s="13">
        <f>$B$7*(A643*AN$71+B643*AO$71+C643*AP$71+D643*AQ$71)+F643/100*$B$7*AS$71-$C$71</f>
        <v/>
      </c>
      <c r="N643" s="13">
        <f>SUMPRODUCT($H$24:$M$24,H643:M643)</f>
        <v/>
      </c>
      <c r="O643" s="14">
        <f>SQRT(SUMPRODUCT($H$24:$M$24,(H643:M643-N643)^2))</f>
        <v/>
      </c>
      <c r="P643" s="13">
        <f>MIN(H643:M643)</f>
        <v/>
      </c>
      <c r="Q643" s="13">
        <f>MAX(H643:M643)</f>
        <v/>
      </c>
      <c r="R643" s="27">
        <f>IF(G643,SUMPRODUCT(($G$76:$G$1505)*($N$76:$N$1505&gt;=N643)*($O$76:$O$1505&lt;=O643))=1,FALSE)</f>
        <v/>
      </c>
      <c r="S643" s="16">
        <f>IF(R643,ABS((O643-$AC$76)/MAX(0.0001,$AC$77-$AC$76)-(N643-$AC$78)/MAX(0.0001,$AC$79-$AC$78)),-1)</f>
        <v/>
      </c>
      <c r="T643" s="14">
        <f>IF(G643,O643,NA())</f>
        <v/>
      </c>
      <c r="U643" s="13">
        <f>IF(G643,N643,NA())</f>
        <v/>
      </c>
      <c r="V643" s="14">
        <f>IF(R643,O643,NA())</f>
        <v/>
      </c>
      <c r="W643" s="13">
        <f>IF(R643,N643,NA())</f>
        <v/>
      </c>
      <c r="X643" s="27">
        <f>IF(G643,P643,"")</f>
        <v/>
      </c>
      <c r="Y643" s="27">
        <f>IF(G643,N643,"")</f>
        <v/>
      </c>
      <c r="Z643" s="27">
        <f>IF(R643,O643,"")</f>
        <v/>
      </c>
      <c r="AA643" s="27">
        <f>IF(R643,N643,"")</f>
        <v/>
      </c>
    </row>
    <row r="644">
      <c r="A644" s="31" t="n">
        <v>0.1</v>
      </c>
      <c r="B644" s="31" t="n">
        <v>0.6</v>
      </c>
      <c r="C644" s="31" t="n">
        <v>0.2</v>
      </c>
      <c r="D644" s="31" t="n">
        <v>0.1</v>
      </c>
      <c r="E644" s="27" t="inlineStr">
        <is>
          <t>ON 10%/1M 60%/2M 20%/3M 10%</t>
        </is>
      </c>
      <c r="F644" s="27" t="n">
        <v>75</v>
      </c>
      <c r="G644" s="27">
        <f>A644*$B$7&gt;=$B$9</f>
        <v/>
      </c>
      <c r="H644" s="13">
        <f>$B$7*(A644*E$71+B644*F$71+C644*G$71+D644*H$71)+F644/100*$B$7*J$71-$C$71</f>
        <v/>
      </c>
      <c r="I644" s="13">
        <f>$B$7*(A644*L$71+B644*M$71+C644*N$71+D644*O$71)+F644/100*$B$7*Q$71-$C$71</f>
        <v/>
      </c>
      <c r="J644" s="13">
        <f>$B$7*(A644*S$71+B644*T$71+C644*U$71+D644*V$71)+F644/100*$B$7*X$71-$C$71</f>
        <v/>
      </c>
      <c r="K644" s="13">
        <f>$B$7*(A644*Z$71+B644*AA$71+C644*AB$71+D644*AC$71)+F644/100*$B$7*AE$71-$C$71</f>
        <v/>
      </c>
      <c r="L644" s="13">
        <f>$B$7*(A644*AG$71+B644*AH$71+C644*AI$71+D644*AJ$71)+F644/100*$B$7*AL$71-$C$71</f>
        <v/>
      </c>
      <c r="M644" s="13">
        <f>$B$7*(A644*AN$71+B644*AO$71+C644*AP$71+D644*AQ$71)+F644/100*$B$7*AS$71-$C$71</f>
        <v/>
      </c>
      <c r="N644" s="13">
        <f>SUMPRODUCT($H$24:$M$24,H644:M644)</f>
        <v/>
      </c>
      <c r="O644" s="14">
        <f>SQRT(SUMPRODUCT($H$24:$M$24,(H644:M644-N644)^2))</f>
        <v/>
      </c>
      <c r="P644" s="13">
        <f>MIN(H644:M644)</f>
        <v/>
      </c>
      <c r="Q644" s="13">
        <f>MAX(H644:M644)</f>
        <v/>
      </c>
      <c r="R644" s="27">
        <f>IF(G644,SUMPRODUCT(($G$76:$G$1505)*($N$76:$N$1505&gt;=N644)*($O$76:$O$1505&lt;=O644))=1,FALSE)</f>
        <v/>
      </c>
      <c r="S644" s="16">
        <f>IF(R644,ABS((O644-$AC$76)/MAX(0.0001,$AC$77-$AC$76)-(N644-$AC$78)/MAX(0.0001,$AC$79-$AC$78)),-1)</f>
        <v/>
      </c>
      <c r="T644" s="14">
        <f>IF(G644,O644,NA())</f>
        <v/>
      </c>
      <c r="U644" s="13">
        <f>IF(G644,N644,NA())</f>
        <v/>
      </c>
      <c r="V644" s="14">
        <f>IF(R644,O644,NA())</f>
        <v/>
      </c>
      <c r="W644" s="13">
        <f>IF(R644,N644,NA())</f>
        <v/>
      </c>
      <c r="X644" s="27">
        <f>IF(G644,P644,"")</f>
        <v/>
      </c>
      <c r="Y644" s="27">
        <f>IF(G644,N644,"")</f>
        <v/>
      </c>
      <c r="Z644" s="27">
        <f>IF(R644,O644,"")</f>
        <v/>
      </c>
      <c r="AA644" s="27">
        <f>IF(R644,N644,"")</f>
        <v/>
      </c>
    </row>
    <row r="645">
      <c r="A645" s="31" t="n">
        <v>0.1</v>
      </c>
      <c r="B645" s="31" t="n">
        <v>0.6</v>
      </c>
      <c r="C645" s="31" t="n">
        <v>0.2</v>
      </c>
      <c r="D645" s="31" t="n">
        <v>0.1</v>
      </c>
      <c r="E645" s="27" t="inlineStr">
        <is>
          <t>ON 10%/1M 60%/2M 20%/3M 10%</t>
        </is>
      </c>
      <c r="F645" s="27" t="n">
        <v>100</v>
      </c>
      <c r="G645" s="27">
        <f>A645*$B$7&gt;=$B$9</f>
        <v/>
      </c>
      <c r="H645" s="13">
        <f>$B$7*(A645*E$71+B645*F$71+C645*G$71+D645*H$71)+F645/100*$B$7*J$71-$C$71</f>
        <v/>
      </c>
      <c r="I645" s="13">
        <f>$B$7*(A645*L$71+B645*M$71+C645*N$71+D645*O$71)+F645/100*$B$7*Q$71-$C$71</f>
        <v/>
      </c>
      <c r="J645" s="13">
        <f>$B$7*(A645*S$71+B645*T$71+C645*U$71+D645*V$71)+F645/100*$B$7*X$71-$C$71</f>
        <v/>
      </c>
      <c r="K645" s="13">
        <f>$B$7*(A645*Z$71+B645*AA$71+C645*AB$71+D645*AC$71)+F645/100*$B$7*AE$71-$C$71</f>
        <v/>
      </c>
      <c r="L645" s="13">
        <f>$B$7*(A645*AG$71+B645*AH$71+C645*AI$71+D645*AJ$71)+F645/100*$B$7*AL$71-$C$71</f>
        <v/>
      </c>
      <c r="M645" s="13">
        <f>$B$7*(A645*AN$71+B645*AO$71+C645*AP$71+D645*AQ$71)+F645/100*$B$7*AS$71-$C$71</f>
        <v/>
      </c>
      <c r="N645" s="13">
        <f>SUMPRODUCT($H$24:$M$24,H645:M645)</f>
        <v/>
      </c>
      <c r="O645" s="14">
        <f>SQRT(SUMPRODUCT($H$24:$M$24,(H645:M645-N645)^2))</f>
        <v/>
      </c>
      <c r="P645" s="13">
        <f>MIN(H645:M645)</f>
        <v/>
      </c>
      <c r="Q645" s="13">
        <f>MAX(H645:M645)</f>
        <v/>
      </c>
      <c r="R645" s="27">
        <f>IF(G645,SUMPRODUCT(($G$76:$G$1505)*($N$76:$N$1505&gt;=N645)*($O$76:$O$1505&lt;=O645))=1,FALSE)</f>
        <v/>
      </c>
      <c r="S645" s="16">
        <f>IF(R645,ABS((O645-$AC$76)/MAX(0.0001,$AC$77-$AC$76)-(N645-$AC$78)/MAX(0.0001,$AC$79-$AC$78)),-1)</f>
        <v/>
      </c>
      <c r="T645" s="14">
        <f>IF(G645,O645,NA())</f>
        <v/>
      </c>
      <c r="U645" s="13">
        <f>IF(G645,N645,NA())</f>
        <v/>
      </c>
      <c r="V645" s="14">
        <f>IF(R645,O645,NA())</f>
        <v/>
      </c>
      <c r="W645" s="13">
        <f>IF(R645,N645,NA())</f>
        <v/>
      </c>
      <c r="X645" s="27">
        <f>IF(G645,P645,"")</f>
        <v/>
      </c>
      <c r="Y645" s="27">
        <f>IF(G645,N645,"")</f>
        <v/>
      </c>
      <c r="Z645" s="27">
        <f>IF(R645,O645,"")</f>
        <v/>
      </c>
      <c r="AA645" s="27">
        <f>IF(R645,N645,"")</f>
        <v/>
      </c>
    </row>
    <row r="646">
      <c r="A646" s="31" t="n">
        <v>0.1</v>
      </c>
      <c r="B646" s="31" t="n">
        <v>0.6</v>
      </c>
      <c r="C646" s="31" t="n">
        <v>0.3</v>
      </c>
      <c r="D646" s="31" t="n">
        <v>0</v>
      </c>
      <c r="E646" s="27" t="inlineStr">
        <is>
          <t>ON 10%/1M 60%/2M 30%</t>
        </is>
      </c>
      <c r="F646" s="27" t="n">
        <v>0</v>
      </c>
      <c r="G646" s="27">
        <f>A646*$B$7&gt;=$B$9</f>
        <v/>
      </c>
      <c r="H646" s="13">
        <f>$B$7*(A646*E$71+B646*F$71+C646*G$71+D646*H$71)+F646/100*$B$7*J$71-$C$71</f>
        <v/>
      </c>
      <c r="I646" s="13">
        <f>$B$7*(A646*L$71+B646*M$71+C646*N$71+D646*O$71)+F646/100*$B$7*Q$71-$C$71</f>
        <v/>
      </c>
      <c r="J646" s="13">
        <f>$B$7*(A646*S$71+B646*T$71+C646*U$71+D646*V$71)+F646/100*$B$7*X$71-$C$71</f>
        <v/>
      </c>
      <c r="K646" s="13">
        <f>$B$7*(A646*Z$71+B646*AA$71+C646*AB$71+D646*AC$71)+F646/100*$B$7*AE$71-$C$71</f>
        <v/>
      </c>
      <c r="L646" s="13">
        <f>$B$7*(A646*AG$71+B646*AH$71+C646*AI$71+D646*AJ$71)+F646/100*$B$7*AL$71-$C$71</f>
        <v/>
      </c>
      <c r="M646" s="13">
        <f>$B$7*(A646*AN$71+B646*AO$71+C646*AP$71+D646*AQ$71)+F646/100*$B$7*AS$71-$C$71</f>
        <v/>
      </c>
      <c r="N646" s="13">
        <f>SUMPRODUCT($H$24:$M$24,H646:M646)</f>
        <v/>
      </c>
      <c r="O646" s="14">
        <f>SQRT(SUMPRODUCT($H$24:$M$24,(H646:M646-N646)^2))</f>
        <v/>
      </c>
      <c r="P646" s="13">
        <f>MIN(H646:M646)</f>
        <v/>
      </c>
      <c r="Q646" s="13">
        <f>MAX(H646:M646)</f>
        <v/>
      </c>
      <c r="R646" s="27">
        <f>IF(G646,SUMPRODUCT(($G$76:$G$1505)*($N$76:$N$1505&gt;=N646)*($O$76:$O$1505&lt;=O646))=1,FALSE)</f>
        <v/>
      </c>
      <c r="S646" s="16">
        <f>IF(R646,ABS((O646-$AC$76)/MAX(0.0001,$AC$77-$AC$76)-(N646-$AC$78)/MAX(0.0001,$AC$79-$AC$78)),-1)</f>
        <v/>
      </c>
      <c r="T646" s="14">
        <f>IF(G646,O646,NA())</f>
        <v/>
      </c>
      <c r="U646" s="13">
        <f>IF(G646,N646,NA())</f>
        <v/>
      </c>
      <c r="V646" s="14">
        <f>IF(R646,O646,NA())</f>
        <v/>
      </c>
      <c r="W646" s="13">
        <f>IF(R646,N646,NA())</f>
        <v/>
      </c>
      <c r="X646" s="27">
        <f>IF(G646,P646,"")</f>
        <v/>
      </c>
      <c r="Y646" s="27">
        <f>IF(G646,N646,"")</f>
        <v/>
      </c>
      <c r="Z646" s="27">
        <f>IF(R646,O646,"")</f>
        <v/>
      </c>
      <c r="AA646" s="27">
        <f>IF(R646,N646,"")</f>
        <v/>
      </c>
    </row>
    <row r="647">
      <c r="A647" s="31" t="n">
        <v>0.1</v>
      </c>
      <c r="B647" s="31" t="n">
        <v>0.6</v>
      </c>
      <c r="C647" s="31" t="n">
        <v>0.3</v>
      </c>
      <c r="D647" s="31" t="n">
        <v>0</v>
      </c>
      <c r="E647" s="27" t="inlineStr">
        <is>
          <t>ON 10%/1M 60%/2M 30%</t>
        </is>
      </c>
      <c r="F647" s="27" t="n">
        <v>25</v>
      </c>
      <c r="G647" s="27">
        <f>A647*$B$7&gt;=$B$9</f>
        <v/>
      </c>
      <c r="H647" s="13">
        <f>$B$7*(A647*E$71+B647*F$71+C647*G$71+D647*H$71)+F647/100*$B$7*J$71-$C$71</f>
        <v/>
      </c>
      <c r="I647" s="13">
        <f>$B$7*(A647*L$71+B647*M$71+C647*N$71+D647*O$71)+F647/100*$B$7*Q$71-$C$71</f>
        <v/>
      </c>
      <c r="J647" s="13">
        <f>$B$7*(A647*S$71+B647*T$71+C647*U$71+D647*V$71)+F647/100*$B$7*X$71-$C$71</f>
        <v/>
      </c>
      <c r="K647" s="13">
        <f>$B$7*(A647*Z$71+B647*AA$71+C647*AB$71+D647*AC$71)+F647/100*$B$7*AE$71-$C$71</f>
        <v/>
      </c>
      <c r="L647" s="13">
        <f>$B$7*(A647*AG$71+B647*AH$71+C647*AI$71+D647*AJ$71)+F647/100*$B$7*AL$71-$C$71</f>
        <v/>
      </c>
      <c r="M647" s="13">
        <f>$B$7*(A647*AN$71+B647*AO$71+C647*AP$71+D647*AQ$71)+F647/100*$B$7*AS$71-$C$71</f>
        <v/>
      </c>
      <c r="N647" s="13">
        <f>SUMPRODUCT($H$24:$M$24,H647:M647)</f>
        <v/>
      </c>
      <c r="O647" s="14">
        <f>SQRT(SUMPRODUCT($H$24:$M$24,(H647:M647-N647)^2))</f>
        <v/>
      </c>
      <c r="P647" s="13">
        <f>MIN(H647:M647)</f>
        <v/>
      </c>
      <c r="Q647" s="13">
        <f>MAX(H647:M647)</f>
        <v/>
      </c>
      <c r="R647" s="27">
        <f>IF(G647,SUMPRODUCT(($G$76:$G$1505)*($N$76:$N$1505&gt;=N647)*($O$76:$O$1505&lt;=O647))=1,FALSE)</f>
        <v/>
      </c>
      <c r="S647" s="16">
        <f>IF(R647,ABS((O647-$AC$76)/MAX(0.0001,$AC$77-$AC$76)-(N647-$AC$78)/MAX(0.0001,$AC$79-$AC$78)),-1)</f>
        <v/>
      </c>
      <c r="T647" s="14">
        <f>IF(G647,O647,NA())</f>
        <v/>
      </c>
      <c r="U647" s="13">
        <f>IF(G647,N647,NA())</f>
        <v/>
      </c>
      <c r="V647" s="14">
        <f>IF(R647,O647,NA())</f>
        <v/>
      </c>
      <c r="W647" s="13">
        <f>IF(R647,N647,NA())</f>
        <v/>
      </c>
      <c r="X647" s="27">
        <f>IF(G647,P647,"")</f>
        <v/>
      </c>
      <c r="Y647" s="27">
        <f>IF(G647,N647,"")</f>
        <v/>
      </c>
      <c r="Z647" s="27">
        <f>IF(R647,O647,"")</f>
        <v/>
      </c>
      <c r="AA647" s="27">
        <f>IF(R647,N647,"")</f>
        <v/>
      </c>
    </row>
    <row r="648">
      <c r="A648" s="31" t="n">
        <v>0.1</v>
      </c>
      <c r="B648" s="31" t="n">
        <v>0.6</v>
      </c>
      <c r="C648" s="31" t="n">
        <v>0.3</v>
      </c>
      <c r="D648" s="31" t="n">
        <v>0</v>
      </c>
      <c r="E648" s="27" t="inlineStr">
        <is>
          <t>ON 10%/1M 60%/2M 30%</t>
        </is>
      </c>
      <c r="F648" s="27" t="n">
        <v>50</v>
      </c>
      <c r="G648" s="27">
        <f>A648*$B$7&gt;=$B$9</f>
        <v/>
      </c>
      <c r="H648" s="13">
        <f>$B$7*(A648*E$71+B648*F$71+C648*G$71+D648*H$71)+F648/100*$B$7*J$71-$C$71</f>
        <v/>
      </c>
      <c r="I648" s="13">
        <f>$B$7*(A648*L$71+B648*M$71+C648*N$71+D648*O$71)+F648/100*$B$7*Q$71-$C$71</f>
        <v/>
      </c>
      <c r="J648" s="13">
        <f>$B$7*(A648*S$71+B648*T$71+C648*U$71+D648*V$71)+F648/100*$B$7*X$71-$C$71</f>
        <v/>
      </c>
      <c r="K648" s="13">
        <f>$B$7*(A648*Z$71+B648*AA$71+C648*AB$71+D648*AC$71)+F648/100*$B$7*AE$71-$C$71</f>
        <v/>
      </c>
      <c r="L648" s="13">
        <f>$B$7*(A648*AG$71+B648*AH$71+C648*AI$71+D648*AJ$71)+F648/100*$B$7*AL$71-$C$71</f>
        <v/>
      </c>
      <c r="M648" s="13">
        <f>$B$7*(A648*AN$71+B648*AO$71+C648*AP$71+D648*AQ$71)+F648/100*$B$7*AS$71-$C$71</f>
        <v/>
      </c>
      <c r="N648" s="13">
        <f>SUMPRODUCT($H$24:$M$24,H648:M648)</f>
        <v/>
      </c>
      <c r="O648" s="14">
        <f>SQRT(SUMPRODUCT($H$24:$M$24,(H648:M648-N648)^2))</f>
        <v/>
      </c>
      <c r="P648" s="13">
        <f>MIN(H648:M648)</f>
        <v/>
      </c>
      <c r="Q648" s="13">
        <f>MAX(H648:M648)</f>
        <v/>
      </c>
      <c r="R648" s="27">
        <f>IF(G648,SUMPRODUCT(($G$76:$G$1505)*($N$76:$N$1505&gt;=N648)*($O$76:$O$1505&lt;=O648))=1,FALSE)</f>
        <v/>
      </c>
      <c r="S648" s="16">
        <f>IF(R648,ABS((O648-$AC$76)/MAX(0.0001,$AC$77-$AC$76)-(N648-$AC$78)/MAX(0.0001,$AC$79-$AC$78)),-1)</f>
        <v/>
      </c>
      <c r="T648" s="14">
        <f>IF(G648,O648,NA())</f>
        <v/>
      </c>
      <c r="U648" s="13">
        <f>IF(G648,N648,NA())</f>
        <v/>
      </c>
      <c r="V648" s="14">
        <f>IF(R648,O648,NA())</f>
        <v/>
      </c>
      <c r="W648" s="13">
        <f>IF(R648,N648,NA())</f>
        <v/>
      </c>
      <c r="X648" s="27">
        <f>IF(G648,P648,"")</f>
        <v/>
      </c>
      <c r="Y648" s="27">
        <f>IF(G648,N648,"")</f>
        <v/>
      </c>
      <c r="Z648" s="27">
        <f>IF(R648,O648,"")</f>
        <v/>
      </c>
      <c r="AA648" s="27">
        <f>IF(R648,N648,"")</f>
        <v/>
      </c>
    </row>
    <row r="649">
      <c r="A649" s="31" t="n">
        <v>0.1</v>
      </c>
      <c r="B649" s="31" t="n">
        <v>0.6</v>
      </c>
      <c r="C649" s="31" t="n">
        <v>0.3</v>
      </c>
      <c r="D649" s="31" t="n">
        <v>0</v>
      </c>
      <c r="E649" s="27" t="inlineStr">
        <is>
          <t>ON 10%/1M 60%/2M 30%</t>
        </is>
      </c>
      <c r="F649" s="27" t="n">
        <v>75</v>
      </c>
      <c r="G649" s="27">
        <f>A649*$B$7&gt;=$B$9</f>
        <v/>
      </c>
      <c r="H649" s="13">
        <f>$B$7*(A649*E$71+B649*F$71+C649*G$71+D649*H$71)+F649/100*$B$7*J$71-$C$71</f>
        <v/>
      </c>
      <c r="I649" s="13">
        <f>$B$7*(A649*L$71+B649*M$71+C649*N$71+D649*O$71)+F649/100*$B$7*Q$71-$C$71</f>
        <v/>
      </c>
      <c r="J649" s="13">
        <f>$B$7*(A649*S$71+B649*T$71+C649*U$71+D649*V$71)+F649/100*$B$7*X$71-$C$71</f>
        <v/>
      </c>
      <c r="K649" s="13">
        <f>$B$7*(A649*Z$71+B649*AA$71+C649*AB$71+D649*AC$71)+F649/100*$B$7*AE$71-$C$71</f>
        <v/>
      </c>
      <c r="L649" s="13">
        <f>$B$7*(A649*AG$71+B649*AH$71+C649*AI$71+D649*AJ$71)+F649/100*$B$7*AL$71-$C$71</f>
        <v/>
      </c>
      <c r="M649" s="13">
        <f>$B$7*(A649*AN$71+B649*AO$71+C649*AP$71+D649*AQ$71)+F649/100*$B$7*AS$71-$C$71</f>
        <v/>
      </c>
      <c r="N649" s="13">
        <f>SUMPRODUCT($H$24:$M$24,H649:M649)</f>
        <v/>
      </c>
      <c r="O649" s="14">
        <f>SQRT(SUMPRODUCT($H$24:$M$24,(H649:M649-N649)^2))</f>
        <v/>
      </c>
      <c r="P649" s="13">
        <f>MIN(H649:M649)</f>
        <v/>
      </c>
      <c r="Q649" s="13">
        <f>MAX(H649:M649)</f>
        <v/>
      </c>
      <c r="R649" s="27">
        <f>IF(G649,SUMPRODUCT(($G$76:$G$1505)*($N$76:$N$1505&gt;=N649)*($O$76:$O$1505&lt;=O649))=1,FALSE)</f>
        <v/>
      </c>
      <c r="S649" s="16">
        <f>IF(R649,ABS((O649-$AC$76)/MAX(0.0001,$AC$77-$AC$76)-(N649-$AC$78)/MAX(0.0001,$AC$79-$AC$78)),-1)</f>
        <v/>
      </c>
      <c r="T649" s="14">
        <f>IF(G649,O649,NA())</f>
        <v/>
      </c>
      <c r="U649" s="13">
        <f>IF(G649,N649,NA())</f>
        <v/>
      </c>
      <c r="V649" s="14">
        <f>IF(R649,O649,NA())</f>
        <v/>
      </c>
      <c r="W649" s="13">
        <f>IF(R649,N649,NA())</f>
        <v/>
      </c>
      <c r="X649" s="27">
        <f>IF(G649,P649,"")</f>
        <v/>
      </c>
      <c r="Y649" s="27">
        <f>IF(G649,N649,"")</f>
        <v/>
      </c>
      <c r="Z649" s="27">
        <f>IF(R649,O649,"")</f>
        <v/>
      </c>
      <c r="AA649" s="27">
        <f>IF(R649,N649,"")</f>
        <v/>
      </c>
    </row>
    <row r="650">
      <c r="A650" s="31" t="n">
        <v>0.1</v>
      </c>
      <c r="B650" s="31" t="n">
        <v>0.6</v>
      </c>
      <c r="C650" s="31" t="n">
        <v>0.3</v>
      </c>
      <c r="D650" s="31" t="n">
        <v>0</v>
      </c>
      <c r="E650" s="27" t="inlineStr">
        <is>
          <t>ON 10%/1M 60%/2M 30%</t>
        </is>
      </c>
      <c r="F650" s="27" t="n">
        <v>100</v>
      </c>
      <c r="G650" s="27">
        <f>A650*$B$7&gt;=$B$9</f>
        <v/>
      </c>
      <c r="H650" s="13">
        <f>$B$7*(A650*E$71+B650*F$71+C650*G$71+D650*H$71)+F650/100*$B$7*J$71-$C$71</f>
        <v/>
      </c>
      <c r="I650" s="13">
        <f>$B$7*(A650*L$71+B650*M$71+C650*N$71+D650*O$71)+F650/100*$B$7*Q$71-$C$71</f>
        <v/>
      </c>
      <c r="J650" s="13">
        <f>$B$7*(A650*S$71+B650*T$71+C650*U$71+D650*V$71)+F650/100*$B$7*X$71-$C$71</f>
        <v/>
      </c>
      <c r="K650" s="13">
        <f>$B$7*(A650*Z$71+B650*AA$71+C650*AB$71+D650*AC$71)+F650/100*$B$7*AE$71-$C$71</f>
        <v/>
      </c>
      <c r="L650" s="13">
        <f>$B$7*(A650*AG$71+B650*AH$71+C650*AI$71+D650*AJ$71)+F650/100*$B$7*AL$71-$C$71</f>
        <v/>
      </c>
      <c r="M650" s="13">
        <f>$B$7*(A650*AN$71+B650*AO$71+C650*AP$71+D650*AQ$71)+F650/100*$B$7*AS$71-$C$71</f>
        <v/>
      </c>
      <c r="N650" s="13">
        <f>SUMPRODUCT($H$24:$M$24,H650:M650)</f>
        <v/>
      </c>
      <c r="O650" s="14">
        <f>SQRT(SUMPRODUCT($H$24:$M$24,(H650:M650-N650)^2))</f>
        <v/>
      </c>
      <c r="P650" s="13">
        <f>MIN(H650:M650)</f>
        <v/>
      </c>
      <c r="Q650" s="13">
        <f>MAX(H650:M650)</f>
        <v/>
      </c>
      <c r="R650" s="27">
        <f>IF(G650,SUMPRODUCT(($G$76:$G$1505)*($N$76:$N$1505&gt;=N650)*($O$76:$O$1505&lt;=O650))=1,FALSE)</f>
        <v/>
      </c>
      <c r="S650" s="16">
        <f>IF(R650,ABS((O650-$AC$76)/MAX(0.0001,$AC$77-$AC$76)-(N650-$AC$78)/MAX(0.0001,$AC$79-$AC$78)),-1)</f>
        <v/>
      </c>
      <c r="T650" s="14">
        <f>IF(G650,O650,NA())</f>
        <v/>
      </c>
      <c r="U650" s="13">
        <f>IF(G650,N650,NA())</f>
        <v/>
      </c>
      <c r="V650" s="14">
        <f>IF(R650,O650,NA())</f>
        <v/>
      </c>
      <c r="W650" s="13">
        <f>IF(R650,N650,NA())</f>
        <v/>
      </c>
      <c r="X650" s="27">
        <f>IF(G650,P650,"")</f>
        <v/>
      </c>
      <c r="Y650" s="27">
        <f>IF(G650,N650,"")</f>
        <v/>
      </c>
      <c r="Z650" s="27">
        <f>IF(R650,O650,"")</f>
        <v/>
      </c>
      <c r="AA650" s="27">
        <f>IF(R650,N650,"")</f>
        <v/>
      </c>
    </row>
    <row r="651">
      <c r="A651" s="31" t="n">
        <v>0.1</v>
      </c>
      <c r="B651" s="31" t="n">
        <v>0.7</v>
      </c>
      <c r="C651" s="31" t="n">
        <v>0</v>
      </c>
      <c r="D651" s="31" t="n">
        <v>0.2</v>
      </c>
      <c r="E651" s="27" t="inlineStr">
        <is>
          <t>ON 10%/1M 70%/3M 20%</t>
        </is>
      </c>
      <c r="F651" s="27" t="n">
        <v>0</v>
      </c>
      <c r="G651" s="27">
        <f>A651*$B$7&gt;=$B$9</f>
        <v/>
      </c>
      <c r="H651" s="13">
        <f>$B$7*(A651*E$71+B651*F$71+C651*G$71+D651*H$71)+F651/100*$B$7*J$71-$C$71</f>
        <v/>
      </c>
      <c r="I651" s="13">
        <f>$B$7*(A651*L$71+B651*M$71+C651*N$71+D651*O$71)+F651/100*$B$7*Q$71-$C$71</f>
        <v/>
      </c>
      <c r="J651" s="13">
        <f>$B$7*(A651*S$71+B651*T$71+C651*U$71+D651*V$71)+F651/100*$B$7*X$71-$C$71</f>
        <v/>
      </c>
      <c r="K651" s="13">
        <f>$B$7*(A651*Z$71+B651*AA$71+C651*AB$71+D651*AC$71)+F651/100*$B$7*AE$71-$C$71</f>
        <v/>
      </c>
      <c r="L651" s="13">
        <f>$B$7*(A651*AG$71+B651*AH$71+C651*AI$71+D651*AJ$71)+F651/100*$B$7*AL$71-$C$71</f>
        <v/>
      </c>
      <c r="M651" s="13">
        <f>$B$7*(A651*AN$71+B651*AO$71+C651*AP$71+D651*AQ$71)+F651/100*$B$7*AS$71-$C$71</f>
        <v/>
      </c>
      <c r="N651" s="13">
        <f>SUMPRODUCT($H$24:$M$24,H651:M651)</f>
        <v/>
      </c>
      <c r="O651" s="14">
        <f>SQRT(SUMPRODUCT($H$24:$M$24,(H651:M651-N651)^2))</f>
        <v/>
      </c>
      <c r="P651" s="13">
        <f>MIN(H651:M651)</f>
        <v/>
      </c>
      <c r="Q651" s="13">
        <f>MAX(H651:M651)</f>
        <v/>
      </c>
      <c r="R651" s="27">
        <f>IF(G651,SUMPRODUCT(($G$76:$G$1505)*($N$76:$N$1505&gt;=N651)*($O$76:$O$1505&lt;=O651))=1,FALSE)</f>
        <v/>
      </c>
      <c r="S651" s="16">
        <f>IF(R651,ABS((O651-$AC$76)/MAX(0.0001,$AC$77-$AC$76)-(N651-$AC$78)/MAX(0.0001,$AC$79-$AC$78)),-1)</f>
        <v/>
      </c>
      <c r="T651" s="14">
        <f>IF(G651,O651,NA())</f>
        <v/>
      </c>
      <c r="U651" s="13">
        <f>IF(G651,N651,NA())</f>
        <v/>
      </c>
      <c r="V651" s="14">
        <f>IF(R651,O651,NA())</f>
        <v/>
      </c>
      <c r="W651" s="13">
        <f>IF(R651,N651,NA())</f>
        <v/>
      </c>
      <c r="X651" s="27">
        <f>IF(G651,P651,"")</f>
        <v/>
      </c>
      <c r="Y651" s="27">
        <f>IF(G651,N651,"")</f>
        <v/>
      </c>
      <c r="Z651" s="27">
        <f>IF(R651,O651,"")</f>
        <v/>
      </c>
      <c r="AA651" s="27">
        <f>IF(R651,N651,"")</f>
        <v/>
      </c>
    </row>
    <row r="652">
      <c r="A652" s="31" t="n">
        <v>0.1</v>
      </c>
      <c r="B652" s="31" t="n">
        <v>0.7</v>
      </c>
      <c r="C652" s="31" t="n">
        <v>0</v>
      </c>
      <c r="D652" s="31" t="n">
        <v>0.2</v>
      </c>
      <c r="E652" s="27" t="inlineStr">
        <is>
          <t>ON 10%/1M 70%/3M 20%</t>
        </is>
      </c>
      <c r="F652" s="27" t="n">
        <v>25</v>
      </c>
      <c r="G652" s="27">
        <f>A652*$B$7&gt;=$B$9</f>
        <v/>
      </c>
      <c r="H652" s="13">
        <f>$B$7*(A652*E$71+B652*F$71+C652*G$71+D652*H$71)+F652/100*$B$7*J$71-$C$71</f>
        <v/>
      </c>
      <c r="I652" s="13">
        <f>$B$7*(A652*L$71+B652*M$71+C652*N$71+D652*O$71)+F652/100*$B$7*Q$71-$C$71</f>
        <v/>
      </c>
      <c r="J652" s="13">
        <f>$B$7*(A652*S$71+B652*T$71+C652*U$71+D652*V$71)+F652/100*$B$7*X$71-$C$71</f>
        <v/>
      </c>
      <c r="K652" s="13">
        <f>$B$7*(A652*Z$71+B652*AA$71+C652*AB$71+D652*AC$71)+F652/100*$B$7*AE$71-$C$71</f>
        <v/>
      </c>
      <c r="L652" s="13">
        <f>$B$7*(A652*AG$71+B652*AH$71+C652*AI$71+D652*AJ$71)+F652/100*$B$7*AL$71-$C$71</f>
        <v/>
      </c>
      <c r="M652" s="13">
        <f>$B$7*(A652*AN$71+B652*AO$71+C652*AP$71+D652*AQ$71)+F652/100*$B$7*AS$71-$C$71</f>
        <v/>
      </c>
      <c r="N652" s="13">
        <f>SUMPRODUCT($H$24:$M$24,H652:M652)</f>
        <v/>
      </c>
      <c r="O652" s="14">
        <f>SQRT(SUMPRODUCT($H$24:$M$24,(H652:M652-N652)^2))</f>
        <v/>
      </c>
      <c r="P652" s="13">
        <f>MIN(H652:M652)</f>
        <v/>
      </c>
      <c r="Q652" s="13">
        <f>MAX(H652:M652)</f>
        <v/>
      </c>
      <c r="R652" s="27">
        <f>IF(G652,SUMPRODUCT(($G$76:$G$1505)*($N$76:$N$1505&gt;=N652)*($O$76:$O$1505&lt;=O652))=1,FALSE)</f>
        <v/>
      </c>
      <c r="S652" s="16">
        <f>IF(R652,ABS((O652-$AC$76)/MAX(0.0001,$AC$77-$AC$76)-(N652-$AC$78)/MAX(0.0001,$AC$79-$AC$78)),-1)</f>
        <v/>
      </c>
      <c r="T652" s="14">
        <f>IF(G652,O652,NA())</f>
        <v/>
      </c>
      <c r="U652" s="13">
        <f>IF(G652,N652,NA())</f>
        <v/>
      </c>
      <c r="V652" s="14">
        <f>IF(R652,O652,NA())</f>
        <v/>
      </c>
      <c r="W652" s="13">
        <f>IF(R652,N652,NA())</f>
        <v/>
      </c>
      <c r="X652" s="27">
        <f>IF(G652,P652,"")</f>
        <v/>
      </c>
      <c r="Y652" s="27">
        <f>IF(G652,N652,"")</f>
        <v/>
      </c>
      <c r="Z652" s="27">
        <f>IF(R652,O652,"")</f>
        <v/>
      </c>
      <c r="AA652" s="27">
        <f>IF(R652,N652,"")</f>
        <v/>
      </c>
    </row>
    <row r="653">
      <c r="A653" s="31" t="n">
        <v>0.1</v>
      </c>
      <c r="B653" s="31" t="n">
        <v>0.7</v>
      </c>
      <c r="C653" s="31" t="n">
        <v>0</v>
      </c>
      <c r="D653" s="31" t="n">
        <v>0.2</v>
      </c>
      <c r="E653" s="27" t="inlineStr">
        <is>
          <t>ON 10%/1M 70%/3M 20%</t>
        </is>
      </c>
      <c r="F653" s="27" t="n">
        <v>50</v>
      </c>
      <c r="G653" s="27">
        <f>A653*$B$7&gt;=$B$9</f>
        <v/>
      </c>
      <c r="H653" s="13">
        <f>$B$7*(A653*E$71+B653*F$71+C653*G$71+D653*H$71)+F653/100*$B$7*J$71-$C$71</f>
        <v/>
      </c>
      <c r="I653" s="13">
        <f>$B$7*(A653*L$71+B653*M$71+C653*N$71+D653*O$71)+F653/100*$B$7*Q$71-$C$71</f>
        <v/>
      </c>
      <c r="J653" s="13">
        <f>$B$7*(A653*S$71+B653*T$71+C653*U$71+D653*V$71)+F653/100*$B$7*X$71-$C$71</f>
        <v/>
      </c>
      <c r="K653" s="13">
        <f>$B$7*(A653*Z$71+B653*AA$71+C653*AB$71+D653*AC$71)+F653/100*$B$7*AE$71-$C$71</f>
        <v/>
      </c>
      <c r="L653" s="13">
        <f>$B$7*(A653*AG$71+B653*AH$71+C653*AI$71+D653*AJ$71)+F653/100*$B$7*AL$71-$C$71</f>
        <v/>
      </c>
      <c r="M653" s="13">
        <f>$B$7*(A653*AN$71+B653*AO$71+C653*AP$71+D653*AQ$71)+F653/100*$B$7*AS$71-$C$71</f>
        <v/>
      </c>
      <c r="N653" s="13">
        <f>SUMPRODUCT($H$24:$M$24,H653:M653)</f>
        <v/>
      </c>
      <c r="O653" s="14">
        <f>SQRT(SUMPRODUCT($H$24:$M$24,(H653:M653-N653)^2))</f>
        <v/>
      </c>
      <c r="P653" s="13">
        <f>MIN(H653:M653)</f>
        <v/>
      </c>
      <c r="Q653" s="13">
        <f>MAX(H653:M653)</f>
        <v/>
      </c>
      <c r="R653" s="27">
        <f>IF(G653,SUMPRODUCT(($G$76:$G$1505)*($N$76:$N$1505&gt;=N653)*($O$76:$O$1505&lt;=O653))=1,FALSE)</f>
        <v/>
      </c>
      <c r="S653" s="16">
        <f>IF(R653,ABS((O653-$AC$76)/MAX(0.0001,$AC$77-$AC$76)-(N653-$AC$78)/MAX(0.0001,$AC$79-$AC$78)),-1)</f>
        <v/>
      </c>
      <c r="T653" s="14">
        <f>IF(G653,O653,NA())</f>
        <v/>
      </c>
      <c r="U653" s="13">
        <f>IF(G653,N653,NA())</f>
        <v/>
      </c>
      <c r="V653" s="14">
        <f>IF(R653,O653,NA())</f>
        <v/>
      </c>
      <c r="W653" s="13">
        <f>IF(R653,N653,NA())</f>
        <v/>
      </c>
      <c r="X653" s="27">
        <f>IF(G653,P653,"")</f>
        <v/>
      </c>
      <c r="Y653" s="27">
        <f>IF(G653,N653,"")</f>
        <v/>
      </c>
      <c r="Z653" s="27">
        <f>IF(R653,O653,"")</f>
        <v/>
      </c>
      <c r="AA653" s="27">
        <f>IF(R653,N653,"")</f>
        <v/>
      </c>
    </row>
    <row r="654">
      <c r="A654" s="31" t="n">
        <v>0.1</v>
      </c>
      <c r="B654" s="31" t="n">
        <v>0.7</v>
      </c>
      <c r="C654" s="31" t="n">
        <v>0</v>
      </c>
      <c r="D654" s="31" t="n">
        <v>0.2</v>
      </c>
      <c r="E654" s="27" t="inlineStr">
        <is>
          <t>ON 10%/1M 70%/3M 20%</t>
        </is>
      </c>
      <c r="F654" s="27" t="n">
        <v>75</v>
      </c>
      <c r="G654" s="27">
        <f>A654*$B$7&gt;=$B$9</f>
        <v/>
      </c>
      <c r="H654" s="13">
        <f>$B$7*(A654*E$71+B654*F$71+C654*G$71+D654*H$71)+F654/100*$B$7*J$71-$C$71</f>
        <v/>
      </c>
      <c r="I654" s="13">
        <f>$B$7*(A654*L$71+B654*M$71+C654*N$71+D654*O$71)+F654/100*$B$7*Q$71-$C$71</f>
        <v/>
      </c>
      <c r="J654" s="13">
        <f>$B$7*(A654*S$71+B654*T$71+C654*U$71+D654*V$71)+F654/100*$B$7*X$71-$C$71</f>
        <v/>
      </c>
      <c r="K654" s="13">
        <f>$B$7*(A654*Z$71+B654*AA$71+C654*AB$71+D654*AC$71)+F654/100*$B$7*AE$71-$C$71</f>
        <v/>
      </c>
      <c r="L654" s="13">
        <f>$B$7*(A654*AG$71+B654*AH$71+C654*AI$71+D654*AJ$71)+F654/100*$B$7*AL$71-$C$71</f>
        <v/>
      </c>
      <c r="M654" s="13">
        <f>$B$7*(A654*AN$71+B654*AO$71+C654*AP$71+D654*AQ$71)+F654/100*$B$7*AS$71-$C$71</f>
        <v/>
      </c>
      <c r="N654" s="13">
        <f>SUMPRODUCT($H$24:$M$24,H654:M654)</f>
        <v/>
      </c>
      <c r="O654" s="14">
        <f>SQRT(SUMPRODUCT($H$24:$M$24,(H654:M654-N654)^2))</f>
        <v/>
      </c>
      <c r="P654" s="13">
        <f>MIN(H654:M654)</f>
        <v/>
      </c>
      <c r="Q654" s="13">
        <f>MAX(H654:M654)</f>
        <v/>
      </c>
      <c r="R654" s="27">
        <f>IF(G654,SUMPRODUCT(($G$76:$G$1505)*($N$76:$N$1505&gt;=N654)*($O$76:$O$1505&lt;=O654))=1,FALSE)</f>
        <v/>
      </c>
      <c r="S654" s="16">
        <f>IF(R654,ABS((O654-$AC$76)/MAX(0.0001,$AC$77-$AC$76)-(N654-$AC$78)/MAX(0.0001,$AC$79-$AC$78)),-1)</f>
        <v/>
      </c>
      <c r="T654" s="14">
        <f>IF(G654,O654,NA())</f>
        <v/>
      </c>
      <c r="U654" s="13">
        <f>IF(G654,N654,NA())</f>
        <v/>
      </c>
      <c r="V654" s="14">
        <f>IF(R654,O654,NA())</f>
        <v/>
      </c>
      <c r="W654" s="13">
        <f>IF(R654,N654,NA())</f>
        <v/>
      </c>
      <c r="X654" s="27">
        <f>IF(G654,P654,"")</f>
        <v/>
      </c>
      <c r="Y654" s="27">
        <f>IF(G654,N654,"")</f>
        <v/>
      </c>
      <c r="Z654" s="27">
        <f>IF(R654,O654,"")</f>
        <v/>
      </c>
      <c r="AA654" s="27">
        <f>IF(R654,N654,"")</f>
        <v/>
      </c>
    </row>
    <row r="655">
      <c r="A655" s="31" t="n">
        <v>0.1</v>
      </c>
      <c r="B655" s="31" t="n">
        <v>0.7</v>
      </c>
      <c r="C655" s="31" t="n">
        <v>0</v>
      </c>
      <c r="D655" s="31" t="n">
        <v>0.2</v>
      </c>
      <c r="E655" s="27" t="inlineStr">
        <is>
          <t>ON 10%/1M 70%/3M 20%</t>
        </is>
      </c>
      <c r="F655" s="27" t="n">
        <v>100</v>
      </c>
      <c r="G655" s="27">
        <f>A655*$B$7&gt;=$B$9</f>
        <v/>
      </c>
      <c r="H655" s="13">
        <f>$B$7*(A655*E$71+B655*F$71+C655*G$71+D655*H$71)+F655/100*$B$7*J$71-$C$71</f>
        <v/>
      </c>
      <c r="I655" s="13">
        <f>$B$7*(A655*L$71+B655*M$71+C655*N$71+D655*O$71)+F655/100*$B$7*Q$71-$C$71</f>
        <v/>
      </c>
      <c r="J655" s="13">
        <f>$B$7*(A655*S$71+B655*T$71+C655*U$71+D655*V$71)+F655/100*$B$7*X$71-$C$71</f>
        <v/>
      </c>
      <c r="K655" s="13">
        <f>$B$7*(A655*Z$71+B655*AA$71+C655*AB$71+D655*AC$71)+F655/100*$B$7*AE$71-$C$71</f>
        <v/>
      </c>
      <c r="L655" s="13">
        <f>$B$7*(A655*AG$71+B655*AH$71+C655*AI$71+D655*AJ$71)+F655/100*$B$7*AL$71-$C$71</f>
        <v/>
      </c>
      <c r="M655" s="13">
        <f>$B$7*(A655*AN$71+B655*AO$71+C655*AP$71+D655*AQ$71)+F655/100*$B$7*AS$71-$C$71</f>
        <v/>
      </c>
      <c r="N655" s="13">
        <f>SUMPRODUCT($H$24:$M$24,H655:M655)</f>
        <v/>
      </c>
      <c r="O655" s="14">
        <f>SQRT(SUMPRODUCT($H$24:$M$24,(H655:M655-N655)^2))</f>
        <v/>
      </c>
      <c r="P655" s="13">
        <f>MIN(H655:M655)</f>
        <v/>
      </c>
      <c r="Q655" s="13">
        <f>MAX(H655:M655)</f>
        <v/>
      </c>
      <c r="R655" s="27">
        <f>IF(G655,SUMPRODUCT(($G$76:$G$1505)*($N$76:$N$1505&gt;=N655)*($O$76:$O$1505&lt;=O655))=1,FALSE)</f>
        <v/>
      </c>
      <c r="S655" s="16">
        <f>IF(R655,ABS((O655-$AC$76)/MAX(0.0001,$AC$77-$AC$76)-(N655-$AC$78)/MAX(0.0001,$AC$79-$AC$78)),-1)</f>
        <v/>
      </c>
      <c r="T655" s="14">
        <f>IF(G655,O655,NA())</f>
        <v/>
      </c>
      <c r="U655" s="13">
        <f>IF(G655,N655,NA())</f>
        <v/>
      </c>
      <c r="V655" s="14">
        <f>IF(R655,O655,NA())</f>
        <v/>
      </c>
      <c r="W655" s="13">
        <f>IF(R655,N655,NA())</f>
        <v/>
      </c>
      <c r="X655" s="27">
        <f>IF(G655,P655,"")</f>
        <v/>
      </c>
      <c r="Y655" s="27">
        <f>IF(G655,N655,"")</f>
        <v/>
      </c>
      <c r="Z655" s="27">
        <f>IF(R655,O655,"")</f>
        <v/>
      </c>
      <c r="AA655" s="27">
        <f>IF(R655,N655,"")</f>
        <v/>
      </c>
    </row>
    <row r="656">
      <c r="A656" s="31" t="n">
        <v>0.1</v>
      </c>
      <c r="B656" s="31" t="n">
        <v>0.7</v>
      </c>
      <c r="C656" s="31" t="n">
        <v>0.1</v>
      </c>
      <c r="D656" s="31" t="n">
        <v>0.1</v>
      </c>
      <c r="E656" s="27" t="inlineStr">
        <is>
          <t>ON 10%/1M 70%/2M 10%/3M 10%</t>
        </is>
      </c>
      <c r="F656" s="27" t="n">
        <v>0</v>
      </c>
      <c r="G656" s="27">
        <f>A656*$B$7&gt;=$B$9</f>
        <v/>
      </c>
      <c r="H656" s="13">
        <f>$B$7*(A656*E$71+B656*F$71+C656*G$71+D656*H$71)+F656/100*$B$7*J$71-$C$71</f>
        <v/>
      </c>
      <c r="I656" s="13">
        <f>$B$7*(A656*L$71+B656*M$71+C656*N$71+D656*O$71)+F656/100*$B$7*Q$71-$C$71</f>
        <v/>
      </c>
      <c r="J656" s="13">
        <f>$B$7*(A656*S$71+B656*T$71+C656*U$71+D656*V$71)+F656/100*$B$7*X$71-$C$71</f>
        <v/>
      </c>
      <c r="K656" s="13">
        <f>$B$7*(A656*Z$71+B656*AA$71+C656*AB$71+D656*AC$71)+F656/100*$B$7*AE$71-$C$71</f>
        <v/>
      </c>
      <c r="L656" s="13">
        <f>$B$7*(A656*AG$71+B656*AH$71+C656*AI$71+D656*AJ$71)+F656/100*$B$7*AL$71-$C$71</f>
        <v/>
      </c>
      <c r="M656" s="13">
        <f>$B$7*(A656*AN$71+B656*AO$71+C656*AP$71+D656*AQ$71)+F656/100*$B$7*AS$71-$C$71</f>
        <v/>
      </c>
      <c r="N656" s="13">
        <f>SUMPRODUCT($H$24:$M$24,H656:M656)</f>
        <v/>
      </c>
      <c r="O656" s="14">
        <f>SQRT(SUMPRODUCT($H$24:$M$24,(H656:M656-N656)^2))</f>
        <v/>
      </c>
      <c r="P656" s="13">
        <f>MIN(H656:M656)</f>
        <v/>
      </c>
      <c r="Q656" s="13">
        <f>MAX(H656:M656)</f>
        <v/>
      </c>
      <c r="R656" s="27">
        <f>IF(G656,SUMPRODUCT(($G$76:$G$1505)*($N$76:$N$1505&gt;=N656)*($O$76:$O$1505&lt;=O656))=1,FALSE)</f>
        <v/>
      </c>
      <c r="S656" s="16">
        <f>IF(R656,ABS((O656-$AC$76)/MAX(0.0001,$AC$77-$AC$76)-(N656-$AC$78)/MAX(0.0001,$AC$79-$AC$78)),-1)</f>
        <v/>
      </c>
      <c r="T656" s="14">
        <f>IF(G656,O656,NA())</f>
        <v/>
      </c>
      <c r="U656" s="13">
        <f>IF(G656,N656,NA())</f>
        <v/>
      </c>
      <c r="V656" s="14">
        <f>IF(R656,O656,NA())</f>
        <v/>
      </c>
      <c r="W656" s="13">
        <f>IF(R656,N656,NA())</f>
        <v/>
      </c>
      <c r="X656" s="27">
        <f>IF(G656,P656,"")</f>
        <v/>
      </c>
      <c r="Y656" s="27">
        <f>IF(G656,N656,"")</f>
        <v/>
      </c>
      <c r="Z656" s="27">
        <f>IF(R656,O656,"")</f>
        <v/>
      </c>
      <c r="AA656" s="27">
        <f>IF(R656,N656,"")</f>
        <v/>
      </c>
    </row>
    <row r="657">
      <c r="A657" s="31" t="n">
        <v>0.1</v>
      </c>
      <c r="B657" s="31" t="n">
        <v>0.7</v>
      </c>
      <c r="C657" s="31" t="n">
        <v>0.1</v>
      </c>
      <c r="D657" s="31" t="n">
        <v>0.1</v>
      </c>
      <c r="E657" s="27" t="inlineStr">
        <is>
          <t>ON 10%/1M 70%/2M 10%/3M 10%</t>
        </is>
      </c>
      <c r="F657" s="27" t="n">
        <v>25</v>
      </c>
      <c r="G657" s="27">
        <f>A657*$B$7&gt;=$B$9</f>
        <v/>
      </c>
      <c r="H657" s="13">
        <f>$B$7*(A657*E$71+B657*F$71+C657*G$71+D657*H$71)+F657/100*$B$7*J$71-$C$71</f>
        <v/>
      </c>
      <c r="I657" s="13">
        <f>$B$7*(A657*L$71+B657*M$71+C657*N$71+D657*O$71)+F657/100*$B$7*Q$71-$C$71</f>
        <v/>
      </c>
      <c r="J657" s="13">
        <f>$B$7*(A657*S$71+B657*T$71+C657*U$71+D657*V$71)+F657/100*$B$7*X$71-$C$71</f>
        <v/>
      </c>
      <c r="K657" s="13">
        <f>$B$7*(A657*Z$71+B657*AA$71+C657*AB$71+D657*AC$71)+F657/100*$B$7*AE$71-$C$71</f>
        <v/>
      </c>
      <c r="L657" s="13">
        <f>$B$7*(A657*AG$71+B657*AH$71+C657*AI$71+D657*AJ$71)+F657/100*$B$7*AL$71-$C$71</f>
        <v/>
      </c>
      <c r="M657" s="13">
        <f>$B$7*(A657*AN$71+B657*AO$71+C657*AP$71+D657*AQ$71)+F657/100*$B$7*AS$71-$C$71</f>
        <v/>
      </c>
      <c r="N657" s="13">
        <f>SUMPRODUCT($H$24:$M$24,H657:M657)</f>
        <v/>
      </c>
      <c r="O657" s="14">
        <f>SQRT(SUMPRODUCT($H$24:$M$24,(H657:M657-N657)^2))</f>
        <v/>
      </c>
      <c r="P657" s="13">
        <f>MIN(H657:M657)</f>
        <v/>
      </c>
      <c r="Q657" s="13">
        <f>MAX(H657:M657)</f>
        <v/>
      </c>
      <c r="R657" s="27">
        <f>IF(G657,SUMPRODUCT(($G$76:$G$1505)*($N$76:$N$1505&gt;=N657)*($O$76:$O$1505&lt;=O657))=1,FALSE)</f>
        <v/>
      </c>
      <c r="S657" s="16">
        <f>IF(R657,ABS((O657-$AC$76)/MAX(0.0001,$AC$77-$AC$76)-(N657-$AC$78)/MAX(0.0001,$AC$79-$AC$78)),-1)</f>
        <v/>
      </c>
      <c r="T657" s="14">
        <f>IF(G657,O657,NA())</f>
        <v/>
      </c>
      <c r="U657" s="13">
        <f>IF(G657,N657,NA())</f>
        <v/>
      </c>
      <c r="V657" s="14">
        <f>IF(R657,O657,NA())</f>
        <v/>
      </c>
      <c r="W657" s="13">
        <f>IF(R657,N657,NA())</f>
        <v/>
      </c>
      <c r="X657" s="27">
        <f>IF(G657,P657,"")</f>
        <v/>
      </c>
      <c r="Y657" s="27">
        <f>IF(G657,N657,"")</f>
        <v/>
      </c>
      <c r="Z657" s="27">
        <f>IF(R657,O657,"")</f>
        <v/>
      </c>
      <c r="AA657" s="27">
        <f>IF(R657,N657,"")</f>
        <v/>
      </c>
    </row>
    <row r="658">
      <c r="A658" s="31" t="n">
        <v>0.1</v>
      </c>
      <c r="B658" s="31" t="n">
        <v>0.7</v>
      </c>
      <c r="C658" s="31" t="n">
        <v>0.1</v>
      </c>
      <c r="D658" s="31" t="n">
        <v>0.1</v>
      </c>
      <c r="E658" s="27" t="inlineStr">
        <is>
          <t>ON 10%/1M 70%/2M 10%/3M 10%</t>
        </is>
      </c>
      <c r="F658" s="27" t="n">
        <v>50</v>
      </c>
      <c r="G658" s="27">
        <f>A658*$B$7&gt;=$B$9</f>
        <v/>
      </c>
      <c r="H658" s="13">
        <f>$B$7*(A658*E$71+B658*F$71+C658*G$71+D658*H$71)+F658/100*$B$7*J$71-$C$71</f>
        <v/>
      </c>
      <c r="I658" s="13">
        <f>$B$7*(A658*L$71+B658*M$71+C658*N$71+D658*O$71)+F658/100*$B$7*Q$71-$C$71</f>
        <v/>
      </c>
      <c r="J658" s="13">
        <f>$B$7*(A658*S$71+B658*T$71+C658*U$71+D658*V$71)+F658/100*$B$7*X$71-$C$71</f>
        <v/>
      </c>
      <c r="K658" s="13">
        <f>$B$7*(A658*Z$71+B658*AA$71+C658*AB$71+D658*AC$71)+F658/100*$B$7*AE$71-$C$71</f>
        <v/>
      </c>
      <c r="L658" s="13">
        <f>$B$7*(A658*AG$71+B658*AH$71+C658*AI$71+D658*AJ$71)+F658/100*$B$7*AL$71-$C$71</f>
        <v/>
      </c>
      <c r="M658" s="13">
        <f>$B$7*(A658*AN$71+B658*AO$71+C658*AP$71+D658*AQ$71)+F658/100*$B$7*AS$71-$C$71</f>
        <v/>
      </c>
      <c r="N658" s="13">
        <f>SUMPRODUCT($H$24:$M$24,H658:M658)</f>
        <v/>
      </c>
      <c r="O658" s="14">
        <f>SQRT(SUMPRODUCT($H$24:$M$24,(H658:M658-N658)^2))</f>
        <v/>
      </c>
      <c r="P658" s="13">
        <f>MIN(H658:M658)</f>
        <v/>
      </c>
      <c r="Q658" s="13">
        <f>MAX(H658:M658)</f>
        <v/>
      </c>
      <c r="R658" s="27">
        <f>IF(G658,SUMPRODUCT(($G$76:$G$1505)*($N$76:$N$1505&gt;=N658)*($O$76:$O$1505&lt;=O658))=1,FALSE)</f>
        <v/>
      </c>
      <c r="S658" s="16">
        <f>IF(R658,ABS((O658-$AC$76)/MAX(0.0001,$AC$77-$AC$76)-(N658-$AC$78)/MAX(0.0001,$AC$79-$AC$78)),-1)</f>
        <v/>
      </c>
      <c r="T658" s="14">
        <f>IF(G658,O658,NA())</f>
        <v/>
      </c>
      <c r="U658" s="13">
        <f>IF(G658,N658,NA())</f>
        <v/>
      </c>
      <c r="V658" s="14">
        <f>IF(R658,O658,NA())</f>
        <v/>
      </c>
      <c r="W658" s="13">
        <f>IF(R658,N658,NA())</f>
        <v/>
      </c>
      <c r="X658" s="27">
        <f>IF(G658,P658,"")</f>
        <v/>
      </c>
      <c r="Y658" s="27">
        <f>IF(G658,N658,"")</f>
        <v/>
      </c>
      <c r="Z658" s="27">
        <f>IF(R658,O658,"")</f>
        <v/>
      </c>
      <c r="AA658" s="27">
        <f>IF(R658,N658,"")</f>
        <v/>
      </c>
    </row>
    <row r="659">
      <c r="A659" s="31" t="n">
        <v>0.1</v>
      </c>
      <c r="B659" s="31" t="n">
        <v>0.7</v>
      </c>
      <c r="C659" s="31" t="n">
        <v>0.1</v>
      </c>
      <c r="D659" s="31" t="n">
        <v>0.1</v>
      </c>
      <c r="E659" s="27" t="inlineStr">
        <is>
          <t>ON 10%/1M 70%/2M 10%/3M 10%</t>
        </is>
      </c>
      <c r="F659" s="27" t="n">
        <v>75</v>
      </c>
      <c r="G659" s="27">
        <f>A659*$B$7&gt;=$B$9</f>
        <v/>
      </c>
      <c r="H659" s="13">
        <f>$B$7*(A659*E$71+B659*F$71+C659*G$71+D659*H$71)+F659/100*$B$7*J$71-$C$71</f>
        <v/>
      </c>
      <c r="I659" s="13">
        <f>$B$7*(A659*L$71+B659*M$71+C659*N$71+D659*O$71)+F659/100*$B$7*Q$71-$C$71</f>
        <v/>
      </c>
      <c r="J659" s="13">
        <f>$B$7*(A659*S$71+B659*T$71+C659*U$71+D659*V$71)+F659/100*$B$7*X$71-$C$71</f>
        <v/>
      </c>
      <c r="K659" s="13">
        <f>$B$7*(A659*Z$71+B659*AA$71+C659*AB$71+D659*AC$71)+F659/100*$B$7*AE$71-$C$71</f>
        <v/>
      </c>
      <c r="L659" s="13">
        <f>$B$7*(A659*AG$71+B659*AH$71+C659*AI$71+D659*AJ$71)+F659/100*$B$7*AL$71-$C$71</f>
        <v/>
      </c>
      <c r="M659" s="13">
        <f>$B$7*(A659*AN$71+B659*AO$71+C659*AP$71+D659*AQ$71)+F659/100*$B$7*AS$71-$C$71</f>
        <v/>
      </c>
      <c r="N659" s="13">
        <f>SUMPRODUCT($H$24:$M$24,H659:M659)</f>
        <v/>
      </c>
      <c r="O659" s="14">
        <f>SQRT(SUMPRODUCT($H$24:$M$24,(H659:M659-N659)^2))</f>
        <v/>
      </c>
      <c r="P659" s="13">
        <f>MIN(H659:M659)</f>
        <v/>
      </c>
      <c r="Q659" s="13">
        <f>MAX(H659:M659)</f>
        <v/>
      </c>
      <c r="R659" s="27">
        <f>IF(G659,SUMPRODUCT(($G$76:$G$1505)*($N$76:$N$1505&gt;=N659)*($O$76:$O$1505&lt;=O659))=1,FALSE)</f>
        <v/>
      </c>
      <c r="S659" s="16">
        <f>IF(R659,ABS((O659-$AC$76)/MAX(0.0001,$AC$77-$AC$76)-(N659-$AC$78)/MAX(0.0001,$AC$79-$AC$78)),-1)</f>
        <v/>
      </c>
      <c r="T659" s="14">
        <f>IF(G659,O659,NA())</f>
        <v/>
      </c>
      <c r="U659" s="13">
        <f>IF(G659,N659,NA())</f>
        <v/>
      </c>
      <c r="V659" s="14">
        <f>IF(R659,O659,NA())</f>
        <v/>
      </c>
      <c r="W659" s="13">
        <f>IF(R659,N659,NA())</f>
        <v/>
      </c>
      <c r="X659" s="27">
        <f>IF(G659,P659,"")</f>
        <v/>
      </c>
      <c r="Y659" s="27">
        <f>IF(G659,N659,"")</f>
        <v/>
      </c>
      <c r="Z659" s="27">
        <f>IF(R659,O659,"")</f>
        <v/>
      </c>
      <c r="AA659" s="27">
        <f>IF(R659,N659,"")</f>
        <v/>
      </c>
    </row>
    <row r="660">
      <c r="A660" s="31" t="n">
        <v>0.1</v>
      </c>
      <c r="B660" s="31" t="n">
        <v>0.7</v>
      </c>
      <c r="C660" s="31" t="n">
        <v>0.1</v>
      </c>
      <c r="D660" s="31" t="n">
        <v>0.1</v>
      </c>
      <c r="E660" s="27" t="inlineStr">
        <is>
          <t>ON 10%/1M 70%/2M 10%/3M 10%</t>
        </is>
      </c>
      <c r="F660" s="27" t="n">
        <v>100</v>
      </c>
      <c r="G660" s="27">
        <f>A660*$B$7&gt;=$B$9</f>
        <v/>
      </c>
      <c r="H660" s="13">
        <f>$B$7*(A660*E$71+B660*F$71+C660*G$71+D660*H$71)+F660/100*$B$7*J$71-$C$71</f>
        <v/>
      </c>
      <c r="I660" s="13">
        <f>$B$7*(A660*L$71+B660*M$71+C660*N$71+D660*O$71)+F660/100*$B$7*Q$71-$C$71</f>
        <v/>
      </c>
      <c r="J660" s="13">
        <f>$B$7*(A660*S$71+B660*T$71+C660*U$71+D660*V$71)+F660/100*$B$7*X$71-$C$71</f>
        <v/>
      </c>
      <c r="K660" s="13">
        <f>$B$7*(A660*Z$71+B660*AA$71+C660*AB$71+D660*AC$71)+F660/100*$B$7*AE$71-$C$71</f>
        <v/>
      </c>
      <c r="L660" s="13">
        <f>$B$7*(A660*AG$71+B660*AH$71+C660*AI$71+D660*AJ$71)+F660/100*$B$7*AL$71-$C$71</f>
        <v/>
      </c>
      <c r="M660" s="13">
        <f>$B$7*(A660*AN$71+B660*AO$71+C660*AP$71+D660*AQ$71)+F660/100*$B$7*AS$71-$C$71</f>
        <v/>
      </c>
      <c r="N660" s="13">
        <f>SUMPRODUCT($H$24:$M$24,H660:M660)</f>
        <v/>
      </c>
      <c r="O660" s="14">
        <f>SQRT(SUMPRODUCT($H$24:$M$24,(H660:M660-N660)^2))</f>
        <v/>
      </c>
      <c r="P660" s="13">
        <f>MIN(H660:M660)</f>
        <v/>
      </c>
      <c r="Q660" s="13">
        <f>MAX(H660:M660)</f>
        <v/>
      </c>
      <c r="R660" s="27">
        <f>IF(G660,SUMPRODUCT(($G$76:$G$1505)*($N$76:$N$1505&gt;=N660)*($O$76:$O$1505&lt;=O660))=1,FALSE)</f>
        <v/>
      </c>
      <c r="S660" s="16">
        <f>IF(R660,ABS((O660-$AC$76)/MAX(0.0001,$AC$77-$AC$76)-(N660-$AC$78)/MAX(0.0001,$AC$79-$AC$78)),-1)</f>
        <v/>
      </c>
      <c r="T660" s="14">
        <f>IF(G660,O660,NA())</f>
        <v/>
      </c>
      <c r="U660" s="13">
        <f>IF(G660,N660,NA())</f>
        <v/>
      </c>
      <c r="V660" s="14">
        <f>IF(R660,O660,NA())</f>
        <v/>
      </c>
      <c r="W660" s="13">
        <f>IF(R660,N660,NA())</f>
        <v/>
      </c>
      <c r="X660" s="27">
        <f>IF(G660,P660,"")</f>
        <v/>
      </c>
      <c r="Y660" s="27">
        <f>IF(G660,N660,"")</f>
        <v/>
      </c>
      <c r="Z660" s="27">
        <f>IF(R660,O660,"")</f>
        <v/>
      </c>
      <c r="AA660" s="27">
        <f>IF(R660,N660,"")</f>
        <v/>
      </c>
    </row>
    <row r="661">
      <c r="A661" s="31" t="n">
        <v>0.1</v>
      </c>
      <c r="B661" s="31" t="n">
        <v>0.7</v>
      </c>
      <c r="C661" s="31" t="n">
        <v>0.2</v>
      </c>
      <c r="D661" s="31" t="n">
        <v>0</v>
      </c>
      <c r="E661" s="27" t="inlineStr">
        <is>
          <t>ON 10%/1M 70%/2M 20%</t>
        </is>
      </c>
      <c r="F661" s="27" t="n">
        <v>0</v>
      </c>
      <c r="G661" s="27">
        <f>A661*$B$7&gt;=$B$9</f>
        <v/>
      </c>
      <c r="H661" s="13">
        <f>$B$7*(A661*E$71+B661*F$71+C661*G$71+D661*H$71)+F661/100*$B$7*J$71-$C$71</f>
        <v/>
      </c>
      <c r="I661" s="13">
        <f>$B$7*(A661*L$71+B661*M$71+C661*N$71+D661*O$71)+F661/100*$B$7*Q$71-$C$71</f>
        <v/>
      </c>
      <c r="J661" s="13">
        <f>$B$7*(A661*S$71+B661*T$71+C661*U$71+D661*V$71)+F661/100*$B$7*X$71-$C$71</f>
        <v/>
      </c>
      <c r="K661" s="13">
        <f>$B$7*(A661*Z$71+B661*AA$71+C661*AB$71+D661*AC$71)+F661/100*$B$7*AE$71-$C$71</f>
        <v/>
      </c>
      <c r="L661" s="13">
        <f>$B$7*(A661*AG$71+B661*AH$71+C661*AI$71+D661*AJ$71)+F661/100*$B$7*AL$71-$C$71</f>
        <v/>
      </c>
      <c r="M661" s="13">
        <f>$B$7*(A661*AN$71+B661*AO$71+C661*AP$71+D661*AQ$71)+F661/100*$B$7*AS$71-$C$71</f>
        <v/>
      </c>
      <c r="N661" s="13">
        <f>SUMPRODUCT($H$24:$M$24,H661:M661)</f>
        <v/>
      </c>
      <c r="O661" s="14">
        <f>SQRT(SUMPRODUCT($H$24:$M$24,(H661:M661-N661)^2))</f>
        <v/>
      </c>
      <c r="P661" s="13">
        <f>MIN(H661:M661)</f>
        <v/>
      </c>
      <c r="Q661" s="13">
        <f>MAX(H661:M661)</f>
        <v/>
      </c>
      <c r="R661" s="27">
        <f>IF(G661,SUMPRODUCT(($G$76:$G$1505)*($N$76:$N$1505&gt;=N661)*($O$76:$O$1505&lt;=O661))=1,FALSE)</f>
        <v/>
      </c>
      <c r="S661" s="16">
        <f>IF(R661,ABS((O661-$AC$76)/MAX(0.0001,$AC$77-$AC$76)-(N661-$AC$78)/MAX(0.0001,$AC$79-$AC$78)),-1)</f>
        <v/>
      </c>
      <c r="T661" s="14">
        <f>IF(G661,O661,NA())</f>
        <v/>
      </c>
      <c r="U661" s="13">
        <f>IF(G661,N661,NA())</f>
        <v/>
      </c>
      <c r="V661" s="14">
        <f>IF(R661,O661,NA())</f>
        <v/>
      </c>
      <c r="W661" s="13">
        <f>IF(R661,N661,NA())</f>
        <v/>
      </c>
      <c r="X661" s="27">
        <f>IF(G661,P661,"")</f>
        <v/>
      </c>
      <c r="Y661" s="27">
        <f>IF(G661,N661,"")</f>
        <v/>
      </c>
      <c r="Z661" s="27">
        <f>IF(R661,O661,"")</f>
        <v/>
      </c>
      <c r="AA661" s="27">
        <f>IF(R661,N661,"")</f>
        <v/>
      </c>
    </row>
    <row r="662">
      <c r="A662" s="31" t="n">
        <v>0.1</v>
      </c>
      <c r="B662" s="31" t="n">
        <v>0.7</v>
      </c>
      <c r="C662" s="31" t="n">
        <v>0.2</v>
      </c>
      <c r="D662" s="31" t="n">
        <v>0</v>
      </c>
      <c r="E662" s="27" t="inlineStr">
        <is>
          <t>ON 10%/1M 70%/2M 20%</t>
        </is>
      </c>
      <c r="F662" s="27" t="n">
        <v>25</v>
      </c>
      <c r="G662" s="27">
        <f>A662*$B$7&gt;=$B$9</f>
        <v/>
      </c>
      <c r="H662" s="13">
        <f>$B$7*(A662*E$71+B662*F$71+C662*G$71+D662*H$71)+F662/100*$B$7*J$71-$C$71</f>
        <v/>
      </c>
      <c r="I662" s="13">
        <f>$B$7*(A662*L$71+B662*M$71+C662*N$71+D662*O$71)+F662/100*$B$7*Q$71-$C$71</f>
        <v/>
      </c>
      <c r="J662" s="13">
        <f>$B$7*(A662*S$71+B662*T$71+C662*U$71+D662*V$71)+F662/100*$B$7*X$71-$C$71</f>
        <v/>
      </c>
      <c r="K662" s="13">
        <f>$B$7*(A662*Z$71+B662*AA$71+C662*AB$71+D662*AC$71)+F662/100*$B$7*AE$71-$C$71</f>
        <v/>
      </c>
      <c r="L662" s="13">
        <f>$B$7*(A662*AG$71+B662*AH$71+C662*AI$71+D662*AJ$71)+F662/100*$B$7*AL$71-$C$71</f>
        <v/>
      </c>
      <c r="M662" s="13">
        <f>$B$7*(A662*AN$71+B662*AO$71+C662*AP$71+D662*AQ$71)+F662/100*$B$7*AS$71-$C$71</f>
        <v/>
      </c>
      <c r="N662" s="13">
        <f>SUMPRODUCT($H$24:$M$24,H662:M662)</f>
        <v/>
      </c>
      <c r="O662" s="14">
        <f>SQRT(SUMPRODUCT($H$24:$M$24,(H662:M662-N662)^2))</f>
        <v/>
      </c>
      <c r="P662" s="13">
        <f>MIN(H662:M662)</f>
        <v/>
      </c>
      <c r="Q662" s="13">
        <f>MAX(H662:M662)</f>
        <v/>
      </c>
      <c r="R662" s="27">
        <f>IF(G662,SUMPRODUCT(($G$76:$G$1505)*($N$76:$N$1505&gt;=N662)*($O$76:$O$1505&lt;=O662))=1,FALSE)</f>
        <v/>
      </c>
      <c r="S662" s="16">
        <f>IF(R662,ABS((O662-$AC$76)/MAX(0.0001,$AC$77-$AC$76)-(N662-$AC$78)/MAX(0.0001,$AC$79-$AC$78)),-1)</f>
        <v/>
      </c>
      <c r="T662" s="14">
        <f>IF(G662,O662,NA())</f>
        <v/>
      </c>
      <c r="U662" s="13">
        <f>IF(G662,N662,NA())</f>
        <v/>
      </c>
      <c r="V662" s="14">
        <f>IF(R662,O662,NA())</f>
        <v/>
      </c>
      <c r="W662" s="13">
        <f>IF(R662,N662,NA())</f>
        <v/>
      </c>
      <c r="X662" s="27">
        <f>IF(G662,P662,"")</f>
        <v/>
      </c>
      <c r="Y662" s="27">
        <f>IF(G662,N662,"")</f>
        <v/>
      </c>
      <c r="Z662" s="27">
        <f>IF(R662,O662,"")</f>
        <v/>
      </c>
      <c r="AA662" s="27">
        <f>IF(R662,N662,"")</f>
        <v/>
      </c>
    </row>
    <row r="663">
      <c r="A663" s="31" t="n">
        <v>0.1</v>
      </c>
      <c r="B663" s="31" t="n">
        <v>0.7</v>
      </c>
      <c r="C663" s="31" t="n">
        <v>0.2</v>
      </c>
      <c r="D663" s="31" t="n">
        <v>0</v>
      </c>
      <c r="E663" s="27" t="inlineStr">
        <is>
          <t>ON 10%/1M 70%/2M 20%</t>
        </is>
      </c>
      <c r="F663" s="27" t="n">
        <v>50</v>
      </c>
      <c r="G663" s="27">
        <f>A663*$B$7&gt;=$B$9</f>
        <v/>
      </c>
      <c r="H663" s="13">
        <f>$B$7*(A663*E$71+B663*F$71+C663*G$71+D663*H$71)+F663/100*$B$7*J$71-$C$71</f>
        <v/>
      </c>
      <c r="I663" s="13">
        <f>$B$7*(A663*L$71+B663*M$71+C663*N$71+D663*O$71)+F663/100*$B$7*Q$71-$C$71</f>
        <v/>
      </c>
      <c r="J663" s="13">
        <f>$B$7*(A663*S$71+B663*T$71+C663*U$71+D663*V$71)+F663/100*$B$7*X$71-$C$71</f>
        <v/>
      </c>
      <c r="K663" s="13">
        <f>$B$7*(A663*Z$71+B663*AA$71+C663*AB$71+D663*AC$71)+F663/100*$B$7*AE$71-$C$71</f>
        <v/>
      </c>
      <c r="L663" s="13">
        <f>$B$7*(A663*AG$71+B663*AH$71+C663*AI$71+D663*AJ$71)+F663/100*$B$7*AL$71-$C$71</f>
        <v/>
      </c>
      <c r="M663" s="13">
        <f>$B$7*(A663*AN$71+B663*AO$71+C663*AP$71+D663*AQ$71)+F663/100*$B$7*AS$71-$C$71</f>
        <v/>
      </c>
      <c r="N663" s="13">
        <f>SUMPRODUCT($H$24:$M$24,H663:M663)</f>
        <v/>
      </c>
      <c r="O663" s="14">
        <f>SQRT(SUMPRODUCT($H$24:$M$24,(H663:M663-N663)^2))</f>
        <v/>
      </c>
      <c r="P663" s="13">
        <f>MIN(H663:M663)</f>
        <v/>
      </c>
      <c r="Q663" s="13">
        <f>MAX(H663:M663)</f>
        <v/>
      </c>
      <c r="R663" s="27">
        <f>IF(G663,SUMPRODUCT(($G$76:$G$1505)*($N$76:$N$1505&gt;=N663)*($O$76:$O$1505&lt;=O663))=1,FALSE)</f>
        <v/>
      </c>
      <c r="S663" s="16">
        <f>IF(R663,ABS((O663-$AC$76)/MAX(0.0001,$AC$77-$AC$76)-(N663-$AC$78)/MAX(0.0001,$AC$79-$AC$78)),-1)</f>
        <v/>
      </c>
      <c r="T663" s="14">
        <f>IF(G663,O663,NA())</f>
        <v/>
      </c>
      <c r="U663" s="13">
        <f>IF(G663,N663,NA())</f>
        <v/>
      </c>
      <c r="V663" s="14">
        <f>IF(R663,O663,NA())</f>
        <v/>
      </c>
      <c r="W663" s="13">
        <f>IF(R663,N663,NA())</f>
        <v/>
      </c>
      <c r="X663" s="27">
        <f>IF(G663,P663,"")</f>
        <v/>
      </c>
      <c r="Y663" s="27">
        <f>IF(G663,N663,"")</f>
        <v/>
      </c>
      <c r="Z663" s="27">
        <f>IF(R663,O663,"")</f>
        <v/>
      </c>
      <c r="AA663" s="27">
        <f>IF(R663,N663,"")</f>
        <v/>
      </c>
    </row>
    <row r="664">
      <c r="A664" s="31" t="n">
        <v>0.1</v>
      </c>
      <c r="B664" s="31" t="n">
        <v>0.7</v>
      </c>
      <c r="C664" s="31" t="n">
        <v>0.2</v>
      </c>
      <c r="D664" s="31" t="n">
        <v>0</v>
      </c>
      <c r="E664" s="27" t="inlineStr">
        <is>
          <t>ON 10%/1M 70%/2M 20%</t>
        </is>
      </c>
      <c r="F664" s="27" t="n">
        <v>75</v>
      </c>
      <c r="G664" s="27">
        <f>A664*$B$7&gt;=$B$9</f>
        <v/>
      </c>
      <c r="H664" s="13">
        <f>$B$7*(A664*E$71+B664*F$71+C664*G$71+D664*H$71)+F664/100*$B$7*J$71-$C$71</f>
        <v/>
      </c>
      <c r="I664" s="13">
        <f>$B$7*(A664*L$71+B664*M$71+C664*N$71+D664*O$71)+F664/100*$B$7*Q$71-$C$71</f>
        <v/>
      </c>
      <c r="J664" s="13">
        <f>$B$7*(A664*S$71+B664*T$71+C664*U$71+D664*V$71)+F664/100*$B$7*X$71-$C$71</f>
        <v/>
      </c>
      <c r="K664" s="13">
        <f>$B$7*(A664*Z$71+B664*AA$71+C664*AB$71+D664*AC$71)+F664/100*$B$7*AE$71-$C$71</f>
        <v/>
      </c>
      <c r="L664" s="13">
        <f>$B$7*(A664*AG$71+B664*AH$71+C664*AI$71+D664*AJ$71)+F664/100*$B$7*AL$71-$C$71</f>
        <v/>
      </c>
      <c r="M664" s="13">
        <f>$B$7*(A664*AN$71+B664*AO$71+C664*AP$71+D664*AQ$71)+F664/100*$B$7*AS$71-$C$71</f>
        <v/>
      </c>
      <c r="N664" s="13">
        <f>SUMPRODUCT($H$24:$M$24,H664:M664)</f>
        <v/>
      </c>
      <c r="O664" s="14">
        <f>SQRT(SUMPRODUCT($H$24:$M$24,(H664:M664-N664)^2))</f>
        <v/>
      </c>
      <c r="P664" s="13">
        <f>MIN(H664:M664)</f>
        <v/>
      </c>
      <c r="Q664" s="13">
        <f>MAX(H664:M664)</f>
        <v/>
      </c>
      <c r="R664" s="27">
        <f>IF(G664,SUMPRODUCT(($G$76:$G$1505)*($N$76:$N$1505&gt;=N664)*($O$76:$O$1505&lt;=O664))=1,FALSE)</f>
        <v/>
      </c>
      <c r="S664" s="16">
        <f>IF(R664,ABS((O664-$AC$76)/MAX(0.0001,$AC$77-$AC$76)-(N664-$AC$78)/MAX(0.0001,$AC$79-$AC$78)),-1)</f>
        <v/>
      </c>
      <c r="T664" s="14">
        <f>IF(G664,O664,NA())</f>
        <v/>
      </c>
      <c r="U664" s="13">
        <f>IF(G664,N664,NA())</f>
        <v/>
      </c>
      <c r="V664" s="14">
        <f>IF(R664,O664,NA())</f>
        <v/>
      </c>
      <c r="W664" s="13">
        <f>IF(R664,N664,NA())</f>
        <v/>
      </c>
      <c r="X664" s="27">
        <f>IF(G664,P664,"")</f>
        <v/>
      </c>
      <c r="Y664" s="27">
        <f>IF(G664,N664,"")</f>
        <v/>
      </c>
      <c r="Z664" s="27">
        <f>IF(R664,O664,"")</f>
        <v/>
      </c>
      <c r="AA664" s="27">
        <f>IF(R664,N664,"")</f>
        <v/>
      </c>
    </row>
    <row r="665">
      <c r="A665" s="31" t="n">
        <v>0.1</v>
      </c>
      <c r="B665" s="31" t="n">
        <v>0.7</v>
      </c>
      <c r="C665" s="31" t="n">
        <v>0.2</v>
      </c>
      <c r="D665" s="31" t="n">
        <v>0</v>
      </c>
      <c r="E665" s="27" t="inlineStr">
        <is>
          <t>ON 10%/1M 70%/2M 20%</t>
        </is>
      </c>
      <c r="F665" s="27" t="n">
        <v>100</v>
      </c>
      <c r="G665" s="27">
        <f>A665*$B$7&gt;=$B$9</f>
        <v/>
      </c>
      <c r="H665" s="13">
        <f>$B$7*(A665*E$71+B665*F$71+C665*G$71+D665*H$71)+F665/100*$B$7*J$71-$C$71</f>
        <v/>
      </c>
      <c r="I665" s="13">
        <f>$B$7*(A665*L$71+B665*M$71+C665*N$71+D665*O$71)+F665/100*$B$7*Q$71-$C$71</f>
        <v/>
      </c>
      <c r="J665" s="13">
        <f>$B$7*(A665*S$71+B665*T$71+C665*U$71+D665*V$71)+F665/100*$B$7*X$71-$C$71</f>
        <v/>
      </c>
      <c r="K665" s="13">
        <f>$B$7*(A665*Z$71+B665*AA$71+C665*AB$71+D665*AC$71)+F665/100*$B$7*AE$71-$C$71</f>
        <v/>
      </c>
      <c r="L665" s="13">
        <f>$B$7*(A665*AG$71+B665*AH$71+C665*AI$71+D665*AJ$71)+F665/100*$B$7*AL$71-$C$71</f>
        <v/>
      </c>
      <c r="M665" s="13">
        <f>$B$7*(A665*AN$71+B665*AO$71+C665*AP$71+D665*AQ$71)+F665/100*$B$7*AS$71-$C$71</f>
        <v/>
      </c>
      <c r="N665" s="13">
        <f>SUMPRODUCT($H$24:$M$24,H665:M665)</f>
        <v/>
      </c>
      <c r="O665" s="14">
        <f>SQRT(SUMPRODUCT($H$24:$M$24,(H665:M665-N665)^2))</f>
        <v/>
      </c>
      <c r="P665" s="13">
        <f>MIN(H665:M665)</f>
        <v/>
      </c>
      <c r="Q665" s="13">
        <f>MAX(H665:M665)</f>
        <v/>
      </c>
      <c r="R665" s="27">
        <f>IF(G665,SUMPRODUCT(($G$76:$G$1505)*($N$76:$N$1505&gt;=N665)*($O$76:$O$1505&lt;=O665))=1,FALSE)</f>
        <v/>
      </c>
      <c r="S665" s="16">
        <f>IF(R665,ABS((O665-$AC$76)/MAX(0.0001,$AC$77-$AC$76)-(N665-$AC$78)/MAX(0.0001,$AC$79-$AC$78)),-1)</f>
        <v/>
      </c>
      <c r="T665" s="14">
        <f>IF(G665,O665,NA())</f>
        <v/>
      </c>
      <c r="U665" s="13">
        <f>IF(G665,N665,NA())</f>
        <v/>
      </c>
      <c r="V665" s="14">
        <f>IF(R665,O665,NA())</f>
        <v/>
      </c>
      <c r="W665" s="13">
        <f>IF(R665,N665,NA())</f>
        <v/>
      </c>
      <c r="X665" s="27">
        <f>IF(G665,P665,"")</f>
        <v/>
      </c>
      <c r="Y665" s="27">
        <f>IF(G665,N665,"")</f>
        <v/>
      </c>
      <c r="Z665" s="27">
        <f>IF(R665,O665,"")</f>
        <v/>
      </c>
      <c r="AA665" s="27">
        <f>IF(R665,N665,"")</f>
        <v/>
      </c>
    </row>
    <row r="666">
      <c r="A666" s="31" t="n">
        <v>0.1</v>
      </c>
      <c r="B666" s="31" t="n">
        <v>0.8</v>
      </c>
      <c r="C666" s="31" t="n">
        <v>0</v>
      </c>
      <c r="D666" s="31" t="n">
        <v>0.1</v>
      </c>
      <c r="E666" s="27" t="inlineStr">
        <is>
          <t>ON 10%/1M 80%/3M 10%</t>
        </is>
      </c>
      <c r="F666" s="27" t="n">
        <v>0</v>
      </c>
      <c r="G666" s="27">
        <f>A666*$B$7&gt;=$B$9</f>
        <v/>
      </c>
      <c r="H666" s="13">
        <f>$B$7*(A666*E$71+B666*F$71+C666*G$71+D666*H$71)+F666/100*$B$7*J$71-$C$71</f>
        <v/>
      </c>
      <c r="I666" s="13">
        <f>$B$7*(A666*L$71+B666*M$71+C666*N$71+D666*O$71)+F666/100*$B$7*Q$71-$C$71</f>
        <v/>
      </c>
      <c r="J666" s="13">
        <f>$B$7*(A666*S$71+B666*T$71+C666*U$71+D666*V$71)+F666/100*$B$7*X$71-$C$71</f>
        <v/>
      </c>
      <c r="K666" s="13">
        <f>$B$7*(A666*Z$71+B666*AA$71+C666*AB$71+D666*AC$71)+F666/100*$B$7*AE$71-$C$71</f>
        <v/>
      </c>
      <c r="L666" s="13">
        <f>$B$7*(A666*AG$71+B666*AH$71+C666*AI$71+D666*AJ$71)+F666/100*$B$7*AL$71-$C$71</f>
        <v/>
      </c>
      <c r="M666" s="13">
        <f>$B$7*(A666*AN$71+B666*AO$71+C666*AP$71+D666*AQ$71)+F666/100*$B$7*AS$71-$C$71</f>
        <v/>
      </c>
      <c r="N666" s="13">
        <f>SUMPRODUCT($H$24:$M$24,H666:M666)</f>
        <v/>
      </c>
      <c r="O666" s="14">
        <f>SQRT(SUMPRODUCT($H$24:$M$24,(H666:M666-N666)^2))</f>
        <v/>
      </c>
      <c r="P666" s="13">
        <f>MIN(H666:M666)</f>
        <v/>
      </c>
      <c r="Q666" s="13">
        <f>MAX(H666:M666)</f>
        <v/>
      </c>
      <c r="R666" s="27">
        <f>IF(G666,SUMPRODUCT(($G$76:$G$1505)*($N$76:$N$1505&gt;=N666)*($O$76:$O$1505&lt;=O666))=1,FALSE)</f>
        <v/>
      </c>
      <c r="S666" s="16">
        <f>IF(R666,ABS((O666-$AC$76)/MAX(0.0001,$AC$77-$AC$76)-(N666-$AC$78)/MAX(0.0001,$AC$79-$AC$78)),-1)</f>
        <v/>
      </c>
      <c r="T666" s="14">
        <f>IF(G666,O666,NA())</f>
        <v/>
      </c>
      <c r="U666" s="13">
        <f>IF(G666,N666,NA())</f>
        <v/>
      </c>
      <c r="V666" s="14">
        <f>IF(R666,O666,NA())</f>
        <v/>
      </c>
      <c r="W666" s="13">
        <f>IF(R666,N666,NA())</f>
        <v/>
      </c>
      <c r="X666" s="27">
        <f>IF(G666,P666,"")</f>
        <v/>
      </c>
      <c r="Y666" s="27">
        <f>IF(G666,N666,"")</f>
        <v/>
      </c>
      <c r="Z666" s="27">
        <f>IF(R666,O666,"")</f>
        <v/>
      </c>
      <c r="AA666" s="27">
        <f>IF(R666,N666,"")</f>
        <v/>
      </c>
    </row>
    <row r="667">
      <c r="A667" s="31" t="n">
        <v>0.1</v>
      </c>
      <c r="B667" s="31" t="n">
        <v>0.8</v>
      </c>
      <c r="C667" s="31" t="n">
        <v>0</v>
      </c>
      <c r="D667" s="31" t="n">
        <v>0.1</v>
      </c>
      <c r="E667" s="27" t="inlineStr">
        <is>
          <t>ON 10%/1M 80%/3M 10%</t>
        </is>
      </c>
      <c r="F667" s="27" t="n">
        <v>25</v>
      </c>
      <c r="G667" s="27">
        <f>A667*$B$7&gt;=$B$9</f>
        <v/>
      </c>
      <c r="H667" s="13">
        <f>$B$7*(A667*E$71+B667*F$71+C667*G$71+D667*H$71)+F667/100*$B$7*J$71-$C$71</f>
        <v/>
      </c>
      <c r="I667" s="13">
        <f>$B$7*(A667*L$71+B667*M$71+C667*N$71+D667*O$71)+F667/100*$B$7*Q$71-$C$71</f>
        <v/>
      </c>
      <c r="J667" s="13">
        <f>$B$7*(A667*S$71+B667*T$71+C667*U$71+D667*V$71)+F667/100*$B$7*X$71-$C$71</f>
        <v/>
      </c>
      <c r="K667" s="13">
        <f>$B$7*(A667*Z$71+B667*AA$71+C667*AB$71+D667*AC$71)+F667/100*$B$7*AE$71-$C$71</f>
        <v/>
      </c>
      <c r="L667" s="13">
        <f>$B$7*(A667*AG$71+B667*AH$71+C667*AI$71+D667*AJ$71)+F667/100*$B$7*AL$71-$C$71</f>
        <v/>
      </c>
      <c r="M667" s="13">
        <f>$B$7*(A667*AN$71+B667*AO$71+C667*AP$71+D667*AQ$71)+F667/100*$B$7*AS$71-$C$71</f>
        <v/>
      </c>
      <c r="N667" s="13">
        <f>SUMPRODUCT($H$24:$M$24,H667:M667)</f>
        <v/>
      </c>
      <c r="O667" s="14">
        <f>SQRT(SUMPRODUCT($H$24:$M$24,(H667:M667-N667)^2))</f>
        <v/>
      </c>
      <c r="P667" s="13">
        <f>MIN(H667:M667)</f>
        <v/>
      </c>
      <c r="Q667" s="13">
        <f>MAX(H667:M667)</f>
        <v/>
      </c>
      <c r="R667" s="27">
        <f>IF(G667,SUMPRODUCT(($G$76:$G$1505)*($N$76:$N$1505&gt;=N667)*($O$76:$O$1505&lt;=O667))=1,FALSE)</f>
        <v/>
      </c>
      <c r="S667" s="16">
        <f>IF(R667,ABS((O667-$AC$76)/MAX(0.0001,$AC$77-$AC$76)-(N667-$AC$78)/MAX(0.0001,$AC$79-$AC$78)),-1)</f>
        <v/>
      </c>
      <c r="T667" s="14">
        <f>IF(G667,O667,NA())</f>
        <v/>
      </c>
      <c r="U667" s="13">
        <f>IF(G667,N667,NA())</f>
        <v/>
      </c>
      <c r="V667" s="14">
        <f>IF(R667,O667,NA())</f>
        <v/>
      </c>
      <c r="W667" s="13">
        <f>IF(R667,N667,NA())</f>
        <v/>
      </c>
      <c r="X667" s="27">
        <f>IF(G667,P667,"")</f>
        <v/>
      </c>
      <c r="Y667" s="27">
        <f>IF(G667,N667,"")</f>
        <v/>
      </c>
      <c r="Z667" s="27">
        <f>IF(R667,O667,"")</f>
        <v/>
      </c>
      <c r="AA667" s="27">
        <f>IF(R667,N667,"")</f>
        <v/>
      </c>
    </row>
    <row r="668">
      <c r="A668" s="31" t="n">
        <v>0.1</v>
      </c>
      <c r="B668" s="31" t="n">
        <v>0.8</v>
      </c>
      <c r="C668" s="31" t="n">
        <v>0</v>
      </c>
      <c r="D668" s="31" t="n">
        <v>0.1</v>
      </c>
      <c r="E668" s="27" t="inlineStr">
        <is>
          <t>ON 10%/1M 80%/3M 10%</t>
        </is>
      </c>
      <c r="F668" s="27" t="n">
        <v>50</v>
      </c>
      <c r="G668" s="27">
        <f>A668*$B$7&gt;=$B$9</f>
        <v/>
      </c>
      <c r="H668" s="13">
        <f>$B$7*(A668*E$71+B668*F$71+C668*G$71+D668*H$71)+F668/100*$B$7*J$71-$C$71</f>
        <v/>
      </c>
      <c r="I668" s="13">
        <f>$B$7*(A668*L$71+B668*M$71+C668*N$71+D668*O$71)+F668/100*$B$7*Q$71-$C$71</f>
        <v/>
      </c>
      <c r="J668" s="13">
        <f>$B$7*(A668*S$71+B668*T$71+C668*U$71+D668*V$71)+F668/100*$B$7*X$71-$C$71</f>
        <v/>
      </c>
      <c r="K668" s="13">
        <f>$B$7*(A668*Z$71+B668*AA$71+C668*AB$71+D668*AC$71)+F668/100*$B$7*AE$71-$C$71</f>
        <v/>
      </c>
      <c r="L668" s="13">
        <f>$B$7*(A668*AG$71+B668*AH$71+C668*AI$71+D668*AJ$71)+F668/100*$B$7*AL$71-$C$71</f>
        <v/>
      </c>
      <c r="M668" s="13">
        <f>$B$7*(A668*AN$71+B668*AO$71+C668*AP$71+D668*AQ$71)+F668/100*$B$7*AS$71-$C$71</f>
        <v/>
      </c>
      <c r="N668" s="13">
        <f>SUMPRODUCT($H$24:$M$24,H668:M668)</f>
        <v/>
      </c>
      <c r="O668" s="14">
        <f>SQRT(SUMPRODUCT($H$24:$M$24,(H668:M668-N668)^2))</f>
        <v/>
      </c>
      <c r="P668" s="13">
        <f>MIN(H668:M668)</f>
        <v/>
      </c>
      <c r="Q668" s="13">
        <f>MAX(H668:M668)</f>
        <v/>
      </c>
      <c r="R668" s="27">
        <f>IF(G668,SUMPRODUCT(($G$76:$G$1505)*($N$76:$N$1505&gt;=N668)*($O$76:$O$1505&lt;=O668))=1,FALSE)</f>
        <v/>
      </c>
      <c r="S668" s="16">
        <f>IF(R668,ABS((O668-$AC$76)/MAX(0.0001,$AC$77-$AC$76)-(N668-$AC$78)/MAX(0.0001,$AC$79-$AC$78)),-1)</f>
        <v/>
      </c>
      <c r="T668" s="14">
        <f>IF(G668,O668,NA())</f>
        <v/>
      </c>
      <c r="U668" s="13">
        <f>IF(G668,N668,NA())</f>
        <v/>
      </c>
      <c r="V668" s="14">
        <f>IF(R668,O668,NA())</f>
        <v/>
      </c>
      <c r="W668" s="13">
        <f>IF(R668,N668,NA())</f>
        <v/>
      </c>
      <c r="X668" s="27">
        <f>IF(G668,P668,"")</f>
        <v/>
      </c>
      <c r="Y668" s="27">
        <f>IF(G668,N668,"")</f>
        <v/>
      </c>
      <c r="Z668" s="27">
        <f>IF(R668,O668,"")</f>
        <v/>
      </c>
      <c r="AA668" s="27">
        <f>IF(R668,N668,"")</f>
        <v/>
      </c>
    </row>
    <row r="669">
      <c r="A669" s="31" t="n">
        <v>0.1</v>
      </c>
      <c r="B669" s="31" t="n">
        <v>0.8</v>
      </c>
      <c r="C669" s="31" t="n">
        <v>0</v>
      </c>
      <c r="D669" s="31" t="n">
        <v>0.1</v>
      </c>
      <c r="E669" s="27" t="inlineStr">
        <is>
          <t>ON 10%/1M 80%/3M 10%</t>
        </is>
      </c>
      <c r="F669" s="27" t="n">
        <v>75</v>
      </c>
      <c r="G669" s="27">
        <f>A669*$B$7&gt;=$B$9</f>
        <v/>
      </c>
      <c r="H669" s="13">
        <f>$B$7*(A669*E$71+B669*F$71+C669*G$71+D669*H$71)+F669/100*$B$7*J$71-$C$71</f>
        <v/>
      </c>
      <c r="I669" s="13">
        <f>$B$7*(A669*L$71+B669*M$71+C669*N$71+D669*O$71)+F669/100*$B$7*Q$71-$C$71</f>
        <v/>
      </c>
      <c r="J669" s="13">
        <f>$B$7*(A669*S$71+B669*T$71+C669*U$71+D669*V$71)+F669/100*$B$7*X$71-$C$71</f>
        <v/>
      </c>
      <c r="K669" s="13">
        <f>$B$7*(A669*Z$71+B669*AA$71+C669*AB$71+D669*AC$71)+F669/100*$B$7*AE$71-$C$71</f>
        <v/>
      </c>
      <c r="L669" s="13">
        <f>$B$7*(A669*AG$71+B669*AH$71+C669*AI$71+D669*AJ$71)+F669/100*$B$7*AL$71-$C$71</f>
        <v/>
      </c>
      <c r="M669" s="13">
        <f>$B$7*(A669*AN$71+B669*AO$71+C669*AP$71+D669*AQ$71)+F669/100*$B$7*AS$71-$C$71</f>
        <v/>
      </c>
      <c r="N669" s="13">
        <f>SUMPRODUCT($H$24:$M$24,H669:M669)</f>
        <v/>
      </c>
      <c r="O669" s="14">
        <f>SQRT(SUMPRODUCT($H$24:$M$24,(H669:M669-N669)^2))</f>
        <v/>
      </c>
      <c r="P669" s="13">
        <f>MIN(H669:M669)</f>
        <v/>
      </c>
      <c r="Q669" s="13">
        <f>MAX(H669:M669)</f>
        <v/>
      </c>
      <c r="R669" s="27">
        <f>IF(G669,SUMPRODUCT(($G$76:$G$1505)*($N$76:$N$1505&gt;=N669)*($O$76:$O$1505&lt;=O669))=1,FALSE)</f>
        <v/>
      </c>
      <c r="S669" s="16">
        <f>IF(R669,ABS((O669-$AC$76)/MAX(0.0001,$AC$77-$AC$76)-(N669-$AC$78)/MAX(0.0001,$AC$79-$AC$78)),-1)</f>
        <v/>
      </c>
      <c r="T669" s="14">
        <f>IF(G669,O669,NA())</f>
        <v/>
      </c>
      <c r="U669" s="13">
        <f>IF(G669,N669,NA())</f>
        <v/>
      </c>
      <c r="V669" s="14">
        <f>IF(R669,O669,NA())</f>
        <v/>
      </c>
      <c r="W669" s="13">
        <f>IF(R669,N669,NA())</f>
        <v/>
      </c>
      <c r="X669" s="27">
        <f>IF(G669,P669,"")</f>
        <v/>
      </c>
      <c r="Y669" s="27">
        <f>IF(G669,N669,"")</f>
        <v/>
      </c>
      <c r="Z669" s="27">
        <f>IF(R669,O669,"")</f>
        <v/>
      </c>
      <c r="AA669" s="27">
        <f>IF(R669,N669,"")</f>
        <v/>
      </c>
    </row>
    <row r="670">
      <c r="A670" s="31" t="n">
        <v>0.1</v>
      </c>
      <c r="B670" s="31" t="n">
        <v>0.8</v>
      </c>
      <c r="C670" s="31" t="n">
        <v>0</v>
      </c>
      <c r="D670" s="31" t="n">
        <v>0.1</v>
      </c>
      <c r="E670" s="27" t="inlineStr">
        <is>
          <t>ON 10%/1M 80%/3M 10%</t>
        </is>
      </c>
      <c r="F670" s="27" t="n">
        <v>100</v>
      </c>
      <c r="G670" s="27">
        <f>A670*$B$7&gt;=$B$9</f>
        <v/>
      </c>
      <c r="H670" s="13">
        <f>$B$7*(A670*E$71+B670*F$71+C670*G$71+D670*H$71)+F670/100*$B$7*J$71-$C$71</f>
        <v/>
      </c>
      <c r="I670" s="13">
        <f>$B$7*(A670*L$71+B670*M$71+C670*N$71+D670*O$71)+F670/100*$B$7*Q$71-$C$71</f>
        <v/>
      </c>
      <c r="J670" s="13">
        <f>$B$7*(A670*S$71+B670*T$71+C670*U$71+D670*V$71)+F670/100*$B$7*X$71-$C$71</f>
        <v/>
      </c>
      <c r="K670" s="13">
        <f>$B$7*(A670*Z$71+B670*AA$71+C670*AB$71+D670*AC$71)+F670/100*$B$7*AE$71-$C$71</f>
        <v/>
      </c>
      <c r="L670" s="13">
        <f>$B$7*(A670*AG$71+B670*AH$71+C670*AI$71+D670*AJ$71)+F670/100*$B$7*AL$71-$C$71</f>
        <v/>
      </c>
      <c r="M670" s="13">
        <f>$B$7*(A670*AN$71+B670*AO$71+C670*AP$71+D670*AQ$71)+F670/100*$B$7*AS$71-$C$71</f>
        <v/>
      </c>
      <c r="N670" s="13">
        <f>SUMPRODUCT($H$24:$M$24,H670:M670)</f>
        <v/>
      </c>
      <c r="O670" s="14">
        <f>SQRT(SUMPRODUCT($H$24:$M$24,(H670:M670-N670)^2))</f>
        <v/>
      </c>
      <c r="P670" s="13">
        <f>MIN(H670:M670)</f>
        <v/>
      </c>
      <c r="Q670" s="13">
        <f>MAX(H670:M670)</f>
        <v/>
      </c>
      <c r="R670" s="27">
        <f>IF(G670,SUMPRODUCT(($G$76:$G$1505)*($N$76:$N$1505&gt;=N670)*($O$76:$O$1505&lt;=O670))=1,FALSE)</f>
        <v/>
      </c>
      <c r="S670" s="16">
        <f>IF(R670,ABS((O670-$AC$76)/MAX(0.0001,$AC$77-$AC$76)-(N670-$AC$78)/MAX(0.0001,$AC$79-$AC$78)),-1)</f>
        <v/>
      </c>
      <c r="T670" s="14">
        <f>IF(G670,O670,NA())</f>
        <v/>
      </c>
      <c r="U670" s="13">
        <f>IF(G670,N670,NA())</f>
        <v/>
      </c>
      <c r="V670" s="14">
        <f>IF(R670,O670,NA())</f>
        <v/>
      </c>
      <c r="W670" s="13">
        <f>IF(R670,N670,NA())</f>
        <v/>
      </c>
      <c r="X670" s="27">
        <f>IF(G670,P670,"")</f>
        <v/>
      </c>
      <c r="Y670" s="27">
        <f>IF(G670,N670,"")</f>
        <v/>
      </c>
      <c r="Z670" s="27">
        <f>IF(R670,O670,"")</f>
        <v/>
      </c>
      <c r="AA670" s="27">
        <f>IF(R670,N670,"")</f>
        <v/>
      </c>
    </row>
    <row r="671">
      <c r="A671" s="31" t="n">
        <v>0.1</v>
      </c>
      <c r="B671" s="31" t="n">
        <v>0.8</v>
      </c>
      <c r="C671" s="31" t="n">
        <v>0.1</v>
      </c>
      <c r="D671" s="31" t="n">
        <v>0</v>
      </c>
      <c r="E671" s="27" t="inlineStr">
        <is>
          <t>ON 10%/1M 80%/2M 10%</t>
        </is>
      </c>
      <c r="F671" s="27" t="n">
        <v>0</v>
      </c>
      <c r="G671" s="27">
        <f>A671*$B$7&gt;=$B$9</f>
        <v/>
      </c>
      <c r="H671" s="13">
        <f>$B$7*(A671*E$71+B671*F$71+C671*G$71+D671*H$71)+F671/100*$B$7*J$71-$C$71</f>
        <v/>
      </c>
      <c r="I671" s="13">
        <f>$B$7*(A671*L$71+B671*M$71+C671*N$71+D671*O$71)+F671/100*$B$7*Q$71-$C$71</f>
        <v/>
      </c>
      <c r="J671" s="13">
        <f>$B$7*(A671*S$71+B671*T$71+C671*U$71+D671*V$71)+F671/100*$B$7*X$71-$C$71</f>
        <v/>
      </c>
      <c r="K671" s="13">
        <f>$B$7*(A671*Z$71+B671*AA$71+C671*AB$71+D671*AC$71)+F671/100*$B$7*AE$71-$C$71</f>
        <v/>
      </c>
      <c r="L671" s="13">
        <f>$B$7*(A671*AG$71+B671*AH$71+C671*AI$71+D671*AJ$71)+F671/100*$B$7*AL$71-$C$71</f>
        <v/>
      </c>
      <c r="M671" s="13">
        <f>$B$7*(A671*AN$71+B671*AO$71+C671*AP$71+D671*AQ$71)+F671/100*$B$7*AS$71-$C$71</f>
        <v/>
      </c>
      <c r="N671" s="13">
        <f>SUMPRODUCT($H$24:$M$24,H671:M671)</f>
        <v/>
      </c>
      <c r="O671" s="14">
        <f>SQRT(SUMPRODUCT($H$24:$M$24,(H671:M671-N671)^2))</f>
        <v/>
      </c>
      <c r="P671" s="13">
        <f>MIN(H671:M671)</f>
        <v/>
      </c>
      <c r="Q671" s="13">
        <f>MAX(H671:M671)</f>
        <v/>
      </c>
      <c r="R671" s="27">
        <f>IF(G671,SUMPRODUCT(($G$76:$G$1505)*($N$76:$N$1505&gt;=N671)*($O$76:$O$1505&lt;=O671))=1,FALSE)</f>
        <v/>
      </c>
      <c r="S671" s="16">
        <f>IF(R671,ABS((O671-$AC$76)/MAX(0.0001,$AC$77-$AC$76)-(N671-$AC$78)/MAX(0.0001,$AC$79-$AC$78)),-1)</f>
        <v/>
      </c>
      <c r="T671" s="14">
        <f>IF(G671,O671,NA())</f>
        <v/>
      </c>
      <c r="U671" s="13">
        <f>IF(G671,N671,NA())</f>
        <v/>
      </c>
      <c r="V671" s="14">
        <f>IF(R671,O671,NA())</f>
        <v/>
      </c>
      <c r="W671" s="13">
        <f>IF(R671,N671,NA())</f>
        <v/>
      </c>
      <c r="X671" s="27">
        <f>IF(G671,P671,"")</f>
        <v/>
      </c>
      <c r="Y671" s="27">
        <f>IF(G671,N671,"")</f>
        <v/>
      </c>
      <c r="Z671" s="27">
        <f>IF(R671,O671,"")</f>
        <v/>
      </c>
      <c r="AA671" s="27">
        <f>IF(R671,N671,"")</f>
        <v/>
      </c>
    </row>
    <row r="672">
      <c r="A672" s="31" t="n">
        <v>0.1</v>
      </c>
      <c r="B672" s="31" t="n">
        <v>0.8</v>
      </c>
      <c r="C672" s="31" t="n">
        <v>0.1</v>
      </c>
      <c r="D672" s="31" t="n">
        <v>0</v>
      </c>
      <c r="E672" s="27" t="inlineStr">
        <is>
          <t>ON 10%/1M 80%/2M 10%</t>
        </is>
      </c>
      <c r="F672" s="27" t="n">
        <v>25</v>
      </c>
      <c r="G672" s="27">
        <f>A672*$B$7&gt;=$B$9</f>
        <v/>
      </c>
      <c r="H672" s="13">
        <f>$B$7*(A672*E$71+B672*F$71+C672*G$71+D672*H$71)+F672/100*$B$7*J$71-$C$71</f>
        <v/>
      </c>
      <c r="I672" s="13">
        <f>$B$7*(A672*L$71+B672*M$71+C672*N$71+D672*O$71)+F672/100*$B$7*Q$71-$C$71</f>
        <v/>
      </c>
      <c r="J672" s="13">
        <f>$B$7*(A672*S$71+B672*T$71+C672*U$71+D672*V$71)+F672/100*$B$7*X$71-$C$71</f>
        <v/>
      </c>
      <c r="K672" s="13">
        <f>$B$7*(A672*Z$71+B672*AA$71+C672*AB$71+D672*AC$71)+F672/100*$B$7*AE$71-$C$71</f>
        <v/>
      </c>
      <c r="L672" s="13">
        <f>$B$7*(A672*AG$71+B672*AH$71+C672*AI$71+D672*AJ$71)+F672/100*$B$7*AL$71-$C$71</f>
        <v/>
      </c>
      <c r="M672" s="13">
        <f>$B$7*(A672*AN$71+B672*AO$71+C672*AP$71+D672*AQ$71)+F672/100*$B$7*AS$71-$C$71</f>
        <v/>
      </c>
      <c r="N672" s="13">
        <f>SUMPRODUCT($H$24:$M$24,H672:M672)</f>
        <v/>
      </c>
      <c r="O672" s="14">
        <f>SQRT(SUMPRODUCT($H$24:$M$24,(H672:M672-N672)^2))</f>
        <v/>
      </c>
      <c r="P672" s="13">
        <f>MIN(H672:M672)</f>
        <v/>
      </c>
      <c r="Q672" s="13">
        <f>MAX(H672:M672)</f>
        <v/>
      </c>
      <c r="R672" s="27">
        <f>IF(G672,SUMPRODUCT(($G$76:$G$1505)*($N$76:$N$1505&gt;=N672)*($O$76:$O$1505&lt;=O672))=1,FALSE)</f>
        <v/>
      </c>
      <c r="S672" s="16">
        <f>IF(R672,ABS((O672-$AC$76)/MAX(0.0001,$AC$77-$AC$76)-(N672-$AC$78)/MAX(0.0001,$AC$79-$AC$78)),-1)</f>
        <v/>
      </c>
      <c r="T672" s="14">
        <f>IF(G672,O672,NA())</f>
        <v/>
      </c>
      <c r="U672" s="13">
        <f>IF(G672,N672,NA())</f>
        <v/>
      </c>
      <c r="V672" s="14">
        <f>IF(R672,O672,NA())</f>
        <v/>
      </c>
      <c r="W672" s="13">
        <f>IF(R672,N672,NA())</f>
        <v/>
      </c>
      <c r="X672" s="27">
        <f>IF(G672,P672,"")</f>
        <v/>
      </c>
      <c r="Y672" s="27">
        <f>IF(G672,N672,"")</f>
        <v/>
      </c>
      <c r="Z672" s="27">
        <f>IF(R672,O672,"")</f>
        <v/>
      </c>
      <c r="AA672" s="27">
        <f>IF(R672,N672,"")</f>
        <v/>
      </c>
    </row>
    <row r="673">
      <c r="A673" s="31" t="n">
        <v>0.1</v>
      </c>
      <c r="B673" s="31" t="n">
        <v>0.8</v>
      </c>
      <c r="C673" s="31" t="n">
        <v>0.1</v>
      </c>
      <c r="D673" s="31" t="n">
        <v>0</v>
      </c>
      <c r="E673" s="27" t="inlineStr">
        <is>
          <t>ON 10%/1M 80%/2M 10%</t>
        </is>
      </c>
      <c r="F673" s="27" t="n">
        <v>50</v>
      </c>
      <c r="G673" s="27">
        <f>A673*$B$7&gt;=$B$9</f>
        <v/>
      </c>
      <c r="H673" s="13">
        <f>$B$7*(A673*E$71+B673*F$71+C673*G$71+D673*H$71)+F673/100*$B$7*J$71-$C$71</f>
        <v/>
      </c>
      <c r="I673" s="13">
        <f>$B$7*(A673*L$71+B673*M$71+C673*N$71+D673*O$71)+F673/100*$B$7*Q$71-$C$71</f>
        <v/>
      </c>
      <c r="J673" s="13">
        <f>$B$7*(A673*S$71+B673*T$71+C673*U$71+D673*V$71)+F673/100*$B$7*X$71-$C$71</f>
        <v/>
      </c>
      <c r="K673" s="13">
        <f>$B$7*(A673*Z$71+B673*AA$71+C673*AB$71+D673*AC$71)+F673/100*$B$7*AE$71-$C$71</f>
        <v/>
      </c>
      <c r="L673" s="13">
        <f>$B$7*(A673*AG$71+B673*AH$71+C673*AI$71+D673*AJ$71)+F673/100*$B$7*AL$71-$C$71</f>
        <v/>
      </c>
      <c r="M673" s="13">
        <f>$B$7*(A673*AN$71+B673*AO$71+C673*AP$71+D673*AQ$71)+F673/100*$B$7*AS$71-$C$71</f>
        <v/>
      </c>
      <c r="N673" s="13">
        <f>SUMPRODUCT($H$24:$M$24,H673:M673)</f>
        <v/>
      </c>
      <c r="O673" s="14">
        <f>SQRT(SUMPRODUCT($H$24:$M$24,(H673:M673-N673)^2))</f>
        <v/>
      </c>
      <c r="P673" s="13">
        <f>MIN(H673:M673)</f>
        <v/>
      </c>
      <c r="Q673" s="13">
        <f>MAX(H673:M673)</f>
        <v/>
      </c>
      <c r="R673" s="27">
        <f>IF(G673,SUMPRODUCT(($G$76:$G$1505)*($N$76:$N$1505&gt;=N673)*($O$76:$O$1505&lt;=O673))=1,FALSE)</f>
        <v/>
      </c>
      <c r="S673" s="16">
        <f>IF(R673,ABS((O673-$AC$76)/MAX(0.0001,$AC$77-$AC$76)-(N673-$AC$78)/MAX(0.0001,$AC$79-$AC$78)),-1)</f>
        <v/>
      </c>
      <c r="T673" s="14">
        <f>IF(G673,O673,NA())</f>
        <v/>
      </c>
      <c r="U673" s="13">
        <f>IF(G673,N673,NA())</f>
        <v/>
      </c>
      <c r="V673" s="14">
        <f>IF(R673,O673,NA())</f>
        <v/>
      </c>
      <c r="W673" s="13">
        <f>IF(R673,N673,NA())</f>
        <v/>
      </c>
      <c r="X673" s="27">
        <f>IF(G673,P673,"")</f>
        <v/>
      </c>
      <c r="Y673" s="27">
        <f>IF(G673,N673,"")</f>
        <v/>
      </c>
      <c r="Z673" s="27">
        <f>IF(R673,O673,"")</f>
        <v/>
      </c>
      <c r="AA673" s="27">
        <f>IF(R673,N673,"")</f>
        <v/>
      </c>
    </row>
    <row r="674">
      <c r="A674" s="31" t="n">
        <v>0.1</v>
      </c>
      <c r="B674" s="31" t="n">
        <v>0.8</v>
      </c>
      <c r="C674" s="31" t="n">
        <v>0.1</v>
      </c>
      <c r="D674" s="31" t="n">
        <v>0</v>
      </c>
      <c r="E674" s="27" t="inlineStr">
        <is>
          <t>ON 10%/1M 80%/2M 10%</t>
        </is>
      </c>
      <c r="F674" s="27" t="n">
        <v>75</v>
      </c>
      <c r="G674" s="27">
        <f>A674*$B$7&gt;=$B$9</f>
        <v/>
      </c>
      <c r="H674" s="13">
        <f>$B$7*(A674*E$71+B674*F$71+C674*G$71+D674*H$71)+F674/100*$B$7*J$71-$C$71</f>
        <v/>
      </c>
      <c r="I674" s="13">
        <f>$B$7*(A674*L$71+B674*M$71+C674*N$71+D674*O$71)+F674/100*$B$7*Q$71-$C$71</f>
        <v/>
      </c>
      <c r="J674" s="13">
        <f>$B$7*(A674*S$71+B674*T$71+C674*U$71+D674*V$71)+F674/100*$B$7*X$71-$C$71</f>
        <v/>
      </c>
      <c r="K674" s="13">
        <f>$B$7*(A674*Z$71+B674*AA$71+C674*AB$71+D674*AC$71)+F674/100*$B$7*AE$71-$C$71</f>
        <v/>
      </c>
      <c r="L674" s="13">
        <f>$B$7*(A674*AG$71+B674*AH$71+C674*AI$71+D674*AJ$71)+F674/100*$B$7*AL$71-$C$71</f>
        <v/>
      </c>
      <c r="M674" s="13">
        <f>$B$7*(A674*AN$71+B674*AO$71+C674*AP$71+D674*AQ$71)+F674/100*$B$7*AS$71-$C$71</f>
        <v/>
      </c>
      <c r="N674" s="13">
        <f>SUMPRODUCT($H$24:$M$24,H674:M674)</f>
        <v/>
      </c>
      <c r="O674" s="14">
        <f>SQRT(SUMPRODUCT($H$24:$M$24,(H674:M674-N674)^2))</f>
        <v/>
      </c>
      <c r="P674" s="13">
        <f>MIN(H674:M674)</f>
        <v/>
      </c>
      <c r="Q674" s="13">
        <f>MAX(H674:M674)</f>
        <v/>
      </c>
      <c r="R674" s="27">
        <f>IF(G674,SUMPRODUCT(($G$76:$G$1505)*($N$76:$N$1505&gt;=N674)*($O$76:$O$1505&lt;=O674))=1,FALSE)</f>
        <v/>
      </c>
      <c r="S674" s="16">
        <f>IF(R674,ABS((O674-$AC$76)/MAX(0.0001,$AC$77-$AC$76)-(N674-$AC$78)/MAX(0.0001,$AC$79-$AC$78)),-1)</f>
        <v/>
      </c>
      <c r="T674" s="14">
        <f>IF(G674,O674,NA())</f>
        <v/>
      </c>
      <c r="U674" s="13">
        <f>IF(G674,N674,NA())</f>
        <v/>
      </c>
      <c r="V674" s="14">
        <f>IF(R674,O674,NA())</f>
        <v/>
      </c>
      <c r="W674" s="13">
        <f>IF(R674,N674,NA())</f>
        <v/>
      </c>
      <c r="X674" s="27">
        <f>IF(G674,P674,"")</f>
        <v/>
      </c>
      <c r="Y674" s="27">
        <f>IF(G674,N674,"")</f>
        <v/>
      </c>
      <c r="Z674" s="27">
        <f>IF(R674,O674,"")</f>
        <v/>
      </c>
      <c r="AA674" s="27">
        <f>IF(R674,N674,"")</f>
        <v/>
      </c>
    </row>
    <row r="675">
      <c r="A675" s="31" t="n">
        <v>0.1</v>
      </c>
      <c r="B675" s="31" t="n">
        <v>0.8</v>
      </c>
      <c r="C675" s="31" t="n">
        <v>0.1</v>
      </c>
      <c r="D675" s="31" t="n">
        <v>0</v>
      </c>
      <c r="E675" s="27" t="inlineStr">
        <is>
          <t>ON 10%/1M 80%/2M 10%</t>
        </is>
      </c>
      <c r="F675" s="27" t="n">
        <v>100</v>
      </c>
      <c r="G675" s="27">
        <f>A675*$B$7&gt;=$B$9</f>
        <v/>
      </c>
      <c r="H675" s="13">
        <f>$B$7*(A675*E$71+B675*F$71+C675*G$71+D675*H$71)+F675/100*$B$7*J$71-$C$71</f>
        <v/>
      </c>
      <c r="I675" s="13">
        <f>$B$7*(A675*L$71+B675*M$71+C675*N$71+D675*O$71)+F675/100*$B$7*Q$71-$C$71</f>
        <v/>
      </c>
      <c r="J675" s="13">
        <f>$B$7*(A675*S$71+B675*T$71+C675*U$71+D675*V$71)+F675/100*$B$7*X$71-$C$71</f>
        <v/>
      </c>
      <c r="K675" s="13">
        <f>$B$7*(A675*Z$71+B675*AA$71+C675*AB$71+D675*AC$71)+F675/100*$B$7*AE$71-$C$71</f>
        <v/>
      </c>
      <c r="L675" s="13">
        <f>$B$7*(A675*AG$71+B675*AH$71+C675*AI$71+D675*AJ$71)+F675/100*$B$7*AL$71-$C$71</f>
        <v/>
      </c>
      <c r="M675" s="13">
        <f>$B$7*(A675*AN$71+B675*AO$71+C675*AP$71+D675*AQ$71)+F675/100*$B$7*AS$71-$C$71</f>
        <v/>
      </c>
      <c r="N675" s="13">
        <f>SUMPRODUCT($H$24:$M$24,H675:M675)</f>
        <v/>
      </c>
      <c r="O675" s="14">
        <f>SQRT(SUMPRODUCT($H$24:$M$24,(H675:M675-N675)^2))</f>
        <v/>
      </c>
      <c r="P675" s="13">
        <f>MIN(H675:M675)</f>
        <v/>
      </c>
      <c r="Q675" s="13">
        <f>MAX(H675:M675)</f>
        <v/>
      </c>
      <c r="R675" s="27">
        <f>IF(G675,SUMPRODUCT(($G$76:$G$1505)*($N$76:$N$1505&gt;=N675)*($O$76:$O$1505&lt;=O675))=1,FALSE)</f>
        <v/>
      </c>
      <c r="S675" s="16">
        <f>IF(R675,ABS((O675-$AC$76)/MAX(0.0001,$AC$77-$AC$76)-(N675-$AC$78)/MAX(0.0001,$AC$79-$AC$78)),-1)</f>
        <v/>
      </c>
      <c r="T675" s="14">
        <f>IF(G675,O675,NA())</f>
        <v/>
      </c>
      <c r="U675" s="13">
        <f>IF(G675,N675,NA())</f>
        <v/>
      </c>
      <c r="V675" s="14">
        <f>IF(R675,O675,NA())</f>
        <v/>
      </c>
      <c r="W675" s="13">
        <f>IF(R675,N675,NA())</f>
        <v/>
      </c>
      <c r="X675" s="27">
        <f>IF(G675,P675,"")</f>
        <v/>
      </c>
      <c r="Y675" s="27">
        <f>IF(G675,N675,"")</f>
        <v/>
      </c>
      <c r="Z675" s="27">
        <f>IF(R675,O675,"")</f>
        <v/>
      </c>
      <c r="AA675" s="27">
        <f>IF(R675,N675,"")</f>
        <v/>
      </c>
    </row>
    <row r="676">
      <c r="A676" s="31" t="n">
        <v>0.1</v>
      </c>
      <c r="B676" s="31" t="n">
        <v>0.9</v>
      </c>
      <c r="C676" s="31" t="n">
        <v>0</v>
      </c>
      <c r="D676" s="31" t="n">
        <v>0</v>
      </c>
      <c r="E676" s="27" t="inlineStr">
        <is>
          <t>ON 10%/1M 90%</t>
        </is>
      </c>
      <c r="F676" s="27" t="n">
        <v>0</v>
      </c>
      <c r="G676" s="27">
        <f>A676*$B$7&gt;=$B$9</f>
        <v/>
      </c>
      <c r="H676" s="13">
        <f>$B$7*(A676*E$71+B676*F$71+C676*G$71+D676*H$71)+F676/100*$B$7*J$71-$C$71</f>
        <v/>
      </c>
      <c r="I676" s="13">
        <f>$B$7*(A676*L$71+B676*M$71+C676*N$71+D676*O$71)+F676/100*$B$7*Q$71-$C$71</f>
        <v/>
      </c>
      <c r="J676" s="13">
        <f>$B$7*(A676*S$71+B676*T$71+C676*U$71+D676*V$71)+F676/100*$B$7*X$71-$C$71</f>
        <v/>
      </c>
      <c r="K676" s="13">
        <f>$B$7*(A676*Z$71+B676*AA$71+C676*AB$71+D676*AC$71)+F676/100*$B$7*AE$71-$C$71</f>
        <v/>
      </c>
      <c r="L676" s="13">
        <f>$B$7*(A676*AG$71+B676*AH$71+C676*AI$71+D676*AJ$71)+F676/100*$B$7*AL$71-$C$71</f>
        <v/>
      </c>
      <c r="M676" s="13">
        <f>$B$7*(A676*AN$71+B676*AO$71+C676*AP$71+D676*AQ$71)+F676/100*$B$7*AS$71-$C$71</f>
        <v/>
      </c>
      <c r="N676" s="13">
        <f>SUMPRODUCT($H$24:$M$24,H676:M676)</f>
        <v/>
      </c>
      <c r="O676" s="14">
        <f>SQRT(SUMPRODUCT($H$24:$M$24,(H676:M676-N676)^2))</f>
        <v/>
      </c>
      <c r="P676" s="13">
        <f>MIN(H676:M676)</f>
        <v/>
      </c>
      <c r="Q676" s="13">
        <f>MAX(H676:M676)</f>
        <v/>
      </c>
      <c r="R676" s="27">
        <f>IF(G676,SUMPRODUCT(($G$76:$G$1505)*($N$76:$N$1505&gt;=N676)*($O$76:$O$1505&lt;=O676))=1,FALSE)</f>
        <v/>
      </c>
      <c r="S676" s="16">
        <f>IF(R676,ABS((O676-$AC$76)/MAX(0.0001,$AC$77-$AC$76)-(N676-$AC$78)/MAX(0.0001,$AC$79-$AC$78)),-1)</f>
        <v/>
      </c>
      <c r="T676" s="14">
        <f>IF(G676,O676,NA())</f>
        <v/>
      </c>
      <c r="U676" s="13">
        <f>IF(G676,N676,NA())</f>
        <v/>
      </c>
      <c r="V676" s="14">
        <f>IF(R676,O676,NA())</f>
        <v/>
      </c>
      <c r="W676" s="13">
        <f>IF(R676,N676,NA())</f>
        <v/>
      </c>
      <c r="X676" s="27">
        <f>IF(G676,P676,"")</f>
        <v/>
      </c>
      <c r="Y676" s="27">
        <f>IF(G676,N676,"")</f>
        <v/>
      </c>
      <c r="Z676" s="27">
        <f>IF(R676,O676,"")</f>
        <v/>
      </c>
      <c r="AA676" s="27">
        <f>IF(R676,N676,"")</f>
        <v/>
      </c>
    </row>
    <row r="677">
      <c r="A677" s="31" t="n">
        <v>0.1</v>
      </c>
      <c r="B677" s="31" t="n">
        <v>0.9</v>
      </c>
      <c r="C677" s="31" t="n">
        <v>0</v>
      </c>
      <c r="D677" s="31" t="n">
        <v>0</v>
      </c>
      <c r="E677" s="27" t="inlineStr">
        <is>
          <t>ON 10%/1M 90%</t>
        </is>
      </c>
      <c r="F677" s="27" t="n">
        <v>25</v>
      </c>
      <c r="G677" s="27">
        <f>A677*$B$7&gt;=$B$9</f>
        <v/>
      </c>
      <c r="H677" s="13">
        <f>$B$7*(A677*E$71+B677*F$71+C677*G$71+D677*H$71)+F677/100*$B$7*J$71-$C$71</f>
        <v/>
      </c>
      <c r="I677" s="13">
        <f>$B$7*(A677*L$71+B677*M$71+C677*N$71+D677*O$71)+F677/100*$B$7*Q$71-$C$71</f>
        <v/>
      </c>
      <c r="J677" s="13">
        <f>$B$7*(A677*S$71+B677*T$71+C677*U$71+D677*V$71)+F677/100*$B$7*X$71-$C$71</f>
        <v/>
      </c>
      <c r="K677" s="13">
        <f>$B$7*(A677*Z$71+B677*AA$71+C677*AB$71+D677*AC$71)+F677/100*$B$7*AE$71-$C$71</f>
        <v/>
      </c>
      <c r="L677" s="13">
        <f>$B$7*(A677*AG$71+B677*AH$71+C677*AI$71+D677*AJ$71)+F677/100*$B$7*AL$71-$C$71</f>
        <v/>
      </c>
      <c r="M677" s="13">
        <f>$B$7*(A677*AN$71+B677*AO$71+C677*AP$71+D677*AQ$71)+F677/100*$B$7*AS$71-$C$71</f>
        <v/>
      </c>
      <c r="N677" s="13">
        <f>SUMPRODUCT($H$24:$M$24,H677:M677)</f>
        <v/>
      </c>
      <c r="O677" s="14">
        <f>SQRT(SUMPRODUCT($H$24:$M$24,(H677:M677-N677)^2))</f>
        <v/>
      </c>
      <c r="P677" s="13">
        <f>MIN(H677:M677)</f>
        <v/>
      </c>
      <c r="Q677" s="13">
        <f>MAX(H677:M677)</f>
        <v/>
      </c>
      <c r="R677" s="27">
        <f>IF(G677,SUMPRODUCT(($G$76:$G$1505)*($N$76:$N$1505&gt;=N677)*($O$76:$O$1505&lt;=O677))=1,FALSE)</f>
        <v/>
      </c>
      <c r="S677" s="16">
        <f>IF(R677,ABS((O677-$AC$76)/MAX(0.0001,$AC$77-$AC$76)-(N677-$AC$78)/MAX(0.0001,$AC$79-$AC$78)),-1)</f>
        <v/>
      </c>
      <c r="T677" s="14">
        <f>IF(G677,O677,NA())</f>
        <v/>
      </c>
      <c r="U677" s="13">
        <f>IF(G677,N677,NA())</f>
        <v/>
      </c>
      <c r="V677" s="14">
        <f>IF(R677,O677,NA())</f>
        <v/>
      </c>
      <c r="W677" s="13">
        <f>IF(R677,N677,NA())</f>
        <v/>
      </c>
      <c r="X677" s="27">
        <f>IF(G677,P677,"")</f>
        <v/>
      </c>
      <c r="Y677" s="27">
        <f>IF(G677,N677,"")</f>
        <v/>
      </c>
      <c r="Z677" s="27">
        <f>IF(R677,O677,"")</f>
        <v/>
      </c>
      <c r="AA677" s="27">
        <f>IF(R677,N677,"")</f>
        <v/>
      </c>
    </row>
    <row r="678">
      <c r="A678" s="31" t="n">
        <v>0.1</v>
      </c>
      <c r="B678" s="31" t="n">
        <v>0.9</v>
      </c>
      <c r="C678" s="31" t="n">
        <v>0</v>
      </c>
      <c r="D678" s="31" t="n">
        <v>0</v>
      </c>
      <c r="E678" s="27" t="inlineStr">
        <is>
          <t>ON 10%/1M 90%</t>
        </is>
      </c>
      <c r="F678" s="27" t="n">
        <v>50</v>
      </c>
      <c r="G678" s="27">
        <f>A678*$B$7&gt;=$B$9</f>
        <v/>
      </c>
      <c r="H678" s="13">
        <f>$B$7*(A678*E$71+B678*F$71+C678*G$71+D678*H$71)+F678/100*$B$7*J$71-$C$71</f>
        <v/>
      </c>
      <c r="I678" s="13">
        <f>$B$7*(A678*L$71+B678*M$71+C678*N$71+D678*O$71)+F678/100*$B$7*Q$71-$C$71</f>
        <v/>
      </c>
      <c r="J678" s="13">
        <f>$B$7*(A678*S$71+B678*T$71+C678*U$71+D678*V$71)+F678/100*$B$7*X$71-$C$71</f>
        <v/>
      </c>
      <c r="K678" s="13">
        <f>$B$7*(A678*Z$71+B678*AA$71+C678*AB$71+D678*AC$71)+F678/100*$B$7*AE$71-$C$71</f>
        <v/>
      </c>
      <c r="L678" s="13">
        <f>$B$7*(A678*AG$71+B678*AH$71+C678*AI$71+D678*AJ$71)+F678/100*$B$7*AL$71-$C$71</f>
        <v/>
      </c>
      <c r="M678" s="13">
        <f>$B$7*(A678*AN$71+B678*AO$71+C678*AP$71+D678*AQ$71)+F678/100*$B$7*AS$71-$C$71</f>
        <v/>
      </c>
      <c r="N678" s="13">
        <f>SUMPRODUCT($H$24:$M$24,H678:M678)</f>
        <v/>
      </c>
      <c r="O678" s="14">
        <f>SQRT(SUMPRODUCT($H$24:$M$24,(H678:M678-N678)^2))</f>
        <v/>
      </c>
      <c r="P678" s="13">
        <f>MIN(H678:M678)</f>
        <v/>
      </c>
      <c r="Q678" s="13">
        <f>MAX(H678:M678)</f>
        <v/>
      </c>
      <c r="R678" s="27">
        <f>IF(G678,SUMPRODUCT(($G$76:$G$1505)*($N$76:$N$1505&gt;=N678)*($O$76:$O$1505&lt;=O678))=1,FALSE)</f>
        <v/>
      </c>
      <c r="S678" s="16">
        <f>IF(R678,ABS((O678-$AC$76)/MAX(0.0001,$AC$77-$AC$76)-(N678-$AC$78)/MAX(0.0001,$AC$79-$AC$78)),-1)</f>
        <v/>
      </c>
      <c r="T678" s="14">
        <f>IF(G678,O678,NA())</f>
        <v/>
      </c>
      <c r="U678" s="13">
        <f>IF(G678,N678,NA())</f>
        <v/>
      </c>
      <c r="V678" s="14">
        <f>IF(R678,O678,NA())</f>
        <v/>
      </c>
      <c r="W678" s="13">
        <f>IF(R678,N678,NA())</f>
        <v/>
      </c>
      <c r="X678" s="27">
        <f>IF(G678,P678,"")</f>
        <v/>
      </c>
      <c r="Y678" s="27">
        <f>IF(G678,N678,"")</f>
        <v/>
      </c>
      <c r="Z678" s="27">
        <f>IF(R678,O678,"")</f>
        <v/>
      </c>
      <c r="AA678" s="27">
        <f>IF(R678,N678,"")</f>
        <v/>
      </c>
    </row>
    <row r="679">
      <c r="A679" s="31" t="n">
        <v>0.1</v>
      </c>
      <c r="B679" s="31" t="n">
        <v>0.9</v>
      </c>
      <c r="C679" s="31" t="n">
        <v>0</v>
      </c>
      <c r="D679" s="31" t="n">
        <v>0</v>
      </c>
      <c r="E679" s="27" t="inlineStr">
        <is>
          <t>ON 10%/1M 90%</t>
        </is>
      </c>
      <c r="F679" s="27" t="n">
        <v>75</v>
      </c>
      <c r="G679" s="27">
        <f>A679*$B$7&gt;=$B$9</f>
        <v/>
      </c>
      <c r="H679" s="13">
        <f>$B$7*(A679*E$71+B679*F$71+C679*G$71+D679*H$71)+F679/100*$B$7*J$71-$C$71</f>
        <v/>
      </c>
      <c r="I679" s="13">
        <f>$B$7*(A679*L$71+B679*M$71+C679*N$71+D679*O$71)+F679/100*$B$7*Q$71-$C$71</f>
        <v/>
      </c>
      <c r="J679" s="13">
        <f>$B$7*(A679*S$71+B679*T$71+C679*U$71+D679*V$71)+F679/100*$B$7*X$71-$C$71</f>
        <v/>
      </c>
      <c r="K679" s="13">
        <f>$B$7*(A679*Z$71+B679*AA$71+C679*AB$71+D679*AC$71)+F679/100*$B$7*AE$71-$C$71</f>
        <v/>
      </c>
      <c r="L679" s="13">
        <f>$B$7*(A679*AG$71+B679*AH$71+C679*AI$71+D679*AJ$71)+F679/100*$B$7*AL$71-$C$71</f>
        <v/>
      </c>
      <c r="M679" s="13">
        <f>$B$7*(A679*AN$71+B679*AO$71+C679*AP$71+D679*AQ$71)+F679/100*$B$7*AS$71-$C$71</f>
        <v/>
      </c>
      <c r="N679" s="13">
        <f>SUMPRODUCT($H$24:$M$24,H679:M679)</f>
        <v/>
      </c>
      <c r="O679" s="14">
        <f>SQRT(SUMPRODUCT($H$24:$M$24,(H679:M679-N679)^2))</f>
        <v/>
      </c>
      <c r="P679" s="13">
        <f>MIN(H679:M679)</f>
        <v/>
      </c>
      <c r="Q679" s="13">
        <f>MAX(H679:M679)</f>
        <v/>
      </c>
      <c r="R679" s="27">
        <f>IF(G679,SUMPRODUCT(($G$76:$G$1505)*($N$76:$N$1505&gt;=N679)*($O$76:$O$1505&lt;=O679))=1,FALSE)</f>
        <v/>
      </c>
      <c r="S679" s="16">
        <f>IF(R679,ABS((O679-$AC$76)/MAX(0.0001,$AC$77-$AC$76)-(N679-$AC$78)/MAX(0.0001,$AC$79-$AC$78)),-1)</f>
        <v/>
      </c>
      <c r="T679" s="14">
        <f>IF(G679,O679,NA())</f>
        <v/>
      </c>
      <c r="U679" s="13">
        <f>IF(G679,N679,NA())</f>
        <v/>
      </c>
      <c r="V679" s="14">
        <f>IF(R679,O679,NA())</f>
        <v/>
      </c>
      <c r="W679" s="13">
        <f>IF(R679,N679,NA())</f>
        <v/>
      </c>
      <c r="X679" s="27">
        <f>IF(G679,P679,"")</f>
        <v/>
      </c>
      <c r="Y679" s="27">
        <f>IF(G679,N679,"")</f>
        <v/>
      </c>
      <c r="Z679" s="27">
        <f>IF(R679,O679,"")</f>
        <v/>
      </c>
      <c r="AA679" s="27">
        <f>IF(R679,N679,"")</f>
        <v/>
      </c>
    </row>
    <row r="680">
      <c r="A680" s="31" t="n">
        <v>0.1</v>
      </c>
      <c r="B680" s="31" t="n">
        <v>0.9</v>
      </c>
      <c r="C680" s="31" t="n">
        <v>0</v>
      </c>
      <c r="D680" s="31" t="n">
        <v>0</v>
      </c>
      <c r="E680" s="27" t="inlineStr">
        <is>
          <t>ON 10%/1M 90%</t>
        </is>
      </c>
      <c r="F680" s="27" t="n">
        <v>100</v>
      </c>
      <c r="G680" s="27">
        <f>A680*$B$7&gt;=$B$9</f>
        <v/>
      </c>
      <c r="H680" s="13">
        <f>$B$7*(A680*E$71+B680*F$71+C680*G$71+D680*H$71)+F680/100*$B$7*J$71-$C$71</f>
        <v/>
      </c>
      <c r="I680" s="13">
        <f>$B$7*(A680*L$71+B680*M$71+C680*N$71+D680*O$71)+F680/100*$B$7*Q$71-$C$71</f>
        <v/>
      </c>
      <c r="J680" s="13">
        <f>$B$7*(A680*S$71+B680*T$71+C680*U$71+D680*V$71)+F680/100*$B$7*X$71-$C$71</f>
        <v/>
      </c>
      <c r="K680" s="13">
        <f>$B$7*(A680*Z$71+B680*AA$71+C680*AB$71+D680*AC$71)+F680/100*$B$7*AE$71-$C$71</f>
        <v/>
      </c>
      <c r="L680" s="13">
        <f>$B$7*(A680*AG$71+B680*AH$71+C680*AI$71+D680*AJ$71)+F680/100*$B$7*AL$71-$C$71</f>
        <v/>
      </c>
      <c r="M680" s="13">
        <f>$B$7*(A680*AN$71+B680*AO$71+C680*AP$71+D680*AQ$71)+F680/100*$B$7*AS$71-$C$71</f>
        <v/>
      </c>
      <c r="N680" s="13">
        <f>SUMPRODUCT($H$24:$M$24,H680:M680)</f>
        <v/>
      </c>
      <c r="O680" s="14">
        <f>SQRT(SUMPRODUCT($H$24:$M$24,(H680:M680-N680)^2))</f>
        <v/>
      </c>
      <c r="P680" s="13">
        <f>MIN(H680:M680)</f>
        <v/>
      </c>
      <c r="Q680" s="13">
        <f>MAX(H680:M680)</f>
        <v/>
      </c>
      <c r="R680" s="27">
        <f>IF(G680,SUMPRODUCT(($G$76:$G$1505)*($N$76:$N$1505&gt;=N680)*($O$76:$O$1505&lt;=O680))=1,FALSE)</f>
        <v/>
      </c>
      <c r="S680" s="16">
        <f>IF(R680,ABS((O680-$AC$76)/MAX(0.0001,$AC$77-$AC$76)-(N680-$AC$78)/MAX(0.0001,$AC$79-$AC$78)),-1)</f>
        <v/>
      </c>
      <c r="T680" s="14">
        <f>IF(G680,O680,NA())</f>
        <v/>
      </c>
      <c r="U680" s="13">
        <f>IF(G680,N680,NA())</f>
        <v/>
      </c>
      <c r="V680" s="14">
        <f>IF(R680,O680,NA())</f>
        <v/>
      </c>
      <c r="W680" s="13">
        <f>IF(R680,N680,NA())</f>
        <v/>
      </c>
      <c r="X680" s="27">
        <f>IF(G680,P680,"")</f>
        <v/>
      </c>
      <c r="Y680" s="27">
        <f>IF(G680,N680,"")</f>
        <v/>
      </c>
      <c r="Z680" s="27">
        <f>IF(R680,O680,"")</f>
        <v/>
      </c>
      <c r="AA680" s="27">
        <f>IF(R680,N680,"")</f>
        <v/>
      </c>
    </row>
    <row r="681">
      <c r="A681" s="31" t="n">
        <v>0.2</v>
      </c>
      <c r="B681" s="31" t="n">
        <v>0</v>
      </c>
      <c r="C681" s="31" t="n">
        <v>0</v>
      </c>
      <c r="D681" s="31" t="n">
        <v>0.8</v>
      </c>
      <c r="E681" s="27" t="inlineStr">
        <is>
          <t>ON 20%/3M 80%</t>
        </is>
      </c>
      <c r="F681" s="27" t="n">
        <v>0</v>
      </c>
      <c r="G681" s="27">
        <f>A681*$B$7&gt;=$B$9</f>
        <v/>
      </c>
      <c r="H681" s="13">
        <f>$B$7*(A681*E$71+B681*F$71+C681*G$71+D681*H$71)+F681/100*$B$7*J$71-$C$71</f>
        <v/>
      </c>
      <c r="I681" s="13">
        <f>$B$7*(A681*L$71+B681*M$71+C681*N$71+D681*O$71)+F681/100*$B$7*Q$71-$C$71</f>
        <v/>
      </c>
      <c r="J681" s="13">
        <f>$B$7*(A681*S$71+B681*T$71+C681*U$71+D681*V$71)+F681/100*$B$7*X$71-$C$71</f>
        <v/>
      </c>
      <c r="K681" s="13">
        <f>$B$7*(A681*Z$71+B681*AA$71+C681*AB$71+D681*AC$71)+F681/100*$B$7*AE$71-$C$71</f>
        <v/>
      </c>
      <c r="L681" s="13">
        <f>$B$7*(A681*AG$71+B681*AH$71+C681*AI$71+D681*AJ$71)+F681/100*$B$7*AL$71-$C$71</f>
        <v/>
      </c>
      <c r="M681" s="13">
        <f>$B$7*(A681*AN$71+B681*AO$71+C681*AP$71+D681*AQ$71)+F681/100*$B$7*AS$71-$C$71</f>
        <v/>
      </c>
      <c r="N681" s="13">
        <f>SUMPRODUCT($H$24:$M$24,H681:M681)</f>
        <v/>
      </c>
      <c r="O681" s="14">
        <f>SQRT(SUMPRODUCT($H$24:$M$24,(H681:M681-N681)^2))</f>
        <v/>
      </c>
      <c r="P681" s="13">
        <f>MIN(H681:M681)</f>
        <v/>
      </c>
      <c r="Q681" s="13">
        <f>MAX(H681:M681)</f>
        <v/>
      </c>
      <c r="R681" s="27">
        <f>IF(G681,SUMPRODUCT(($G$76:$G$1505)*($N$76:$N$1505&gt;=N681)*($O$76:$O$1505&lt;=O681))=1,FALSE)</f>
        <v/>
      </c>
      <c r="S681" s="16">
        <f>IF(R681,ABS((O681-$AC$76)/MAX(0.0001,$AC$77-$AC$76)-(N681-$AC$78)/MAX(0.0001,$AC$79-$AC$78)),-1)</f>
        <v/>
      </c>
      <c r="T681" s="14">
        <f>IF(G681,O681,NA())</f>
        <v/>
      </c>
      <c r="U681" s="13">
        <f>IF(G681,N681,NA())</f>
        <v/>
      </c>
      <c r="V681" s="14">
        <f>IF(R681,O681,NA())</f>
        <v/>
      </c>
      <c r="W681" s="13">
        <f>IF(R681,N681,NA())</f>
        <v/>
      </c>
      <c r="X681" s="27">
        <f>IF(G681,P681,"")</f>
        <v/>
      </c>
      <c r="Y681" s="27">
        <f>IF(G681,N681,"")</f>
        <v/>
      </c>
      <c r="Z681" s="27">
        <f>IF(R681,O681,"")</f>
        <v/>
      </c>
      <c r="AA681" s="27">
        <f>IF(R681,N681,"")</f>
        <v/>
      </c>
    </row>
    <row r="682">
      <c r="A682" s="31" t="n">
        <v>0.2</v>
      </c>
      <c r="B682" s="31" t="n">
        <v>0</v>
      </c>
      <c r="C682" s="31" t="n">
        <v>0</v>
      </c>
      <c r="D682" s="31" t="n">
        <v>0.8</v>
      </c>
      <c r="E682" s="27" t="inlineStr">
        <is>
          <t>ON 20%/3M 80%</t>
        </is>
      </c>
      <c r="F682" s="27" t="n">
        <v>25</v>
      </c>
      <c r="G682" s="27">
        <f>A682*$B$7&gt;=$B$9</f>
        <v/>
      </c>
      <c r="H682" s="13">
        <f>$B$7*(A682*E$71+B682*F$71+C682*G$71+D682*H$71)+F682/100*$B$7*J$71-$C$71</f>
        <v/>
      </c>
      <c r="I682" s="13">
        <f>$B$7*(A682*L$71+B682*M$71+C682*N$71+D682*O$71)+F682/100*$B$7*Q$71-$C$71</f>
        <v/>
      </c>
      <c r="J682" s="13">
        <f>$B$7*(A682*S$71+B682*T$71+C682*U$71+D682*V$71)+F682/100*$B$7*X$71-$C$71</f>
        <v/>
      </c>
      <c r="K682" s="13">
        <f>$B$7*(A682*Z$71+B682*AA$71+C682*AB$71+D682*AC$71)+F682/100*$B$7*AE$71-$C$71</f>
        <v/>
      </c>
      <c r="L682" s="13">
        <f>$B$7*(A682*AG$71+B682*AH$71+C682*AI$71+D682*AJ$71)+F682/100*$B$7*AL$71-$C$71</f>
        <v/>
      </c>
      <c r="M682" s="13">
        <f>$B$7*(A682*AN$71+B682*AO$71+C682*AP$71+D682*AQ$71)+F682/100*$B$7*AS$71-$C$71</f>
        <v/>
      </c>
      <c r="N682" s="13">
        <f>SUMPRODUCT($H$24:$M$24,H682:M682)</f>
        <v/>
      </c>
      <c r="O682" s="14">
        <f>SQRT(SUMPRODUCT($H$24:$M$24,(H682:M682-N682)^2))</f>
        <v/>
      </c>
      <c r="P682" s="13">
        <f>MIN(H682:M682)</f>
        <v/>
      </c>
      <c r="Q682" s="13">
        <f>MAX(H682:M682)</f>
        <v/>
      </c>
      <c r="R682" s="27">
        <f>IF(G682,SUMPRODUCT(($G$76:$G$1505)*($N$76:$N$1505&gt;=N682)*($O$76:$O$1505&lt;=O682))=1,FALSE)</f>
        <v/>
      </c>
      <c r="S682" s="16">
        <f>IF(R682,ABS((O682-$AC$76)/MAX(0.0001,$AC$77-$AC$76)-(N682-$AC$78)/MAX(0.0001,$AC$79-$AC$78)),-1)</f>
        <v/>
      </c>
      <c r="T682" s="14">
        <f>IF(G682,O682,NA())</f>
        <v/>
      </c>
      <c r="U682" s="13">
        <f>IF(G682,N682,NA())</f>
        <v/>
      </c>
      <c r="V682" s="14">
        <f>IF(R682,O682,NA())</f>
        <v/>
      </c>
      <c r="W682" s="13">
        <f>IF(R682,N682,NA())</f>
        <v/>
      </c>
      <c r="X682" s="27">
        <f>IF(G682,P682,"")</f>
        <v/>
      </c>
      <c r="Y682" s="27">
        <f>IF(G682,N682,"")</f>
        <v/>
      </c>
      <c r="Z682" s="27">
        <f>IF(R682,O682,"")</f>
        <v/>
      </c>
      <c r="AA682" s="27">
        <f>IF(R682,N682,"")</f>
        <v/>
      </c>
    </row>
    <row r="683">
      <c r="A683" s="31" t="n">
        <v>0.2</v>
      </c>
      <c r="B683" s="31" t="n">
        <v>0</v>
      </c>
      <c r="C683" s="31" t="n">
        <v>0</v>
      </c>
      <c r="D683" s="31" t="n">
        <v>0.8</v>
      </c>
      <c r="E683" s="27" t="inlineStr">
        <is>
          <t>ON 20%/3M 80%</t>
        </is>
      </c>
      <c r="F683" s="27" t="n">
        <v>50</v>
      </c>
      <c r="G683" s="27">
        <f>A683*$B$7&gt;=$B$9</f>
        <v/>
      </c>
      <c r="H683" s="13">
        <f>$B$7*(A683*E$71+B683*F$71+C683*G$71+D683*H$71)+F683/100*$B$7*J$71-$C$71</f>
        <v/>
      </c>
      <c r="I683" s="13">
        <f>$B$7*(A683*L$71+B683*M$71+C683*N$71+D683*O$71)+F683/100*$B$7*Q$71-$C$71</f>
        <v/>
      </c>
      <c r="J683" s="13">
        <f>$B$7*(A683*S$71+B683*T$71+C683*U$71+D683*V$71)+F683/100*$B$7*X$71-$C$71</f>
        <v/>
      </c>
      <c r="K683" s="13">
        <f>$B$7*(A683*Z$71+B683*AA$71+C683*AB$71+D683*AC$71)+F683/100*$B$7*AE$71-$C$71</f>
        <v/>
      </c>
      <c r="L683" s="13">
        <f>$B$7*(A683*AG$71+B683*AH$71+C683*AI$71+D683*AJ$71)+F683/100*$B$7*AL$71-$C$71</f>
        <v/>
      </c>
      <c r="M683" s="13">
        <f>$B$7*(A683*AN$71+B683*AO$71+C683*AP$71+D683*AQ$71)+F683/100*$B$7*AS$71-$C$71</f>
        <v/>
      </c>
      <c r="N683" s="13">
        <f>SUMPRODUCT($H$24:$M$24,H683:M683)</f>
        <v/>
      </c>
      <c r="O683" s="14">
        <f>SQRT(SUMPRODUCT($H$24:$M$24,(H683:M683-N683)^2))</f>
        <v/>
      </c>
      <c r="P683" s="13">
        <f>MIN(H683:M683)</f>
        <v/>
      </c>
      <c r="Q683" s="13">
        <f>MAX(H683:M683)</f>
        <v/>
      </c>
      <c r="R683" s="27">
        <f>IF(G683,SUMPRODUCT(($G$76:$G$1505)*($N$76:$N$1505&gt;=N683)*($O$76:$O$1505&lt;=O683))=1,FALSE)</f>
        <v/>
      </c>
      <c r="S683" s="16">
        <f>IF(R683,ABS((O683-$AC$76)/MAX(0.0001,$AC$77-$AC$76)-(N683-$AC$78)/MAX(0.0001,$AC$79-$AC$78)),-1)</f>
        <v/>
      </c>
      <c r="T683" s="14">
        <f>IF(G683,O683,NA())</f>
        <v/>
      </c>
      <c r="U683" s="13">
        <f>IF(G683,N683,NA())</f>
        <v/>
      </c>
      <c r="V683" s="14">
        <f>IF(R683,O683,NA())</f>
        <v/>
      </c>
      <c r="W683" s="13">
        <f>IF(R683,N683,NA())</f>
        <v/>
      </c>
      <c r="X683" s="27">
        <f>IF(G683,P683,"")</f>
        <v/>
      </c>
      <c r="Y683" s="27">
        <f>IF(G683,N683,"")</f>
        <v/>
      </c>
      <c r="Z683" s="27">
        <f>IF(R683,O683,"")</f>
        <v/>
      </c>
      <c r="AA683" s="27">
        <f>IF(R683,N683,"")</f>
        <v/>
      </c>
    </row>
    <row r="684">
      <c r="A684" s="31" t="n">
        <v>0.2</v>
      </c>
      <c r="B684" s="31" t="n">
        <v>0</v>
      </c>
      <c r="C684" s="31" t="n">
        <v>0</v>
      </c>
      <c r="D684" s="31" t="n">
        <v>0.8</v>
      </c>
      <c r="E684" s="27" t="inlineStr">
        <is>
          <t>ON 20%/3M 80%</t>
        </is>
      </c>
      <c r="F684" s="27" t="n">
        <v>75</v>
      </c>
      <c r="G684" s="27">
        <f>A684*$B$7&gt;=$B$9</f>
        <v/>
      </c>
      <c r="H684" s="13">
        <f>$B$7*(A684*E$71+B684*F$71+C684*G$71+D684*H$71)+F684/100*$B$7*J$71-$C$71</f>
        <v/>
      </c>
      <c r="I684" s="13">
        <f>$B$7*(A684*L$71+B684*M$71+C684*N$71+D684*O$71)+F684/100*$B$7*Q$71-$C$71</f>
        <v/>
      </c>
      <c r="J684" s="13">
        <f>$B$7*(A684*S$71+B684*T$71+C684*U$71+D684*V$71)+F684/100*$B$7*X$71-$C$71</f>
        <v/>
      </c>
      <c r="K684" s="13">
        <f>$B$7*(A684*Z$71+B684*AA$71+C684*AB$71+D684*AC$71)+F684/100*$B$7*AE$71-$C$71</f>
        <v/>
      </c>
      <c r="L684" s="13">
        <f>$B$7*(A684*AG$71+B684*AH$71+C684*AI$71+D684*AJ$71)+F684/100*$B$7*AL$71-$C$71</f>
        <v/>
      </c>
      <c r="M684" s="13">
        <f>$B$7*(A684*AN$71+B684*AO$71+C684*AP$71+D684*AQ$71)+F684/100*$B$7*AS$71-$C$71</f>
        <v/>
      </c>
      <c r="N684" s="13">
        <f>SUMPRODUCT($H$24:$M$24,H684:M684)</f>
        <v/>
      </c>
      <c r="O684" s="14">
        <f>SQRT(SUMPRODUCT($H$24:$M$24,(H684:M684-N684)^2))</f>
        <v/>
      </c>
      <c r="P684" s="13">
        <f>MIN(H684:M684)</f>
        <v/>
      </c>
      <c r="Q684" s="13">
        <f>MAX(H684:M684)</f>
        <v/>
      </c>
      <c r="R684" s="27">
        <f>IF(G684,SUMPRODUCT(($G$76:$G$1505)*($N$76:$N$1505&gt;=N684)*($O$76:$O$1505&lt;=O684))=1,FALSE)</f>
        <v/>
      </c>
      <c r="S684" s="16">
        <f>IF(R684,ABS((O684-$AC$76)/MAX(0.0001,$AC$77-$AC$76)-(N684-$AC$78)/MAX(0.0001,$AC$79-$AC$78)),-1)</f>
        <v/>
      </c>
      <c r="T684" s="14">
        <f>IF(G684,O684,NA())</f>
        <v/>
      </c>
      <c r="U684" s="13">
        <f>IF(G684,N684,NA())</f>
        <v/>
      </c>
      <c r="V684" s="14">
        <f>IF(R684,O684,NA())</f>
        <v/>
      </c>
      <c r="W684" s="13">
        <f>IF(R684,N684,NA())</f>
        <v/>
      </c>
      <c r="X684" s="27">
        <f>IF(G684,P684,"")</f>
        <v/>
      </c>
      <c r="Y684" s="27">
        <f>IF(G684,N684,"")</f>
        <v/>
      </c>
      <c r="Z684" s="27">
        <f>IF(R684,O684,"")</f>
        <v/>
      </c>
      <c r="AA684" s="27">
        <f>IF(R684,N684,"")</f>
        <v/>
      </c>
    </row>
    <row r="685">
      <c r="A685" s="31" t="n">
        <v>0.2</v>
      </c>
      <c r="B685" s="31" t="n">
        <v>0</v>
      </c>
      <c r="C685" s="31" t="n">
        <v>0</v>
      </c>
      <c r="D685" s="31" t="n">
        <v>0.8</v>
      </c>
      <c r="E685" s="27" t="inlineStr">
        <is>
          <t>ON 20%/3M 80%</t>
        </is>
      </c>
      <c r="F685" s="27" t="n">
        <v>100</v>
      </c>
      <c r="G685" s="27">
        <f>A685*$B$7&gt;=$B$9</f>
        <v/>
      </c>
      <c r="H685" s="13">
        <f>$B$7*(A685*E$71+B685*F$71+C685*G$71+D685*H$71)+F685/100*$B$7*J$71-$C$71</f>
        <v/>
      </c>
      <c r="I685" s="13">
        <f>$B$7*(A685*L$71+B685*M$71+C685*N$71+D685*O$71)+F685/100*$B$7*Q$71-$C$71</f>
        <v/>
      </c>
      <c r="J685" s="13">
        <f>$B$7*(A685*S$71+B685*T$71+C685*U$71+D685*V$71)+F685/100*$B$7*X$71-$C$71</f>
        <v/>
      </c>
      <c r="K685" s="13">
        <f>$B$7*(A685*Z$71+B685*AA$71+C685*AB$71+D685*AC$71)+F685/100*$B$7*AE$71-$C$71</f>
        <v/>
      </c>
      <c r="L685" s="13">
        <f>$B$7*(A685*AG$71+B685*AH$71+C685*AI$71+D685*AJ$71)+F685/100*$B$7*AL$71-$C$71</f>
        <v/>
      </c>
      <c r="M685" s="13">
        <f>$B$7*(A685*AN$71+B685*AO$71+C685*AP$71+D685*AQ$71)+F685/100*$B$7*AS$71-$C$71</f>
        <v/>
      </c>
      <c r="N685" s="13">
        <f>SUMPRODUCT($H$24:$M$24,H685:M685)</f>
        <v/>
      </c>
      <c r="O685" s="14">
        <f>SQRT(SUMPRODUCT($H$24:$M$24,(H685:M685-N685)^2))</f>
        <v/>
      </c>
      <c r="P685" s="13">
        <f>MIN(H685:M685)</f>
        <v/>
      </c>
      <c r="Q685" s="13">
        <f>MAX(H685:M685)</f>
        <v/>
      </c>
      <c r="R685" s="27">
        <f>IF(G685,SUMPRODUCT(($G$76:$G$1505)*($N$76:$N$1505&gt;=N685)*($O$76:$O$1505&lt;=O685))=1,FALSE)</f>
        <v/>
      </c>
      <c r="S685" s="16">
        <f>IF(R685,ABS((O685-$AC$76)/MAX(0.0001,$AC$77-$AC$76)-(N685-$AC$78)/MAX(0.0001,$AC$79-$AC$78)),-1)</f>
        <v/>
      </c>
      <c r="T685" s="14">
        <f>IF(G685,O685,NA())</f>
        <v/>
      </c>
      <c r="U685" s="13">
        <f>IF(G685,N685,NA())</f>
        <v/>
      </c>
      <c r="V685" s="14">
        <f>IF(R685,O685,NA())</f>
        <v/>
      </c>
      <c r="W685" s="13">
        <f>IF(R685,N685,NA())</f>
        <v/>
      </c>
      <c r="X685" s="27">
        <f>IF(G685,P685,"")</f>
        <v/>
      </c>
      <c r="Y685" s="27">
        <f>IF(G685,N685,"")</f>
        <v/>
      </c>
      <c r="Z685" s="27">
        <f>IF(R685,O685,"")</f>
        <v/>
      </c>
      <c r="AA685" s="27">
        <f>IF(R685,N685,"")</f>
        <v/>
      </c>
    </row>
    <row r="686">
      <c r="A686" s="31" t="n">
        <v>0.2</v>
      </c>
      <c r="B686" s="31" t="n">
        <v>0</v>
      </c>
      <c r="C686" s="31" t="n">
        <v>0.1</v>
      </c>
      <c r="D686" s="31" t="n">
        <v>0.7</v>
      </c>
      <c r="E686" s="27" t="inlineStr">
        <is>
          <t>ON 20%/2M 10%/3M 70%</t>
        </is>
      </c>
      <c r="F686" s="27" t="n">
        <v>0</v>
      </c>
      <c r="G686" s="27">
        <f>A686*$B$7&gt;=$B$9</f>
        <v/>
      </c>
      <c r="H686" s="13">
        <f>$B$7*(A686*E$71+B686*F$71+C686*G$71+D686*H$71)+F686/100*$B$7*J$71-$C$71</f>
        <v/>
      </c>
      <c r="I686" s="13">
        <f>$B$7*(A686*L$71+B686*M$71+C686*N$71+D686*O$71)+F686/100*$B$7*Q$71-$C$71</f>
        <v/>
      </c>
      <c r="J686" s="13">
        <f>$B$7*(A686*S$71+B686*T$71+C686*U$71+D686*V$71)+F686/100*$B$7*X$71-$C$71</f>
        <v/>
      </c>
      <c r="K686" s="13">
        <f>$B$7*(A686*Z$71+B686*AA$71+C686*AB$71+D686*AC$71)+F686/100*$B$7*AE$71-$C$71</f>
        <v/>
      </c>
      <c r="L686" s="13">
        <f>$B$7*(A686*AG$71+B686*AH$71+C686*AI$71+D686*AJ$71)+F686/100*$B$7*AL$71-$C$71</f>
        <v/>
      </c>
      <c r="M686" s="13">
        <f>$B$7*(A686*AN$71+B686*AO$71+C686*AP$71+D686*AQ$71)+F686/100*$B$7*AS$71-$C$71</f>
        <v/>
      </c>
      <c r="N686" s="13">
        <f>SUMPRODUCT($H$24:$M$24,H686:M686)</f>
        <v/>
      </c>
      <c r="O686" s="14">
        <f>SQRT(SUMPRODUCT($H$24:$M$24,(H686:M686-N686)^2))</f>
        <v/>
      </c>
      <c r="P686" s="13">
        <f>MIN(H686:M686)</f>
        <v/>
      </c>
      <c r="Q686" s="13">
        <f>MAX(H686:M686)</f>
        <v/>
      </c>
      <c r="R686" s="27">
        <f>IF(G686,SUMPRODUCT(($G$76:$G$1505)*($N$76:$N$1505&gt;=N686)*($O$76:$O$1505&lt;=O686))=1,FALSE)</f>
        <v/>
      </c>
      <c r="S686" s="16">
        <f>IF(R686,ABS((O686-$AC$76)/MAX(0.0001,$AC$77-$AC$76)-(N686-$AC$78)/MAX(0.0001,$AC$79-$AC$78)),-1)</f>
        <v/>
      </c>
      <c r="T686" s="14">
        <f>IF(G686,O686,NA())</f>
        <v/>
      </c>
      <c r="U686" s="13">
        <f>IF(G686,N686,NA())</f>
        <v/>
      </c>
      <c r="V686" s="14">
        <f>IF(R686,O686,NA())</f>
        <v/>
      </c>
      <c r="W686" s="13">
        <f>IF(R686,N686,NA())</f>
        <v/>
      </c>
      <c r="X686" s="27">
        <f>IF(G686,P686,"")</f>
        <v/>
      </c>
      <c r="Y686" s="27">
        <f>IF(G686,N686,"")</f>
        <v/>
      </c>
      <c r="Z686" s="27">
        <f>IF(R686,O686,"")</f>
        <v/>
      </c>
      <c r="AA686" s="27">
        <f>IF(R686,N686,"")</f>
        <v/>
      </c>
    </row>
    <row r="687">
      <c r="A687" s="31" t="n">
        <v>0.2</v>
      </c>
      <c r="B687" s="31" t="n">
        <v>0</v>
      </c>
      <c r="C687" s="31" t="n">
        <v>0.1</v>
      </c>
      <c r="D687" s="31" t="n">
        <v>0.7</v>
      </c>
      <c r="E687" s="27" t="inlineStr">
        <is>
          <t>ON 20%/2M 10%/3M 70%</t>
        </is>
      </c>
      <c r="F687" s="27" t="n">
        <v>25</v>
      </c>
      <c r="G687" s="27">
        <f>A687*$B$7&gt;=$B$9</f>
        <v/>
      </c>
      <c r="H687" s="13">
        <f>$B$7*(A687*E$71+B687*F$71+C687*G$71+D687*H$71)+F687/100*$B$7*J$71-$C$71</f>
        <v/>
      </c>
      <c r="I687" s="13">
        <f>$B$7*(A687*L$71+B687*M$71+C687*N$71+D687*O$71)+F687/100*$B$7*Q$71-$C$71</f>
        <v/>
      </c>
      <c r="J687" s="13">
        <f>$B$7*(A687*S$71+B687*T$71+C687*U$71+D687*V$71)+F687/100*$B$7*X$71-$C$71</f>
        <v/>
      </c>
      <c r="K687" s="13">
        <f>$B$7*(A687*Z$71+B687*AA$71+C687*AB$71+D687*AC$71)+F687/100*$B$7*AE$71-$C$71</f>
        <v/>
      </c>
      <c r="L687" s="13">
        <f>$B$7*(A687*AG$71+B687*AH$71+C687*AI$71+D687*AJ$71)+F687/100*$B$7*AL$71-$C$71</f>
        <v/>
      </c>
      <c r="M687" s="13">
        <f>$B$7*(A687*AN$71+B687*AO$71+C687*AP$71+D687*AQ$71)+F687/100*$B$7*AS$71-$C$71</f>
        <v/>
      </c>
      <c r="N687" s="13">
        <f>SUMPRODUCT($H$24:$M$24,H687:M687)</f>
        <v/>
      </c>
      <c r="O687" s="14">
        <f>SQRT(SUMPRODUCT($H$24:$M$24,(H687:M687-N687)^2))</f>
        <v/>
      </c>
      <c r="P687" s="13">
        <f>MIN(H687:M687)</f>
        <v/>
      </c>
      <c r="Q687" s="13">
        <f>MAX(H687:M687)</f>
        <v/>
      </c>
      <c r="R687" s="27">
        <f>IF(G687,SUMPRODUCT(($G$76:$G$1505)*($N$76:$N$1505&gt;=N687)*($O$76:$O$1505&lt;=O687))=1,FALSE)</f>
        <v/>
      </c>
      <c r="S687" s="16">
        <f>IF(R687,ABS((O687-$AC$76)/MAX(0.0001,$AC$77-$AC$76)-(N687-$AC$78)/MAX(0.0001,$AC$79-$AC$78)),-1)</f>
        <v/>
      </c>
      <c r="T687" s="14">
        <f>IF(G687,O687,NA())</f>
        <v/>
      </c>
      <c r="U687" s="13">
        <f>IF(G687,N687,NA())</f>
        <v/>
      </c>
      <c r="V687" s="14">
        <f>IF(R687,O687,NA())</f>
        <v/>
      </c>
      <c r="W687" s="13">
        <f>IF(R687,N687,NA())</f>
        <v/>
      </c>
      <c r="X687" s="27">
        <f>IF(G687,P687,"")</f>
        <v/>
      </c>
      <c r="Y687" s="27">
        <f>IF(G687,N687,"")</f>
        <v/>
      </c>
      <c r="Z687" s="27">
        <f>IF(R687,O687,"")</f>
        <v/>
      </c>
      <c r="AA687" s="27">
        <f>IF(R687,N687,"")</f>
        <v/>
      </c>
    </row>
    <row r="688">
      <c r="A688" s="31" t="n">
        <v>0.2</v>
      </c>
      <c r="B688" s="31" t="n">
        <v>0</v>
      </c>
      <c r="C688" s="31" t="n">
        <v>0.1</v>
      </c>
      <c r="D688" s="31" t="n">
        <v>0.7</v>
      </c>
      <c r="E688" s="27" t="inlineStr">
        <is>
          <t>ON 20%/2M 10%/3M 70%</t>
        </is>
      </c>
      <c r="F688" s="27" t="n">
        <v>50</v>
      </c>
      <c r="G688" s="27">
        <f>A688*$B$7&gt;=$B$9</f>
        <v/>
      </c>
      <c r="H688" s="13">
        <f>$B$7*(A688*E$71+B688*F$71+C688*G$71+D688*H$71)+F688/100*$B$7*J$71-$C$71</f>
        <v/>
      </c>
      <c r="I688" s="13">
        <f>$B$7*(A688*L$71+B688*M$71+C688*N$71+D688*O$71)+F688/100*$B$7*Q$71-$C$71</f>
        <v/>
      </c>
      <c r="J688" s="13">
        <f>$B$7*(A688*S$71+B688*T$71+C688*U$71+D688*V$71)+F688/100*$B$7*X$71-$C$71</f>
        <v/>
      </c>
      <c r="K688" s="13">
        <f>$B$7*(A688*Z$71+B688*AA$71+C688*AB$71+D688*AC$71)+F688/100*$B$7*AE$71-$C$71</f>
        <v/>
      </c>
      <c r="L688" s="13">
        <f>$B$7*(A688*AG$71+B688*AH$71+C688*AI$71+D688*AJ$71)+F688/100*$B$7*AL$71-$C$71</f>
        <v/>
      </c>
      <c r="M688" s="13">
        <f>$B$7*(A688*AN$71+B688*AO$71+C688*AP$71+D688*AQ$71)+F688/100*$B$7*AS$71-$C$71</f>
        <v/>
      </c>
      <c r="N688" s="13">
        <f>SUMPRODUCT($H$24:$M$24,H688:M688)</f>
        <v/>
      </c>
      <c r="O688" s="14">
        <f>SQRT(SUMPRODUCT($H$24:$M$24,(H688:M688-N688)^2))</f>
        <v/>
      </c>
      <c r="P688" s="13">
        <f>MIN(H688:M688)</f>
        <v/>
      </c>
      <c r="Q688" s="13">
        <f>MAX(H688:M688)</f>
        <v/>
      </c>
      <c r="R688" s="27">
        <f>IF(G688,SUMPRODUCT(($G$76:$G$1505)*($N$76:$N$1505&gt;=N688)*($O$76:$O$1505&lt;=O688))=1,FALSE)</f>
        <v/>
      </c>
      <c r="S688" s="16">
        <f>IF(R688,ABS((O688-$AC$76)/MAX(0.0001,$AC$77-$AC$76)-(N688-$AC$78)/MAX(0.0001,$AC$79-$AC$78)),-1)</f>
        <v/>
      </c>
      <c r="T688" s="14">
        <f>IF(G688,O688,NA())</f>
        <v/>
      </c>
      <c r="U688" s="13">
        <f>IF(G688,N688,NA())</f>
        <v/>
      </c>
      <c r="V688" s="14">
        <f>IF(R688,O688,NA())</f>
        <v/>
      </c>
      <c r="W688" s="13">
        <f>IF(R688,N688,NA())</f>
        <v/>
      </c>
      <c r="X688" s="27">
        <f>IF(G688,P688,"")</f>
        <v/>
      </c>
      <c r="Y688" s="27">
        <f>IF(G688,N688,"")</f>
        <v/>
      </c>
      <c r="Z688" s="27">
        <f>IF(R688,O688,"")</f>
        <v/>
      </c>
      <c r="AA688" s="27">
        <f>IF(R688,N688,"")</f>
        <v/>
      </c>
    </row>
    <row r="689">
      <c r="A689" s="31" t="n">
        <v>0.2</v>
      </c>
      <c r="B689" s="31" t="n">
        <v>0</v>
      </c>
      <c r="C689" s="31" t="n">
        <v>0.1</v>
      </c>
      <c r="D689" s="31" t="n">
        <v>0.7</v>
      </c>
      <c r="E689" s="27" t="inlineStr">
        <is>
          <t>ON 20%/2M 10%/3M 70%</t>
        </is>
      </c>
      <c r="F689" s="27" t="n">
        <v>75</v>
      </c>
      <c r="G689" s="27">
        <f>A689*$B$7&gt;=$B$9</f>
        <v/>
      </c>
      <c r="H689" s="13">
        <f>$B$7*(A689*E$71+B689*F$71+C689*G$71+D689*H$71)+F689/100*$B$7*J$71-$C$71</f>
        <v/>
      </c>
      <c r="I689" s="13">
        <f>$B$7*(A689*L$71+B689*M$71+C689*N$71+D689*O$71)+F689/100*$B$7*Q$71-$C$71</f>
        <v/>
      </c>
      <c r="J689" s="13">
        <f>$B$7*(A689*S$71+B689*T$71+C689*U$71+D689*V$71)+F689/100*$B$7*X$71-$C$71</f>
        <v/>
      </c>
      <c r="K689" s="13">
        <f>$B$7*(A689*Z$71+B689*AA$71+C689*AB$71+D689*AC$71)+F689/100*$B$7*AE$71-$C$71</f>
        <v/>
      </c>
      <c r="L689" s="13">
        <f>$B$7*(A689*AG$71+B689*AH$71+C689*AI$71+D689*AJ$71)+F689/100*$B$7*AL$71-$C$71</f>
        <v/>
      </c>
      <c r="M689" s="13">
        <f>$B$7*(A689*AN$71+B689*AO$71+C689*AP$71+D689*AQ$71)+F689/100*$B$7*AS$71-$C$71</f>
        <v/>
      </c>
      <c r="N689" s="13">
        <f>SUMPRODUCT($H$24:$M$24,H689:M689)</f>
        <v/>
      </c>
      <c r="O689" s="14">
        <f>SQRT(SUMPRODUCT($H$24:$M$24,(H689:M689-N689)^2))</f>
        <v/>
      </c>
      <c r="P689" s="13">
        <f>MIN(H689:M689)</f>
        <v/>
      </c>
      <c r="Q689" s="13">
        <f>MAX(H689:M689)</f>
        <v/>
      </c>
      <c r="R689" s="27">
        <f>IF(G689,SUMPRODUCT(($G$76:$G$1505)*($N$76:$N$1505&gt;=N689)*($O$76:$O$1505&lt;=O689))=1,FALSE)</f>
        <v/>
      </c>
      <c r="S689" s="16">
        <f>IF(R689,ABS((O689-$AC$76)/MAX(0.0001,$AC$77-$AC$76)-(N689-$AC$78)/MAX(0.0001,$AC$79-$AC$78)),-1)</f>
        <v/>
      </c>
      <c r="T689" s="14">
        <f>IF(G689,O689,NA())</f>
        <v/>
      </c>
      <c r="U689" s="13">
        <f>IF(G689,N689,NA())</f>
        <v/>
      </c>
      <c r="V689" s="14">
        <f>IF(R689,O689,NA())</f>
        <v/>
      </c>
      <c r="W689" s="13">
        <f>IF(R689,N689,NA())</f>
        <v/>
      </c>
      <c r="X689" s="27">
        <f>IF(G689,P689,"")</f>
        <v/>
      </c>
      <c r="Y689" s="27">
        <f>IF(G689,N689,"")</f>
        <v/>
      </c>
      <c r="Z689" s="27">
        <f>IF(R689,O689,"")</f>
        <v/>
      </c>
      <c r="AA689" s="27">
        <f>IF(R689,N689,"")</f>
        <v/>
      </c>
    </row>
    <row r="690">
      <c r="A690" s="31" t="n">
        <v>0.2</v>
      </c>
      <c r="B690" s="31" t="n">
        <v>0</v>
      </c>
      <c r="C690" s="31" t="n">
        <v>0.1</v>
      </c>
      <c r="D690" s="31" t="n">
        <v>0.7</v>
      </c>
      <c r="E690" s="27" t="inlineStr">
        <is>
          <t>ON 20%/2M 10%/3M 70%</t>
        </is>
      </c>
      <c r="F690" s="27" t="n">
        <v>100</v>
      </c>
      <c r="G690" s="27">
        <f>A690*$B$7&gt;=$B$9</f>
        <v/>
      </c>
      <c r="H690" s="13">
        <f>$B$7*(A690*E$71+B690*F$71+C690*G$71+D690*H$71)+F690/100*$B$7*J$71-$C$71</f>
        <v/>
      </c>
      <c r="I690" s="13">
        <f>$B$7*(A690*L$71+B690*M$71+C690*N$71+D690*O$71)+F690/100*$B$7*Q$71-$C$71</f>
        <v/>
      </c>
      <c r="J690" s="13">
        <f>$B$7*(A690*S$71+B690*T$71+C690*U$71+D690*V$71)+F690/100*$B$7*X$71-$C$71</f>
        <v/>
      </c>
      <c r="K690" s="13">
        <f>$B$7*(A690*Z$71+B690*AA$71+C690*AB$71+D690*AC$71)+F690/100*$B$7*AE$71-$C$71</f>
        <v/>
      </c>
      <c r="L690" s="13">
        <f>$B$7*(A690*AG$71+B690*AH$71+C690*AI$71+D690*AJ$71)+F690/100*$B$7*AL$71-$C$71</f>
        <v/>
      </c>
      <c r="M690" s="13">
        <f>$B$7*(A690*AN$71+B690*AO$71+C690*AP$71+D690*AQ$71)+F690/100*$B$7*AS$71-$C$71</f>
        <v/>
      </c>
      <c r="N690" s="13">
        <f>SUMPRODUCT($H$24:$M$24,H690:M690)</f>
        <v/>
      </c>
      <c r="O690" s="14">
        <f>SQRT(SUMPRODUCT($H$24:$M$24,(H690:M690-N690)^2))</f>
        <v/>
      </c>
      <c r="P690" s="13">
        <f>MIN(H690:M690)</f>
        <v/>
      </c>
      <c r="Q690" s="13">
        <f>MAX(H690:M690)</f>
        <v/>
      </c>
      <c r="R690" s="27">
        <f>IF(G690,SUMPRODUCT(($G$76:$G$1505)*($N$76:$N$1505&gt;=N690)*($O$76:$O$1505&lt;=O690))=1,FALSE)</f>
        <v/>
      </c>
      <c r="S690" s="16">
        <f>IF(R690,ABS((O690-$AC$76)/MAX(0.0001,$AC$77-$AC$76)-(N690-$AC$78)/MAX(0.0001,$AC$79-$AC$78)),-1)</f>
        <v/>
      </c>
      <c r="T690" s="14">
        <f>IF(G690,O690,NA())</f>
        <v/>
      </c>
      <c r="U690" s="13">
        <f>IF(G690,N690,NA())</f>
        <v/>
      </c>
      <c r="V690" s="14">
        <f>IF(R690,O690,NA())</f>
        <v/>
      </c>
      <c r="W690" s="13">
        <f>IF(R690,N690,NA())</f>
        <v/>
      </c>
      <c r="X690" s="27">
        <f>IF(G690,P690,"")</f>
        <v/>
      </c>
      <c r="Y690" s="27">
        <f>IF(G690,N690,"")</f>
        <v/>
      </c>
      <c r="Z690" s="27">
        <f>IF(R690,O690,"")</f>
        <v/>
      </c>
      <c r="AA690" s="27">
        <f>IF(R690,N690,"")</f>
        <v/>
      </c>
    </row>
    <row r="691">
      <c r="A691" s="31" t="n">
        <v>0.2</v>
      </c>
      <c r="B691" s="31" t="n">
        <v>0</v>
      </c>
      <c r="C691" s="31" t="n">
        <v>0.2</v>
      </c>
      <c r="D691" s="31" t="n">
        <v>0.6</v>
      </c>
      <c r="E691" s="27" t="inlineStr">
        <is>
          <t>ON 20%/2M 20%/3M 60%</t>
        </is>
      </c>
      <c r="F691" s="27" t="n">
        <v>0</v>
      </c>
      <c r="G691" s="27">
        <f>A691*$B$7&gt;=$B$9</f>
        <v/>
      </c>
      <c r="H691" s="13">
        <f>$B$7*(A691*E$71+B691*F$71+C691*G$71+D691*H$71)+F691/100*$B$7*J$71-$C$71</f>
        <v/>
      </c>
      <c r="I691" s="13">
        <f>$B$7*(A691*L$71+B691*M$71+C691*N$71+D691*O$71)+F691/100*$B$7*Q$71-$C$71</f>
        <v/>
      </c>
      <c r="J691" s="13">
        <f>$B$7*(A691*S$71+B691*T$71+C691*U$71+D691*V$71)+F691/100*$B$7*X$71-$C$71</f>
        <v/>
      </c>
      <c r="K691" s="13">
        <f>$B$7*(A691*Z$71+B691*AA$71+C691*AB$71+D691*AC$71)+F691/100*$B$7*AE$71-$C$71</f>
        <v/>
      </c>
      <c r="L691" s="13">
        <f>$B$7*(A691*AG$71+B691*AH$71+C691*AI$71+D691*AJ$71)+F691/100*$B$7*AL$71-$C$71</f>
        <v/>
      </c>
      <c r="M691" s="13">
        <f>$B$7*(A691*AN$71+B691*AO$71+C691*AP$71+D691*AQ$71)+F691/100*$B$7*AS$71-$C$71</f>
        <v/>
      </c>
      <c r="N691" s="13">
        <f>SUMPRODUCT($H$24:$M$24,H691:M691)</f>
        <v/>
      </c>
      <c r="O691" s="14">
        <f>SQRT(SUMPRODUCT($H$24:$M$24,(H691:M691-N691)^2))</f>
        <v/>
      </c>
      <c r="P691" s="13">
        <f>MIN(H691:M691)</f>
        <v/>
      </c>
      <c r="Q691" s="13">
        <f>MAX(H691:M691)</f>
        <v/>
      </c>
      <c r="R691" s="27">
        <f>IF(G691,SUMPRODUCT(($G$76:$G$1505)*($N$76:$N$1505&gt;=N691)*($O$76:$O$1505&lt;=O691))=1,FALSE)</f>
        <v/>
      </c>
      <c r="S691" s="16">
        <f>IF(R691,ABS((O691-$AC$76)/MAX(0.0001,$AC$77-$AC$76)-(N691-$AC$78)/MAX(0.0001,$AC$79-$AC$78)),-1)</f>
        <v/>
      </c>
      <c r="T691" s="14">
        <f>IF(G691,O691,NA())</f>
        <v/>
      </c>
      <c r="U691" s="13">
        <f>IF(G691,N691,NA())</f>
        <v/>
      </c>
      <c r="V691" s="14">
        <f>IF(R691,O691,NA())</f>
        <v/>
      </c>
      <c r="W691" s="13">
        <f>IF(R691,N691,NA())</f>
        <v/>
      </c>
      <c r="X691" s="27">
        <f>IF(G691,P691,"")</f>
        <v/>
      </c>
      <c r="Y691" s="27">
        <f>IF(G691,N691,"")</f>
        <v/>
      </c>
      <c r="Z691" s="27">
        <f>IF(R691,O691,"")</f>
        <v/>
      </c>
      <c r="AA691" s="27">
        <f>IF(R691,N691,"")</f>
        <v/>
      </c>
    </row>
    <row r="692">
      <c r="A692" s="31" t="n">
        <v>0.2</v>
      </c>
      <c r="B692" s="31" t="n">
        <v>0</v>
      </c>
      <c r="C692" s="31" t="n">
        <v>0.2</v>
      </c>
      <c r="D692" s="31" t="n">
        <v>0.6</v>
      </c>
      <c r="E692" s="27" t="inlineStr">
        <is>
          <t>ON 20%/2M 20%/3M 60%</t>
        </is>
      </c>
      <c r="F692" s="27" t="n">
        <v>25</v>
      </c>
      <c r="G692" s="27">
        <f>A692*$B$7&gt;=$B$9</f>
        <v/>
      </c>
      <c r="H692" s="13">
        <f>$B$7*(A692*E$71+B692*F$71+C692*G$71+D692*H$71)+F692/100*$B$7*J$71-$C$71</f>
        <v/>
      </c>
      <c r="I692" s="13">
        <f>$B$7*(A692*L$71+B692*M$71+C692*N$71+D692*O$71)+F692/100*$B$7*Q$71-$C$71</f>
        <v/>
      </c>
      <c r="J692" s="13">
        <f>$B$7*(A692*S$71+B692*T$71+C692*U$71+D692*V$71)+F692/100*$B$7*X$71-$C$71</f>
        <v/>
      </c>
      <c r="K692" s="13">
        <f>$B$7*(A692*Z$71+B692*AA$71+C692*AB$71+D692*AC$71)+F692/100*$B$7*AE$71-$C$71</f>
        <v/>
      </c>
      <c r="L692" s="13">
        <f>$B$7*(A692*AG$71+B692*AH$71+C692*AI$71+D692*AJ$71)+F692/100*$B$7*AL$71-$C$71</f>
        <v/>
      </c>
      <c r="M692" s="13">
        <f>$B$7*(A692*AN$71+B692*AO$71+C692*AP$71+D692*AQ$71)+F692/100*$B$7*AS$71-$C$71</f>
        <v/>
      </c>
      <c r="N692" s="13">
        <f>SUMPRODUCT($H$24:$M$24,H692:M692)</f>
        <v/>
      </c>
      <c r="O692" s="14">
        <f>SQRT(SUMPRODUCT($H$24:$M$24,(H692:M692-N692)^2))</f>
        <v/>
      </c>
      <c r="P692" s="13">
        <f>MIN(H692:M692)</f>
        <v/>
      </c>
      <c r="Q692" s="13">
        <f>MAX(H692:M692)</f>
        <v/>
      </c>
      <c r="R692" s="27">
        <f>IF(G692,SUMPRODUCT(($G$76:$G$1505)*($N$76:$N$1505&gt;=N692)*($O$76:$O$1505&lt;=O692))=1,FALSE)</f>
        <v/>
      </c>
      <c r="S692" s="16">
        <f>IF(R692,ABS((O692-$AC$76)/MAX(0.0001,$AC$77-$AC$76)-(N692-$AC$78)/MAX(0.0001,$AC$79-$AC$78)),-1)</f>
        <v/>
      </c>
      <c r="T692" s="14">
        <f>IF(G692,O692,NA())</f>
        <v/>
      </c>
      <c r="U692" s="13">
        <f>IF(G692,N692,NA())</f>
        <v/>
      </c>
      <c r="V692" s="14">
        <f>IF(R692,O692,NA())</f>
        <v/>
      </c>
      <c r="W692" s="13">
        <f>IF(R692,N692,NA())</f>
        <v/>
      </c>
      <c r="X692" s="27">
        <f>IF(G692,P692,"")</f>
        <v/>
      </c>
      <c r="Y692" s="27">
        <f>IF(G692,N692,"")</f>
        <v/>
      </c>
      <c r="Z692" s="27">
        <f>IF(R692,O692,"")</f>
        <v/>
      </c>
      <c r="AA692" s="27">
        <f>IF(R692,N692,"")</f>
        <v/>
      </c>
    </row>
    <row r="693">
      <c r="A693" s="31" t="n">
        <v>0.2</v>
      </c>
      <c r="B693" s="31" t="n">
        <v>0</v>
      </c>
      <c r="C693" s="31" t="n">
        <v>0.2</v>
      </c>
      <c r="D693" s="31" t="n">
        <v>0.6</v>
      </c>
      <c r="E693" s="27" t="inlineStr">
        <is>
          <t>ON 20%/2M 20%/3M 60%</t>
        </is>
      </c>
      <c r="F693" s="27" t="n">
        <v>50</v>
      </c>
      <c r="G693" s="27">
        <f>A693*$B$7&gt;=$B$9</f>
        <v/>
      </c>
      <c r="H693" s="13">
        <f>$B$7*(A693*E$71+B693*F$71+C693*G$71+D693*H$71)+F693/100*$B$7*J$71-$C$71</f>
        <v/>
      </c>
      <c r="I693" s="13">
        <f>$B$7*(A693*L$71+B693*M$71+C693*N$71+D693*O$71)+F693/100*$B$7*Q$71-$C$71</f>
        <v/>
      </c>
      <c r="J693" s="13">
        <f>$B$7*(A693*S$71+B693*T$71+C693*U$71+D693*V$71)+F693/100*$B$7*X$71-$C$71</f>
        <v/>
      </c>
      <c r="K693" s="13">
        <f>$B$7*(A693*Z$71+B693*AA$71+C693*AB$71+D693*AC$71)+F693/100*$B$7*AE$71-$C$71</f>
        <v/>
      </c>
      <c r="L693" s="13">
        <f>$B$7*(A693*AG$71+B693*AH$71+C693*AI$71+D693*AJ$71)+F693/100*$B$7*AL$71-$C$71</f>
        <v/>
      </c>
      <c r="M693" s="13">
        <f>$B$7*(A693*AN$71+B693*AO$71+C693*AP$71+D693*AQ$71)+F693/100*$B$7*AS$71-$C$71</f>
        <v/>
      </c>
      <c r="N693" s="13">
        <f>SUMPRODUCT($H$24:$M$24,H693:M693)</f>
        <v/>
      </c>
      <c r="O693" s="14">
        <f>SQRT(SUMPRODUCT($H$24:$M$24,(H693:M693-N693)^2))</f>
        <v/>
      </c>
      <c r="P693" s="13">
        <f>MIN(H693:M693)</f>
        <v/>
      </c>
      <c r="Q693" s="13">
        <f>MAX(H693:M693)</f>
        <v/>
      </c>
      <c r="R693" s="27">
        <f>IF(G693,SUMPRODUCT(($G$76:$G$1505)*($N$76:$N$1505&gt;=N693)*($O$76:$O$1505&lt;=O693))=1,FALSE)</f>
        <v/>
      </c>
      <c r="S693" s="16">
        <f>IF(R693,ABS((O693-$AC$76)/MAX(0.0001,$AC$77-$AC$76)-(N693-$AC$78)/MAX(0.0001,$AC$79-$AC$78)),-1)</f>
        <v/>
      </c>
      <c r="T693" s="14">
        <f>IF(G693,O693,NA())</f>
        <v/>
      </c>
      <c r="U693" s="13">
        <f>IF(G693,N693,NA())</f>
        <v/>
      </c>
      <c r="V693" s="14">
        <f>IF(R693,O693,NA())</f>
        <v/>
      </c>
      <c r="W693" s="13">
        <f>IF(R693,N693,NA())</f>
        <v/>
      </c>
      <c r="X693" s="27">
        <f>IF(G693,P693,"")</f>
        <v/>
      </c>
      <c r="Y693" s="27">
        <f>IF(G693,N693,"")</f>
        <v/>
      </c>
      <c r="Z693" s="27">
        <f>IF(R693,O693,"")</f>
        <v/>
      </c>
      <c r="AA693" s="27">
        <f>IF(R693,N693,"")</f>
        <v/>
      </c>
    </row>
    <row r="694">
      <c r="A694" s="31" t="n">
        <v>0.2</v>
      </c>
      <c r="B694" s="31" t="n">
        <v>0</v>
      </c>
      <c r="C694" s="31" t="n">
        <v>0.2</v>
      </c>
      <c r="D694" s="31" t="n">
        <v>0.6</v>
      </c>
      <c r="E694" s="27" t="inlineStr">
        <is>
          <t>ON 20%/2M 20%/3M 60%</t>
        </is>
      </c>
      <c r="F694" s="27" t="n">
        <v>75</v>
      </c>
      <c r="G694" s="27">
        <f>A694*$B$7&gt;=$B$9</f>
        <v/>
      </c>
      <c r="H694" s="13">
        <f>$B$7*(A694*E$71+B694*F$71+C694*G$71+D694*H$71)+F694/100*$B$7*J$71-$C$71</f>
        <v/>
      </c>
      <c r="I694" s="13">
        <f>$B$7*(A694*L$71+B694*M$71+C694*N$71+D694*O$71)+F694/100*$B$7*Q$71-$C$71</f>
        <v/>
      </c>
      <c r="J694" s="13">
        <f>$B$7*(A694*S$71+B694*T$71+C694*U$71+D694*V$71)+F694/100*$B$7*X$71-$C$71</f>
        <v/>
      </c>
      <c r="K694" s="13">
        <f>$B$7*(A694*Z$71+B694*AA$71+C694*AB$71+D694*AC$71)+F694/100*$B$7*AE$71-$C$71</f>
        <v/>
      </c>
      <c r="L694" s="13">
        <f>$B$7*(A694*AG$71+B694*AH$71+C694*AI$71+D694*AJ$71)+F694/100*$B$7*AL$71-$C$71</f>
        <v/>
      </c>
      <c r="M694" s="13">
        <f>$B$7*(A694*AN$71+B694*AO$71+C694*AP$71+D694*AQ$71)+F694/100*$B$7*AS$71-$C$71</f>
        <v/>
      </c>
      <c r="N694" s="13">
        <f>SUMPRODUCT($H$24:$M$24,H694:M694)</f>
        <v/>
      </c>
      <c r="O694" s="14">
        <f>SQRT(SUMPRODUCT($H$24:$M$24,(H694:M694-N694)^2))</f>
        <v/>
      </c>
      <c r="P694" s="13">
        <f>MIN(H694:M694)</f>
        <v/>
      </c>
      <c r="Q694" s="13">
        <f>MAX(H694:M694)</f>
        <v/>
      </c>
      <c r="R694" s="27">
        <f>IF(G694,SUMPRODUCT(($G$76:$G$1505)*($N$76:$N$1505&gt;=N694)*($O$76:$O$1505&lt;=O694))=1,FALSE)</f>
        <v/>
      </c>
      <c r="S694" s="16">
        <f>IF(R694,ABS((O694-$AC$76)/MAX(0.0001,$AC$77-$AC$76)-(N694-$AC$78)/MAX(0.0001,$AC$79-$AC$78)),-1)</f>
        <v/>
      </c>
      <c r="T694" s="14">
        <f>IF(G694,O694,NA())</f>
        <v/>
      </c>
      <c r="U694" s="13">
        <f>IF(G694,N694,NA())</f>
        <v/>
      </c>
      <c r="V694" s="14">
        <f>IF(R694,O694,NA())</f>
        <v/>
      </c>
      <c r="W694" s="13">
        <f>IF(R694,N694,NA())</f>
        <v/>
      </c>
      <c r="X694" s="27">
        <f>IF(G694,P694,"")</f>
        <v/>
      </c>
      <c r="Y694" s="27">
        <f>IF(G694,N694,"")</f>
        <v/>
      </c>
      <c r="Z694" s="27">
        <f>IF(R694,O694,"")</f>
        <v/>
      </c>
      <c r="AA694" s="27">
        <f>IF(R694,N694,"")</f>
        <v/>
      </c>
    </row>
    <row r="695">
      <c r="A695" s="31" t="n">
        <v>0.2</v>
      </c>
      <c r="B695" s="31" t="n">
        <v>0</v>
      </c>
      <c r="C695" s="31" t="n">
        <v>0.2</v>
      </c>
      <c r="D695" s="31" t="n">
        <v>0.6</v>
      </c>
      <c r="E695" s="27" t="inlineStr">
        <is>
          <t>ON 20%/2M 20%/3M 60%</t>
        </is>
      </c>
      <c r="F695" s="27" t="n">
        <v>100</v>
      </c>
      <c r="G695" s="27">
        <f>A695*$B$7&gt;=$B$9</f>
        <v/>
      </c>
      <c r="H695" s="13">
        <f>$B$7*(A695*E$71+B695*F$71+C695*G$71+D695*H$71)+F695/100*$B$7*J$71-$C$71</f>
        <v/>
      </c>
      <c r="I695" s="13">
        <f>$B$7*(A695*L$71+B695*M$71+C695*N$71+D695*O$71)+F695/100*$B$7*Q$71-$C$71</f>
        <v/>
      </c>
      <c r="J695" s="13">
        <f>$B$7*(A695*S$71+B695*T$71+C695*U$71+D695*V$71)+F695/100*$B$7*X$71-$C$71</f>
        <v/>
      </c>
      <c r="K695" s="13">
        <f>$B$7*(A695*Z$71+B695*AA$71+C695*AB$71+D695*AC$71)+F695/100*$B$7*AE$71-$C$71</f>
        <v/>
      </c>
      <c r="L695" s="13">
        <f>$B$7*(A695*AG$71+B695*AH$71+C695*AI$71+D695*AJ$71)+F695/100*$B$7*AL$71-$C$71</f>
        <v/>
      </c>
      <c r="M695" s="13">
        <f>$B$7*(A695*AN$71+B695*AO$71+C695*AP$71+D695*AQ$71)+F695/100*$B$7*AS$71-$C$71</f>
        <v/>
      </c>
      <c r="N695" s="13">
        <f>SUMPRODUCT($H$24:$M$24,H695:M695)</f>
        <v/>
      </c>
      <c r="O695" s="14">
        <f>SQRT(SUMPRODUCT($H$24:$M$24,(H695:M695-N695)^2))</f>
        <v/>
      </c>
      <c r="P695" s="13">
        <f>MIN(H695:M695)</f>
        <v/>
      </c>
      <c r="Q695" s="13">
        <f>MAX(H695:M695)</f>
        <v/>
      </c>
      <c r="R695" s="27">
        <f>IF(G695,SUMPRODUCT(($G$76:$G$1505)*($N$76:$N$1505&gt;=N695)*($O$76:$O$1505&lt;=O695))=1,FALSE)</f>
        <v/>
      </c>
      <c r="S695" s="16">
        <f>IF(R695,ABS((O695-$AC$76)/MAX(0.0001,$AC$77-$AC$76)-(N695-$AC$78)/MAX(0.0001,$AC$79-$AC$78)),-1)</f>
        <v/>
      </c>
      <c r="T695" s="14">
        <f>IF(G695,O695,NA())</f>
        <v/>
      </c>
      <c r="U695" s="13">
        <f>IF(G695,N695,NA())</f>
        <v/>
      </c>
      <c r="V695" s="14">
        <f>IF(R695,O695,NA())</f>
        <v/>
      </c>
      <c r="W695" s="13">
        <f>IF(R695,N695,NA())</f>
        <v/>
      </c>
      <c r="X695" s="27">
        <f>IF(G695,P695,"")</f>
        <v/>
      </c>
      <c r="Y695" s="27">
        <f>IF(G695,N695,"")</f>
        <v/>
      </c>
      <c r="Z695" s="27">
        <f>IF(R695,O695,"")</f>
        <v/>
      </c>
      <c r="AA695" s="27">
        <f>IF(R695,N695,"")</f>
        <v/>
      </c>
    </row>
    <row r="696">
      <c r="A696" s="31" t="n">
        <v>0.2</v>
      </c>
      <c r="B696" s="31" t="n">
        <v>0</v>
      </c>
      <c r="C696" s="31" t="n">
        <v>0.3</v>
      </c>
      <c r="D696" s="31" t="n">
        <v>0.5</v>
      </c>
      <c r="E696" s="27" t="inlineStr">
        <is>
          <t>ON 20%/2M 30%/3M 50%</t>
        </is>
      </c>
      <c r="F696" s="27" t="n">
        <v>0</v>
      </c>
      <c r="G696" s="27">
        <f>A696*$B$7&gt;=$B$9</f>
        <v/>
      </c>
      <c r="H696" s="13">
        <f>$B$7*(A696*E$71+B696*F$71+C696*G$71+D696*H$71)+F696/100*$B$7*J$71-$C$71</f>
        <v/>
      </c>
      <c r="I696" s="13">
        <f>$B$7*(A696*L$71+B696*M$71+C696*N$71+D696*O$71)+F696/100*$B$7*Q$71-$C$71</f>
        <v/>
      </c>
      <c r="J696" s="13">
        <f>$B$7*(A696*S$71+B696*T$71+C696*U$71+D696*V$71)+F696/100*$B$7*X$71-$C$71</f>
        <v/>
      </c>
      <c r="K696" s="13">
        <f>$B$7*(A696*Z$71+B696*AA$71+C696*AB$71+D696*AC$71)+F696/100*$B$7*AE$71-$C$71</f>
        <v/>
      </c>
      <c r="L696" s="13">
        <f>$B$7*(A696*AG$71+B696*AH$71+C696*AI$71+D696*AJ$71)+F696/100*$B$7*AL$71-$C$71</f>
        <v/>
      </c>
      <c r="M696" s="13">
        <f>$B$7*(A696*AN$71+B696*AO$71+C696*AP$71+D696*AQ$71)+F696/100*$B$7*AS$71-$C$71</f>
        <v/>
      </c>
      <c r="N696" s="13">
        <f>SUMPRODUCT($H$24:$M$24,H696:M696)</f>
        <v/>
      </c>
      <c r="O696" s="14">
        <f>SQRT(SUMPRODUCT($H$24:$M$24,(H696:M696-N696)^2))</f>
        <v/>
      </c>
      <c r="P696" s="13">
        <f>MIN(H696:M696)</f>
        <v/>
      </c>
      <c r="Q696" s="13">
        <f>MAX(H696:M696)</f>
        <v/>
      </c>
      <c r="R696" s="27">
        <f>IF(G696,SUMPRODUCT(($G$76:$G$1505)*($N$76:$N$1505&gt;=N696)*($O$76:$O$1505&lt;=O696))=1,FALSE)</f>
        <v/>
      </c>
      <c r="S696" s="16">
        <f>IF(R696,ABS((O696-$AC$76)/MAX(0.0001,$AC$77-$AC$76)-(N696-$AC$78)/MAX(0.0001,$AC$79-$AC$78)),-1)</f>
        <v/>
      </c>
      <c r="T696" s="14">
        <f>IF(G696,O696,NA())</f>
        <v/>
      </c>
      <c r="U696" s="13">
        <f>IF(G696,N696,NA())</f>
        <v/>
      </c>
      <c r="V696" s="14">
        <f>IF(R696,O696,NA())</f>
        <v/>
      </c>
      <c r="W696" s="13">
        <f>IF(R696,N696,NA())</f>
        <v/>
      </c>
      <c r="X696" s="27">
        <f>IF(G696,P696,"")</f>
        <v/>
      </c>
      <c r="Y696" s="27">
        <f>IF(G696,N696,"")</f>
        <v/>
      </c>
      <c r="Z696" s="27">
        <f>IF(R696,O696,"")</f>
        <v/>
      </c>
      <c r="AA696" s="27">
        <f>IF(R696,N696,"")</f>
        <v/>
      </c>
    </row>
    <row r="697">
      <c r="A697" s="31" t="n">
        <v>0.2</v>
      </c>
      <c r="B697" s="31" t="n">
        <v>0</v>
      </c>
      <c r="C697" s="31" t="n">
        <v>0.3</v>
      </c>
      <c r="D697" s="31" t="n">
        <v>0.5</v>
      </c>
      <c r="E697" s="27" t="inlineStr">
        <is>
          <t>ON 20%/2M 30%/3M 50%</t>
        </is>
      </c>
      <c r="F697" s="27" t="n">
        <v>25</v>
      </c>
      <c r="G697" s="27">
        <f>A697*$B$7&gt;=$B$9</f>
        <v/>
      </c>
      <c r="H697" s="13">
        <f>$B$7*(A697*E$71+B697*F$71+C697*G$71+D697*H$71)+F697/100*$B$7*J$71-$C$71</f>
        <v/>
      </c>
      <c r="I697" s="13">
        <f>$B$7*(A697*L$71+B697*M$71+C697*N$71+D697*O$71)+F697/100*$B$7*Q$71-$C$71</f>
        <v/>
      </c>
      <c r="J697" s="13">
        <f>$B$7*(A697*S$71+B697*T$71+C697*U$71+D697*V$71)+F697/100*$B$7*X$71-$C$71</f>
        <v/>
      </c>
      <c r="K697" s="13">
        <f>$B$7*(A697*Z$71+B697*AA$71+C697*AB$71+D697*AC$71)+F697/100*$B$7*AE$71-$C$71</f>
        <v/>
      </c>
      <c r="L697" s="13">
        <f>$B$7*(A697*AG$71+B697*AH$71+C697*AI$71+D697*AJ$71)+F697/100*$B$7*AL$71-$C$71</f>
        <v/>
      </c>
      <c r="M697" s="13">
        <f>$B$7*(A697*AN$71+B697*AO$71+C697*AP$71+D697*AQ$71)+F697/100*$B$7*AS$71-$C$71</f>
        <v/>
      </c>
      <c r="N697" s="13">
        <f>SUMPRODUCT($H$24:$M$24,H697:M697)</f>
        <v/>
      </c>
      <c r="O697" s="14">
        <f>SQRT(SUMPRODUCT($H$24:$M$24,(H697:M697-N697)^2))</f>
        <v/>
      </c>
      <c r="P697" s="13">
        <f>MIN(H697:M697)</f>
        <v/>
      </c>
      <c r="Q697" s="13">
        <f>MAX(H697:M697)</f>
        <v/>
      </c>
      <c r="R697" s="27">
        <f>IF(G697,SUMPRODUCT(($G$76:$G$1505)*($N$76:$N$1505&gt;=N697)*($O$76:$O$1505&lt;=O697))=1,FALSE)</f>
        <v/>
      </c>
      <c r="S697" s="16">
        <f>IF(R697,ABS((O697-$AC$76)/MAX(0.0001,$AC$77-$AC$76)-(N697-$AC$78)/MAX(0.0001,$AC$79-$AC$78)),-1)</f>
        <v/>
      </c>
      <c r="T697" s="14">
        <f>IF(G697,O697,NA())</f>
        <v/>
      </c>
      <c r="U697" s="13">
        <f>IF(G697,N697,NA())</f>
        <v/>
      </c>
      <c r="V697" s="14">
        <f>IF(R697,O697,NA())</f>
        <v/>
      </c>
      <c r="W697" s="13">
        <f>IF(R697,N697,NA())</f>
        <v/>
      </c>
      <c r="X697" s="27">
        <f>IF(G697,P697,"")</f>
        <v/>
      </c>
      <c r="Y697" s="27">
        <f>IF(G697,N697,"")</f>
        <v/>
      </c>
      <c r="Z697" s="27">
        <f>IF(R697,O697,"")</f>
        <v/>
      </c>
      <c r="AA697" s="27">
        <f>IF(R697,N697,"")</f>
        <v/>
      </c>
    </row>
    <row r="698">
      <c r="A698" s="31" t="n">
        <v>0.2</v>
      </c>
      <c r="B698" s="31" t="n">
        <v>0</v>
      </c>
      <c r="C698" s="31" t="n">
        <v>0.3</v>
      </c>
      <c r="D698" s="31" t="n">
        <v>0.5</v>
      </c>
      <c r="E698" s="27" t="inlineStr">
        <is>
          <t>ON 20%/2M 30%/3M 50%</t>
        </is>
      </c>
      <c r="F698" s="27" t="n">
        <v>50</v>
      </c>
      <c r="G698" s="27">
        <f>A698*$B$7&gt;=$B$9</f>
        <v/>
      </c>
      <c r="H698" s="13">
        <f>$B$7*(A698*E$71+B698*F$71+C698*G$71+D698*H$71)+F698/100*$B$7*J$71-$C$71</f>
        <v/>
      </c>
      <c r="I698" s="13">
        <f>$B$7*(A698*L$71+B698*M$71+C698*N$71+D698*O$71)+F698/100*$B$7*Q$71-$C$71</f>
        <v/>
      </c>
      <c r="J698" s="13">
        <f>$B$7*(A698*S$71+B698*T$71+C698*U$71+D698*V$71)+F698/100*$B$7*X$71-$C$71</f>
        <v/>
      </c>
      <c r="K698" s="13">
        <f>$B$7*(A698*Z$71+B698*AA$71+C698*AB$71+D698*AC$71)+F698/100*$B$7*AE$71-$C$71</f>
        <v/>
      </c>
      <c r="L698" s="13">
        <f>$B$7*(A698*AG$71+B698*AH$71+C698*AI$71+D698*AJ$71)+F698/100*$B$7*AL$71-$C$71</f>
        <v/>
      </c>
      <c r="M698" s="13">
        <f>$B$7*(A698*AN$71+B698*AO$71+C698*AP$71+D698*AQ$71)+F698/100*$B$7*AS$71-$C$71</f>
        <v/>
      </c>
      <c r="N698" s="13">
        <f>SUMPRODUCT($H$24:$M$24,H698:M698)</f>
        <v/>
      </c>
      <c r="O698" s="14">
        <f>SQRT(SUMPRODUCT($H$24:$M$24,(H698:M698-N698)^2))</f>
        <v/>
      </c>
      <c r="P698" s="13">
        <f>MIN(H698:M698)</f>
        <v/>
      </c>
      <c r="Q698" s="13">
        <f>MAX(H698:M698)</f>
        <v/>
      </c>
      <c r="R698" s="27">
        <f>IF(G698,SUMPRODUCT(($G$76:$G$1505)*($N$76:$N$1505&gt;=N698)*($O$76:$O$1505&lt;=O698))=1,FALSE)</f>
        <v/>
      </c>
      <c r="S698" s="16">
        <f>IF(R698,ABS((O698-$AC$76)/MAX(0.0001,$AC$77-$AC$76)-(N698-$AC$78)/MAX(0.0001,$AC$79-$AC$78)),-1)</f>
        <v/>
      </c>
      <c r="T698" s="14">
        <f>IF(G698,O698,NA())</f>
        <v/>
      </c>
      <c r="U698" s="13">
        <f>IF(G698,N698,NA())</f>
        <v/>
      </c>
      <c r="V698" s="14">
        <f>IF(R698,O698,NA())</f>
        <v/>
      </c>
      <c r="W698" s="13">
        <f>IF(R698,N698,NA())</f>
        <v/>
      </c>
      <c r="X698" s="27">
        <f>IF(G698,P698,"")</f>
        <v/>
      </c>
      <c r="Y698" s="27">
        <f>IF(G698,N698,"")</f>
        <v/>
      </c>
      <c r="Z698" s="27">
        <f>IF(R698,O698,"")</f>
        <v/>
      </c>
      <c r="AA698" s="27">
        <f>IF(R698,N698,"")</f>
        <v/>
      </c>
    </row>
    <row r="699">
      <c r="A699" s="31" t="n">
        <v>0.2</v>
      </c>
      <c r="B699" s="31" t="n">
        <v>0</v>
      </c>
      <c r="C699" s="31" t="n">
        <v>0.3</v>
      </c>
      <c r="D699" s="31" t="n">
        <v>0.5</v>
      </c>
      <c r="E699" s="27" t="inlineStr">
        <is>
          <t>ON 20%/2M 30%/3M 50%</t>
        </is>
      </c>
      <c r="F699" s="27" t="n">
        <v>75</v>
      </c>
      <c r="G699" s="27">
        <f>A699*$B$7&gt;=$B$9</f>
        <v/>
      </c>
      <c r="H699" s="13">
        <f>$B$7*(A699*E$71+B699*F$71+C699*G$71+D699*H$71)+F699/100*$B$7*J$71-$C$71</f>
        <v/>
      </c>
      <c r="I699" s="13">
        <f>$B$7*(A699*L$71+B699*M$71+C699*N$71+D699*O$71)+F699/100*$B$7*Q$71-$C$71</f>
        <v/>
      </c>
      <c r="J699" s="13">
        <f>$B$7*(A699*S$71+B699*T$71+C699*U$71+D699*V$71)+F699/100*$B$7*X$71-$C$71</f>
        <v/>
      </c>
      <c r="K699" s="13">
        <f>$B$7*(A699*Z$71+B699*AA$71+C699*AB$71+D699*AC$71)+F699/100*$B$7*AE$71-$C$71</f>
        <v/>
      </c>
      <c r="L699" s="13">
        <f>$B$7*(A699*AG$71+B699*AH$71+C699*AI$71+D699*AJ$71)+F699/100*$B$7*AL$71-$C$71</f>
        <v/>
      </c>
      <c r="M699" s="13">
        <f>$B$7*(A699*AN$71+B699*AO$71+C699*AP$71+D699*AQ$71)+F699/100*$B$7*AS$71-$C$71</f>
        <v/>
      </c>
      <c r="N699" s="13">
        <f>SUMPRODUCT($H$24:$M$24,H699:M699)</f>
        <v/>
      </c>
      <c r="O699" s="14">
        <f>SQRT(SUMPRODUCT($H$24:$M$24,(H699:M699-N699)^2))</f>
        <v/>
      </c>
      <c r="P699" s="13">
        <f>MIN(H699:M699)</f>
        <v/>
      </c>
      <c r="Q699" s="13">
        <f>MAX(H699:M699)</f>
        <v/>
      </c>
      <c r="R699" s="27">
        <f>IF(G699,SUMPRODUCT(($G$76:$G$1505)*($N$76:$N$1505&gt;=N699)*($O$76:$O$1505&lt;=O699))=1,FALSE)</f>
        <v/>
      </c>
      <c r="S699" s="16">
        <f>IF(R699,ABS((O699-$AC$76)/MAX(0.0001,$AC$77-$AC$76)-(N699-$AC$78)/MAX(0.0001,$AC$79-$AC$78)),-1)</f>
        <v/>
      </c>
      <c r="T699" s="14">
        <f>IF(G699,O699,NA())</f>
        <v/>
      </c>
      <c r="U699" s="13">
        <f>IF(G699,N699,NA())</f>
        <v/>
      </c>
      <c r="V699" s="14">
        <f>IF(R699,O699,NA())</f>
        <v/>
      </c>
      <c r="W699" s="13">
        <f>IF(R699,N699,NA())</f>
        <v/>
      </c>
      <c r="X699" s="27">
        <f>IF(G699,P699,"")</f>
        <v/>
      </c>
      <c r="Y699" s="27">
        <f>IF(G699,N699,"")</f>
        <v/>
      </c>
      <c r="Z699" s="27">
        <f>IF(R699,O699,"")</f>
        <v/>
      </c>
      <c r="AA699" s="27">
        <f>IF(R699,N699,"")</f>
        <v/>
      </c>
    </row>
    <row r="700">
      <c r="A700" s="31" t="n">
        <v>0.2</v>
      </c>
      <c r="B700" s="31" t="n">
        <v>0</v>
      </c>
      <c r="C700" s="31" t="n">
        <v>0.3</v>
      </c>
      <c r="D700" s="31" t="n">
        <v>0.5</v>
      </c>
      <c r="E700" s="27" t="inlineStr">
        <is>
          <t>ON 20%/2M 30%/3M 50%</t>
        </is>
      </c>
      <c r="F700" s="27" t="n">
        <v>100</v>
      </c>
      <c r="G700" s="27">
        <f>A700*$B$7&gt;=$B$9</f>
        <v/>
      </c>
      <c r="H700" s="13">
        <f>$B$7*(A700*E$71+B700*F$71+C700*G$71+D700*H$71)+F700/100*$B$7*J$71-$C$71</f>
        <v/>
      </c>
      <c r="I700" s="13">
        <f>$B$7*(A700*L$71+B700*M$71+C700*N$71+D700*O$71)+F700/100*$B$7*Q$71-$C$71</f>
        <v/>
      </c>
      <c r="J700" s="13">
        <f>$B$7*(A700*S$71+B700*T$71+C700*U$71+D700*V$71)+F700/100*$B$7*X$71-$C$71</f>
        <v/>
      </c>
      <c r="K700" s="13">
        <f>$B$7*(A700*Z$71+B700*AA$71+C700*AB$71+D700*AC$71)+F700/100*$B$7*AE$71-$C$71</f>
        <v/>
      </c>
      <c r="L700" s="13">
        <f>$B$7*(A700*AG$71+B700*AH$71+C700*AI$71+D700*AJ$71)+F700/100*$B$7*AL$71-$C$71</f>
        <v/>
      </c>
      <c r="M700" s="13">
        <f>$B$7*(A700*AN$71+B700*AO$71+C700*AP$71+D700*AQ$71)+F700/100*$B$7*AS$71-$C$71</f>
        <v/>
      </c>
      <c r="N700" s="13">
        <f>SUMPRODUCT($H$24:$M$24,H700:M700)</f>
        <v/>
      </c>
      <c r="O700" s="14">
        <f>SQRT(SUMPRODUCT($H$24:$M$24,(H700:M700-N700)^2))</f>
        <v/>
      </c>
      <c r="P700" s="13">
        <f>MIN(H700:M700)</f>
        <v/>
      </c>
      <c r="Q700" s="13">
        <f>MAX(H700:M700)</f>
        <v/>
      </c>
      <c r="R700" s="27">
        <f>IF(G700,SUMPRODUCT(($G$76:$G$1505)*($N$76:$N$1505&gt;=N700)*($O$76:$O$1505&lt;=O700))=1,FALSE)</f>
        <v/>
      </c>
      <c r="S700" s="16">
        <f>IF(R700,ABS((O700-$AC$76)/MAX(0.0001,$AC$77-$AC$76)-(N700-$AC$78)/MAX(0.0001,$AC$79-$AC$78)),-1)</f>
        <v/>
      </c>
      <c r="T700" s="14">
        <f>IF(G700,O700,NA())</f>
        <v/>
      </c>
      <c r="U700" s="13">
        <f>IF(G700,N700,NA())</f>
        <v/>
      </c>
      <c r="V700" s="14">
        <f>IF(R700,O700,NA())</f>
        <v/>
      </c>
      <c r="W700" s="13">
        <f>IF(R700,N700,NA())</f>
        <v/>
      </c>
      <c r="X700" s="27">
        <f>IF(G700,P700,"")</f>
        <v/>
      </c>
      <c r="Y700" s="27">
        <f>IF(G700,N700,"")</f>
        <v/>
      </c>
      <c r="Z700" s="27">
        <f>IF(R700,O700,"")</f>
        <v/>
      </c>
      <c r="AA700" s="27">
        <f>IF(R700,N700,"")</f>
        <v/>
      </c>
    </row>
    <row r="701">
      <c r="A701" s="31" t="n">
        <v>0.2</v>
      </c>
      <c r="B701" s="31" t="n">
        <v>0</v>
      </c>
      <c r="C701" s="31" t="n">
        <v>0.4</v>
      </c>
      <c r="D701" s="31" t="n">
        <v>0.4</v>
      </c>
      <c r="E701" s="27" t="inlineStr">
        <is>
          <t>ON 20%/2M 40%/3M 40%</t>
        </is>
      </c>
      <c r="F701" s="27" t="n">
        <v>0</v>
      </c>
      <c r="G701" s="27">
        <f>A701*$B$7&gt;=$B$9</f>
        <v/>
      </c>
      <c r="H701" s="13">
        <f>$B$7*(A701*E$71+B701*F$71+C701*G$71+D701*H$71)+F701/100*$B$7*J$71-$C$71</f>
        <v/>
      </c>
      <c r="I701" s="13">
        <f>$B$7*(A701*L$71+B701*M$71+C701*N$71+D701*O$71)+F701/100*$B$7*Q$71-$C$71</f>
        <v/>
      </c>
      <c r="J701" s="13">
        <f>$B$7*(A701*S$71+B701*T$71+C701*U$71+D701*V$71)+F701/100*$B$7*X$71-$C$71</f>
        <v/>
      </c>
      <c r="K701" s="13">
        <f>$B$7*(A701*Z$71+B701*AA$71+C701*AB$71+D701*AC$71)+F701/100*$B$7*AE$71-$C$71</f>
        <v/>
      </c>
      <c r="L701" s="13">
        <f>$B$7*(A701*AG$71+B701*AH$71+C701*AI$71+D701*AJ$71)+F701/100*$B$7*AL$71-$C$71</f>
        <v/>
      </c>
      <c r="M701" s="13">
        <f>$B$7*(A701*AN$71+B701*AO$71+C701*AP$71+D701*AQ$71)+F701/100*$B$7*AS$71-$C$71</f>
        <v/>
      </c>
      <c r="N701" s="13">
        <f>SUMPRODUCT($H$24:$M$24,H701:M701)</f>
        <v/>
      </c>
      <c r="O701" s="14">
        <f>SQRT(SUMPRODUCT($H$24:$M$24,(H701:M701-N701)^2))</f>
        <v/>
      </c>
      <c r="P701" s="13">
        <f>MIN(H701:M701)</f>
        <v/>
      </c>
      <c r="Q701" s="13">
        <f>MAX(H701:M701)</f>
        <v/>
      </c>
      <c r="R701" s="27">
        <f>IF(G701,SUMPRODUCT(($G$76:$G$1505)*($N$76:$N$1505&gt;=N701)*($O$76:$O$1505&lt;=O701))=1,FALSE)</f>
        <v/>
      </c>
      <c r="S701" s="16">
        <f>IF(R701,ABS((O701-$AC$76)/MAX(0.0001,$AC$77-$AC$76)-(N701-$AC$78)/MAX(0.0001,$AC$79-$AC$78)),-1)</f>
        <v/>
      </c>
      <c r="T701" s="14">
        <f>IF(G701,O701,NA())</f>
        <v/>
      </c>
      <c r="U701" s="13">
        <f>IF(G701,N701,NA())</f>
        <v/>
      </c>
      <c r="V701" s="14">
        <f>IF(R701,O701,NA())</f>
        <v/>
      </c>
      <c r="W701" s="13">
        <f>IF(R701,N701,NA())</f>
        <v/>
      </c>
      <c r="X701" s="27">
        <f>IF(G701,P701,"")</f>
        <v/>
      </c>
      <c r="Y701" s="27">
        <f>IF(G701,N701,"")</f>
        <v/>
      </c>
      <c r="Z701" s="27">
        <f>IF(R701,O701,"")</f>
        <v/>
      </c>
      <c r="AA701" s="27">
        <f>IF(R701,N701,"")</f>
        <v/>
      </c>
    </row>
    <row r="702">
      <c r="A702" s="31" t="n">
        <v>0.2</v>
      </c>
      <c r="B702" s="31" t="n">
        <v>0</v>
      </c>
      <c r="C702" s="31" t="n">
        <v>0.4</v>
      </c>
      <c r="D702" s="31" t="n">
        <v>0.4</v>
      </c>
      <c r="E702" s="27" t="inlineStr">
        <is>
          <t>ON 20%/2M 40%/3M 40%</t>
        </is>
      </c>
      <c r="F702" s="27" t="n">
        <v>25</v>
      </c>
      <c r="G702" s="27">
        <f>A702*$B$7&gt;=$B$9</f>
        <v/>
      </c>
      <c r="H702" s="13">
        <f>$B$7*(A702*E$71+B702*F$71+C702*G$71+D702*H$71)+F702/100*$B$7*J$71-$C$71</f>
        <v/>
      </c>
      <c r="I702" s="13">
        <f>$B$7*(A702*L$71+B702*M$71+C702*N$71+D702*O$71)+F702/100*$B$7*Q$71-$C$71</f>
        <v/>
      </c>
      <c r="J702" s="13">
        <f>$B$7*(A702*S$71+B702*T$71+C702*U$71+D702*V$71)+F702/100*$B$7*X$71-$C$71</f>
        <v/>
      </c>
      <c r="K702" s="13">
        <f>$B$7*(A702*Z$71+B702*AA$71+C702*AB$71+D702*AC$71)+F702/100*$B$7*AE$71-$C$71</f>
        <v/>
      </c>
      <c r="L702" s="13">
        <f>$B$7*(A702*AG$71+B702*AH$71+C702*AI$71+D702*AJ$71)+F702/100*$B$7*AL$71-$C$71</f>
        <v/>
      </c>
      <c r="M702" s="13">
        <f>$B$7*(A702*AN$71+B702*AO$71+C702*AP$71+D702*AQ$71)+F702/100*$B$7*AS$71-$C$71</f>
        <v/>
      </c>
      <c r="N702" s="13">
        <f>SUMPRODUCT($H$24:$M$24,H702:M702)</f>
        <v/>
      </c>
      <c r="O702" s="14">
        <f>SQRT(SUMPRODUCT($H$24:$M$24,(H702:M702-N702)^2))</f>
        <v/>
      </c>
      <c r="P702" s="13">
        <f>MIN(H702:M702)</f>
        <v/>
      </c>
      <c r="Q702" s="13">
        <f>MAX(H702:M702)</f>
        <v/>
      </c>
      <c r="R702" s="27">
        <f>IF(G702,SUMPRODUCT(($G$76:$G$1505)*($N$76:$N$1505&gt;=N702)*($O$76:$O$1505&lt;=O702))=1,FALSE)</f>
        <v/>
      </c>
      <c r="S702" s="16">
        <f>IF(R702,ABS((O702-$AC$76)/MAX(0.0001,$AC$77-$AC$76)-(N702-$AC$78)/MAX(0.0001,$AC$79-$AC$78)),-1)</f>
        <v/>
      </c>
      <c r="T702" s="14">
        <f>IF(G702,O702,NA())</f>
        <v/>
      </c>
      <c r="U702" s="13">
        <f>IF(G702,N702,NA())</f>
        <v/>
      </c>
      <c r="V702" s="14">
        <f>IF(R702,O702,NA())</f>
        <v/>
      </c>
      <c r="W702" s="13">
        <f>IF(R702,N702,NA())</f>
        <v/>
      </c>
      <c r="X702" s="27">
        <f>IF(G702,P702,"")</f>
        <v/>
      </c>
      <c r="Y702" s="27">
        <f>IF(G702,N702,"")</f>
        <v/>
      </c>
      <c r="Z702" s="27">
        <f>IF(R702,O702,"")</f>
        <v/>
      </c>
      <c r="AA702" s="27">
        <f>IF(R702,N702,"")</f>
        <v/>
      </c>
    </row>
    <row r="703">
      <c r="A703" s="31" t="n">
        <v>0.2</v>
      </c>
      <c r="B703" s="31" t="n">
        <v>0</v>
      </c>
      <c r="C703" s="31" t="n">
        <v>0.4</v>
      </c>
      <c r="D703" s="31" t="n">
        <v>0.4</v>
      </c>
      <c r="E703" s="27" t="inlineStr">
        <is>
          <t>ON 20%/2M 40%/3M 40%</t>
        </is>
      </c>
      <c r="F703" s="27" t="n">
        <v>50</v>
      </c>
      <c r="G703" s="27">
        <f>A703*$B$7&gt;=$B$9</f>
        <v/>
      </c>
      <c r="H703" s="13">
        <f>$B$7*(A703*E$71+B703*F$71+C703*G$71+D703*H$71)+F703/100*$B$7*J$71-$C$71</f>
        <v/>
      </c>
      <c r="I703" s="13">
        <f>$B$7*(A703*L$71+B703*M$71+C703*N$71+D703*O$71)+F703/100*$B$7*Q$71-$C$71</f>
        <v/>
      </c>
      <c r="J703" s="13">
        <f>$B$7*(A703*S$71+B703*T$71+C703*U$71+D703*V$71)+F703/100*$B$7*X$71-$C$71</f>
        <v/>
      </c>
      <c r="K703" s="13">
        <f>$B$7*(A703*Z$71+B703*AA$71+C703*AB$71+D703*AC$71)+F703/100*$B$7*AE$71-$C$71</f>
        <v/>
      </c>
      <c r="L703" s="13">
        <f>$B$7*(A703*AG$71+B703*AH$71+C703*AI$71+D703*AJ$71)+F703/100*$B$7*AL$71-$C$71</f>
        <v/>
      </c>
      <c r="M703" s="13">
        <f>$B$7*(A703*AN$71+B703*AO$71+C703*AP$71+D703*AQ$71)+F703/100*$B$7*AS$71-$C$71</f>
        <v/>
      </c>
      <c r="N703" s="13">
        <f>SUMPRODUCT($H$24:$M$24,H703:M703)</f>
        <v/>
      </c>
      <c r="O703" s="14">
        <f>SQRT(SUMPRODUCT($H$24:$M$24,(H703:M703-N703)^2))</f>
        <v/>
      </c>
      <c r="P703" s="13">
        <f>MIN(H703:M703)</f>
        <v/>
      </c>
      <c r="Q703" s="13">
        <f>MAX(H703:M703)</f>
        <v/>
      </c>
      <c r="R703" s="27">
        <f>IF(G703,SUMPRODUCT(($G$76:$G$1505)*($N$76:$N$1505&gt;=N703)*($O$76:$O$1505&lt;=O703))=1,FALSE)</f>
        <v/>
      </c>
      <c r="S703" s="16">
        <f>IF(R703,ABS((O703-$AC$76)/MAX(0.0001,$AC$77-$AC$76)-(N703-$AC$78)/MAX(0.0001,$AC$79-$AC$78)),-1)</f>
        <v/>
      </c>
      <c r="T703" s="14">
        <f>IF(G703,O703,NA())</f>
        <v/>
      </c>
      <c r="U703" s="13">
        <f>IF(G703,N703,NA())</f>
        <v/>
      </c>
      <c r="V703" s="14">
        <f>IF(R703,O703,NA())</f>
        <v/>
      </c>
      <c r="W703" s="13">
        <f>IF(R703,N703,NA())</f>
        <v/>
      </c>
      <c r="X703" s="27">
        <f>IF(G703,P703,"")</f>
        <v/>
      </c>
      <c r="Y703" s="27">
        <f>IF(G703,N703,"")</f>
        <v/>
      </c>
      <c r="Z703" s="27">
        <f>IF(R703,O703,"")</f>
        <v/>
      </c>
      <c r="AA703" s="27">
        <f>IF(R703,N703,"")</f>
        <v/>
      </c>
    </row>
    <row r="704">
      <c r="A704" s="31" t="n">
        <v>0.2</v>
      </c>
      <c r="B704" s="31" t="n">
        <v>0</v>
      </c>
      <c r="C704" s="31" t="n">
        <v>0.4</v>
      </c>
      <c r="D704" s="31" t="n">
        <v>0.4</v>
      </c>
      <c r="E704" s="27" t="inlineStr">
        <is>
          <t>ON 20%/2M 40%/3M 40%</t>
        </is>
      </c>
      <c r="F704" s="27" t="n">
        <v>75</v>
      </c>
      <c r="G704" s="27">
        <f>A704*$B$7&gt;=$B$9</f>
        <v/>
      </c>
      <c r="H704" s="13">
        <f>$B$7*(A704*E$71+B704*F$71+C704*G$71+D704*H$71)+F704/100*$B$7*J$71-$C$71</f>
        <v/>
      </c>
      <c r="I704" s="13">
        <f>$B$7*(A704*L$71+B704*M$71+C704*N$71+D704*O$71)+F704/100*$B$7*Q$71-$C$71</f>
        <v/>
      </c>
      <c r="J704" s="13">
        <f>$B$7*(A704*S$71+B704*T$71+C704*U$71+D704*V$71)+F704/100*$B$7*X$71-$C$71</f>
        <v/>
      </c>
      <c r="K704" s="13">
        <f>$B$7*(A704*Z$71+B704*AA$71+C704*AB$71+D704*AC$71)+F704/100*$B$7*AE$71-$C$71</f>
        <v/>
      </c>
      <c r="L704" s="13">
        <f>$B$7*(A704*AG$71+B704*AH$71+C704*AI$71+D704*AJ$71)+F704/100*$B$7*AL$71-$C$71</f>
        <v/>
      </c>
      <c r="M704" s="13">
        <f>$B$7*(A704*AN$71+B704*AO$71+C704*AP$71+D704*AQ$71)+F704/100*$B$7*AS$71-$C$71</f>
        <v/>
      </c>
      <c r="N704" s="13">
        <f>SUMPRODUCT($H$24:$M$24,H704:M704)</f>
        <v/>
      </c>
      <c r="O704" s="14">
        <f>SQRT(SUMPRODUCT($H$24:$M$24,(H704:M704-N704)^2))</f>
        <v/>
      </c>
      <c r="P704" s="13">
        <f>MIN(H704:M704)</f>
        <v/>
      </c>
      <c r="Q704" s="13">
        <f>MAX(H704:M704)</f>
        <v/>
      </c>
      <c r="R704" s="27">
        <f>IF(G704,SUMPRODUCT(($G$76:$G$1505)*($N$76:$N$1505&gt;=N704)*($O$76:$O$1505&lt;=O704))=1,FALSE)</f>
        <v/>
      </c>
      <c r="S704" s="16">
        <f>IF(R704,ABS((O704-$AC$76)/MAX(0.0001,$AC$77-$AC$76)-(N704-$AC$78)/MAX(0.0001,$AC$79-$AC$78)),-1)</f>
        <v/>
      </c>
      <c r="T704" s="14">
        <f>IF(G704,O704,NA())</f>
        <v/>
      </c>
      <c r="U704" s="13">
        <f>IF(G704,N704,NA())</f>
        <v/>
      </c>
      <c r="V704" s="14">
        <f>IF(R704,O704,NA())</f>
        <v/>
      </c>
      <c r="W704" s="13">
        <f>IF(R704,N704,NA())</f>
        <v/>
      </c>
      <c r="X704" s="27">
        <f>IF(G704,P704,"")</f>
        <v/>
      </c>
      <c r="Y704" s="27">
        <f>IF(G704,N704,"")</f>
        <v/>
      </c>
      <c r="Z704" s="27">
        <f>IF(R704,O704,"")</f>
        <v/>
      </c>
      <c r="AA704" s="27">
        <f>IF(R704,N704,"")</f>
        <v/>
      </c>
    </row>
    <row r="705">
      <c r="A705" s="31" t="n">
        <v>0.2</v>
      </c>
      <c r="B705" s="31" t="n">
        <v>0</v>
      </c>
      <c r="C705" s="31" t="n">
        <v>0.4</v>
      </c>
      <c r="D705" s="31" t="n">
        <v>0.4</v>
      </c>
      <c r="E705" s="27" t="inlineStr">
        <is>
          <t>ON 20%/2M 40%/3M 40%</t>
        </is>
      </c>
      <c r="F705" s="27" t="n">
        <v>100</v>
      </c>
      <c r="G705" s="27">
        <f>A705*$B$7&gt;=$B$9</f>
        <v/>
      </c>
      <c r="H705" s="13">
        <f>$B$7*(A705*E$71+B705*F$71+C705*G$71+D705*H$71)+F705/100*$B$7*J$71-$C$71</f>
        <v/>
      </c>
      <c r="I705" s="13">
        <f>$B$7*(A705*L$71+B705*M$71+C705*N$71+D705*O$71)+F705/100*$B$7*Q$71-$C$71</f>
        <v/>
      </c>
      <c r="J705" s="13">
        <f>$B$7*(A705*S$71+B705*T$71+C705*U$71+D705*V$71)+F705/100*$B$7*X$71-$C$71</f>
        <v/>
      </c>
      <c r="K705" s="13">
        <f>$B$7*(A705*Z$71+B705*AA$71+C705*AB$71+D705*AC$71)+F705/100*$B$7*AE$71-$C$71</f>
        <v/>
      </c>
      <c r="L705" s="13">
        <f>$B$7*(A705*AG$71+B705*AH$71+C705*AI$71+D705*AJ$71)+F705/100*$B$7*AL$71-$C$71</f>
        <v/>
      </c>
      <c r="M705" s="13">
        <f>$B$7*(A705*AN$71+B705*AO$71+C705*AP$71+D705*AQ$71)+F705/100*$B$7*AS$71-$C$71</f>
        <v/>
      </c>
      <c r="N705" s="13">
        <f>SUMPRODUCT($H$24:$M$24,H705:M705)</f>
        <v/>
      </c>
      <c r="O705" s="14">
        <f>SQRT(SUMPRODUCT($H$24:$M$24,(H705:M705-N705)^2))</f>
        <v/>
      </c>
      <c r="P705" s="13">
        <f>MIN(H705:M705)</f>
        <v/>
      </c>
      <c r="Q705" s="13">
        <f>MAX(H705:M705)</f>
        <v/>
      </c>
      <c r="R705" s="27">
        <f>IF(G705,SUMPRODUCT(($G$76:$G$1505)*($N$76:$N$1505&gt;=N705)*($O$76:$O$1505&lt;=O705))=1,FALSE)</f>
        <v/>
      </c>
      <c r="S705" s="16">
        <f>IF(R705,ABS((O705-$AC$76)/MAX(0.0001,$AC$77-$AC$76)-(N705-$AC$78)/MAX(0.0001,$AC$79-$AC$78)),-1)</f>
        <v/>
      </c>
      <c r="T705" s="14">
        <f>IF(G705,O705,NA())</f>
        <v/>
      </c>
      <c r="U705" s="13">
        <f>IF(G705,N705,NA())</f>
        <v/>
      </c>
      <c r="V705" s="14">
        <f>IF(R705,O705,NA())</f>
        <v/>
      </c>
      <c r="W705" s="13">
        <f>IF(R705,N705,NA())</f>
        <v/>
      </c>
      <c r="X705" s="27">
        <f>IF(G705,P705,"")</f>
        <v/>
      </c>
      <c r="Y705" s="27">
        <f>IF(G705,N705,"")</f>
        <v/>
      </c>
      <c r="Z705" s="27">
        <f>IF(R705,O705,"")</f>
        <v/>
      </c>
      <c r="AA705" s="27">
        <f>IF(R705,N705,"")</f>
        <v/>
      </c>
    </row>
    <row r="706">
      <c r="A706" s="31" t="n">
        <v>0.2</v>
      </c>
      <c r="B706" s="31" t="n">
        <v>0</v>
      </c>
      <c r="C706" s="31" t="n">
        <v>0.5</v>
      </c>
      <c r="D706" s="31" t="n">
        <v>0.3</v>
      </c>
      <c r="E706" s="27" t="inlineStr">
        <is>
          <t>ON 20%/2M 50%/3M 30%</t>
        </is>
      </c>
      <c r="F706" s="27" t="n">
        <v>0</v>
      </c>
      <c r="G706" s="27">
        <f>A706*$B$7&gt;=$B$9</f>
        <v/>
      </c>
      <c r="H706" s="13">
        <f>$B$7*(A706*E$71+B706*F$71+C706*G$71+D706*H$71)+F706/100*$B$7*J$71-$C$71</f>
        <v/>
      </c>
      <c r="I706" s="13">
        <f>$B$7*(A706*L$71+B706*M$71+C706*N$71+D706*O$71)+F706/100*$B$7*Q$71-$C$71</f>
        <v/>
      </c>
      <c r="J706" s="13">
        <f>$B$7*(A706*S$71+B706*T$71+C706*U$71+D706*V$71)+F706/100*$B$7*X$71-$C$71</f>
        <v/>
      </c>
      <c r="K706" s="13">
        <f>$B$7*(A706*Z$71+B706*AA$71+C706*AB$71+D706*AC$71)+F706/100*$B$7*AE$71-$C$71</f>
        <v/>
      </c>
      <c r="L706" s="13">
        <f>$B$7*(A706*AG$71+B706*AH$71+C706*AI$71+D706*AJ$71)+F706/100*$B$7*AL$71-$C$71</f>
        <v/>
      </c>
      <c r="M706" s="13">
        <f>$B$7*(A706*AN$71+B706*AO$71+C706*AP$71+D706*AQ$71)+F706/100*$B$7*AS$71-$C$71</f>
        <v/>
      </c>
      <c r="N706" s="13">
        <f>SUMPRODUCT($H$24:$M$24,H706:M706)</f>
        <v/>
      </c>
      <c r="O706" s="14">
        <f>SQRT(SUMPRODUCT($H$24:$M$24,(H706:M706-N706)^2))</f>
        <v/>
      </c>
      <c r="P706" s="13">
        <f>MIN(H706:M706)</f>
        <v/>
      </c>
      <c r="Q706" s="13">
        <f>MAX(H706:M706)</f>
        <v/>
      </c>
      <c r="R706" s="27">
        <f>IF(G706,SUMPRODUCT(($G$76:$G$1505)*($N$76:$N$1505&gt;=N706)*($O$76:$O$1505&lt;=O706))=1,FALSE)</f>
        <v/>
      </c>
      <c r="S706" s="16">
        <f>IF(R706,ABS((O706-$AC$76)/MAX(0.0001,$AC$77-$AC$76)-(N706-$AC$78)/MAX(0.0001,$AC$79-$AC$78)),-1)</f>
        <v/>
      </c>
      <c r="T706" s="14">
        <f>IF(G706,O706,NA())</f>
        <v/>
      </c>
      <c r="U706" s="13">
        <f>IF(G706,N706,NA())</f>
        <v/>
      </c>
      <c r="V706" s="14">
        <f>IF(R706,O706,NA())</f>
        <v/>
      </c>
      <c r="W706" s="13">
        <f>IF(R706,N706,NA())</f>
        <v/>
      </c>
      <c r="X706" s="27">
        <f>IF(G706,P706,"")</f>
        <v/>
      </c>
      <c r="Y706" s="27">
        <f>IF(G706,N706,"")</f>
        <v/>
      </c>
      <c r="Z706" s="27">
        <f>IF(R706,O706,"")</f>
        <v/>
      </c>
      <c r="AA706" s="27">
        <f>IF(R706,N706,"")</f>
        <v/>
      </c>
    </row>
    <row r="707">
      <c r="A707" s="31" t="n">
        <v>0.2</v>
      </c>
      <c r="B707" s="31" t="n">
        <v>0</v>
      </c>
      <c r="C707" s="31" t="n">
        <v>0.5</v>
      </c>
      <c r="D707" s="31" t="n">
        <v>0.3</v>
      </c>
      <c r="E707" s="27" t="inlineStr">
        <is>
          <t>ON 20%/2M 50%/3M 30%</t>
        </is>
      </c>
      <c r="F707" s="27" t="n">
        <v>25</v>
      </c>
      <c r="G707" s="27">
        <f>A707*$B$7&gt;=$B$9</f>
        <v/>
      </c>
      <c r="H707" s="13">
        <f>$B$7*(A707*E$71+B707*F$71+C707*G$71+D707*H$71)+F707/100*$B$7*J$71-$C$71</f>
        <v/>
      </c>
      <c r="I707" s="13">
        <f>$B$7*(A707*L$71+B707*M$71+C707*N$71+D707*O$71)+F707/100*$B$7*Q$71-$C$71</f>
        <v/>
      </c>
      <c r="J707" s="13">
        <f>$B$7*(A707*S$71+B707*T$71+C707*U$71+D707*V$71)+F707/100*$B$7*X$71-$C$71</f>
        <v/>
      </c>
      <c r="K707" s="13">
        <f>$B$7*(A707*Z$71+B707*AA$71+C707*AB$71+D707*AC$71)+F707/100*$B$7*AE$71-$C$71</f>
        <v/>
      </c>
      <c r="L707" s="13">
        <f>$B$7*(A707*AG$71+B707*AH$71+C707*AI$71+D707*AJ$71)+F707/100*$B$7*AL$71-$C$71</f>
        <v/>
      </c>
      <c r="M707" s="13">
        <f>$B$7*(A707*AN$71+B707*AO$71+C707*AP$71+D707*AQ$71)+F707/100*$B$7*AS$71-$C$71</f>
        <v/>
      </c>
      <c r="N707" s="13">
        <f>SUMPRODUCT($H$24:$M$24,H707:M707)</f>
        <v/>
      </c>
      <c r="O707" s="14">
        <f>SQRT(SUMPRODUCT($H$24:$M$24,(H707:M707-N707)^2))</f>
        <v/>
      </c>
      <c r="P707" s="13">
        <f>MIN(H707:M707)</f>
        <v/>
      </c>
      <c r="Q707" s="13">
        <f>MAX(H707:M707)</f>
        <v/>
      </c>
      <c r="R707" s="27">
        <f>IF(G707,SUMPRODUCT(($G$76:$G$1505)*($N$76:$N$1505&gt;=N707)*($O$76:$O$1505&lt;=O707))=1,FALSE)</f>
        <v/>
      </c>
      <c r="S707" s="16">
        <f>IF(R707,ABS((O707-$AC$76)/MAX(0.0001,$AC$77-$AC$76)-(N707-$AC$78)/MAX(0.0001,$AC$79-$AC$78)),-1)</f>
        <v/>
      </c>
      <c r="T707" s="14">
        <f>IF(G707,O707,NA())</f>
        <v/>
      </c>
      <c r="U707" s="13">
        <f>IF(G707,N707,NA())</f>
        <v/>
      </c>
      <c r="V707" s="14">
        <f>IF(R707,O707,NA())</f>
        <v/>
      </c>
      <c r="W707" s="13">
        <f>IF(R707,N707,NA())</f>
        <v/>
      </c>
      <c r="X707" s="27">
        <f>IF(G707,P707,"")</f>
        <v/>
      </c>
      <c r="Y707" s="27">
        <f>IF(G707,N707,"")</f>
        <v/>
      </c>
      <c r="Z707" s="27">
        <f>IF(R707,O707,"")</f>
        <v/>
      </c>
      <c r="AA707" s="27">
        <f>IF(R707,N707,"")</f>
        <v/>
      </c>
    </row>
    <row r="708">
      <c r="A708" s="31" t="n">
        <v>0.2</v>
      </c>
      <c r="B708" s="31" t="n">
        <v>0</v>
      </c>
      <c r="C708" s="31" t="n">
        <v>0.5</v>
      </c>
      <c r="D708" s="31" t="n">
        <v>0.3</v>
      </c>
      <c r="E708" s="27" t="inlineStr">
        <is>
          <t>ON 20%/2M 50%/3M 30%</t>
        </is>
      </c>
      <c r="F708" s="27" t="n">
        <v>50</v>
      </c>
      <c r="G708" s="27">
        <f>A708*$B$7&gt;=$B$9</f>
        <v/>
      </c>
      <c r="H708" s="13">
        <f>$B$7*(A708*E$71+B708*F$71+C708*G$71+D708*H$71)+F708/100*$B$7*J$71-$C$71</f>
        <v/>
      </c>
      <c r="I708" s="13">
        <f>$B$7*(A708*L$71+B708*M$71+C708*N$71+D708*O$71)+F708/100*$B$7*Q$71-$C$71</f>
        <v/>
      </c>
      <c r="J708" s="13">
        <f>$B$7*(A708*S$71+B708*T$71+C708*U$71+D708*V$71)+F708/100*$B$7*X$71-$C$71</f>
        <v/>
      </c>
      <c r="K708" s="13">
        <f>$B$7*(A708*Z$71+B708*AA$71+C708*AB$71+D708*AC$71)+F708/100*$B$7*AE$71-$C$71</f>
        <v/>
      </c>
      <c r="L708" s="13">
        <f>$B$7*(A708*AG$71+B708*AH$71+C708*AI$71+D708*AJ$71)+F708/100*$B$7*AL$71-$C$71</f>
        <v/>
      </c>
      <c r="M708" s="13">
        <f>$B$7*(A708*AN$71+B708*AO$71+C708*AP$71+D708*AQ$71)+F708/100*$B$7*AS$71-$C$71</f>
        <v/>
      </c>
      <c r="N708" s="13">
        <f>SUMPRODUCT($H$24:$M$24,H708:M708)</f>
        <v/>
      </c>
      <c r="O708" s="14">
        <f>SQRT(SUMPRODUCT($H$24:$M$24,(H708:M708-N708)^2))</f>
        <v/>
      </c>
      <c r="P708" s="13">
        <f>MIN(H708:M708)</f>
        <v/>
      </c>
      <c r="Q708" s="13">
        <f>MAX(H708:M708)</f>
        <v/>
      </c>
      <c r="R708" s="27">
        <f>IF(G708,SUMPRODUCT(($G$76:$G$1505)*($N$76:$N$1505&gt;=N708)*($O$76:$O$1505&lt;=O708))=1,FALSE)</f>
        <v/>
      </c>
      <c r="S708" s="16">
        <f>IF(R708,ABS((O708-$AC$76)/MAX(0.0001,$AC$77-$AC$76)-(N708-$AC$78)/MAX(0.0001,$AC$79-$AC$78)),-1)</f>
        <v/>
      </c>
      <c r="T708" s="14">
        <f>IF(G708,O708,NA())</f>
        <v/>
      </c>
      <c r="U708" s="13">
        <f>IF(G708,N708,NA())</f>
        <v/>
      </c>
      <c r="V708" s="14">
        <f>IF(R708,O708,NA())</f>
        <v/>
      </c>
      <c r="W708" s="13">
        <f>IF(R708,N708,NA())</f>
        <v/>
      </c>
      <c r="X708" s="27">
        <f>IF(G708,P708,"")</f>
        <v/>
      </c>
      <c r="Y708" s="27">
        <f>IF(G708,N708,"")</f>
        <v/>
      </c>
      <c r="Z708" s="27">
        <f>IF(R708,O708,"")</f>
        <v/>
      </c>
      <c r="AA708" s="27">
        <f>IF(R708,N708,"")</f>
        <v/>
      </c>
    </row>
    <row r="709">
      <c r="A709" s="31" t="n">
        <v>0.2</v>
      </c>
      <c r="B709" s="31" t="n">
        <v>0</v>
      </c>
      <c r="C709" s="31" t="n">
        <v>0.5</v>
      </c>
      <c r="D709" s="31" t="n">
        <v>0.3</v>
      </c>
      <c r="E709" s="27" t="inlineStr">
        <is>
          <t>ON 20%/2M 50%/3M 30%</t>
        </is>
      </c>
      <c r="F709" s="27" t="n">
        <v>75</v>
      </c>
      <c r="G709" s="27">
        <f>A709*$B$7&gt;=$B$9</f>
        <v/>
      </c>
      <c r="H709" s="13">
        <f>$B$7*(A709*E$71+B709*F$71+C709*G$71+D709*H$71)+F709/100*$B$7*J$71-$C$71</f>
        <v/>
      </c>
      <c r="I709" s="13">
        <f>$B$7*(A709*L$71+B709*M$71+C709*N$71+D709*O$71)+F709/100*$B$7*Q$71-$C$71</f>
        <v/>
      </c>
      <c r="J709" s="13">
        <f>$B$7*(A709*S$71+B709*T$71+C709*U$71+D709*V$71)+F709/100*$B$7*X$71-$C$71</f>
        <v/>
      </c>
      <c r="K709" s="13">
        <f>$B$7*(A709*Z$71+B709*AA$71+C709*AB$71+D709*AC$71)+F709/100*$B$7*AE$71-$C$71</f>
        <v/>
      </c>
      <c r="L709" s="13">
        <f>$B$7*(A709*AG$71+B709*AH$71+C709*AI$71+D709*AJ$71)+F709/100*$B$7*AL$71-$C$71</f>
        <v/>
      </c>
      <c r="M709" s="13">
        <f>$B$7*(A709*AN$71+B709*AO$71+C709*AP$71+D709*AQ$71)+F709/100*$B$7*AS$71-$C$71</f>
        <v/>
      </c>
      <c r="N709" s="13">
        <f>SUMPRODUCT($H$24:$M$24,H709:M709)</f>
        <v/>
      </c>
      <c r="O709" s="14">
        <f>SQRT(SUMPRODUCT($H$24:$M$24,(H709:M709-N709)^2))</f>
        <v/>
      </c>
      <c r="P709" s="13">
        <f>MIN(H709:M709)</f>
        <v/>
      </c>
      <c r="Q709" s="13">
        <f>MAX(H709:M709)</f>
        <v/>
      </c>
      <c r="R709" s="27">
        <f>IF(G709,SUMPRODUCT(($G$76:$G$1505)*($N$76:$N$1505&gt;=N709)*($O$76:$O$1505&lt;=O709))=1,FALSE)</f>
        <v/>
      </c>
      <c r="S709" s="16">
        <f>IF(R709,ABS((O709-$AC$76)/MAX(0.0001,$AC$77-$AC$76)-(N709-$AC$78)/MAX(0.0001,$AC$79-$AC$78)),-1)</f>
        <v/>
      </c>
      <c r="T709" s="14">
        <f>IF(G709,O709,NA())</f>
        <v/>
      </c>
      <c r="U709" s="13">
        <f>IF(G709,N709,NA())</f>
        <v/>
      </c>
      <c r="V709" s="14">
        <f>IF(R709,O709,NA())</f>
        <v/>
      </c>
      <c r="W709" s="13">
        <f>IF(R709,N709,NA())</f>
        <v/>
      </c>
      <c r="X709" s="27">
        <f>IF(G709,P709,"")</f>
        <v/>
      </c>
      <c r="Y709" s="27">
        <f>IF(G709,N709,"")</f>
        <v/>
      </c>
      <c r="Z709" s="27">
        <f>IF(R709,O709,"")</f>
        <v/>
      </c>
      <c r="AA709" s="27">
        <f>IF(R709,N709,"")</f>
        <v/>
      </c>
    </row>
    <row r="710">
      <c r="A710" s="31" t="n">
        <v>0.2</v>
      </c>
      <c r="B710" s="31" t="n">
        <v>0</v>
      </c>
      <c r="C710" s="31" t="n">
        <v>0.5</v>
      </c>
      <c r="D710" s="31" t="n">
        <v>0.3</v>
      </c>
      <c r="E710" s="27" t="inlineStr">
        <is>
          <t>ON 20%/2M 50%/3M 30%</t>
        </is>
      </c>
      <c r="F710" s="27" t="n">
        <v>100</v>
      </c>
      <c r="G710" s="27">
        <f>A710*$B$7&gt;=$B$9</f>
        <v/>
      </c>
      <c r="H710" s="13">
        <f>$B$7*(A710*E$71+B710*F$71+C710*G$71+D710*H$71)+F710/100*$B$7*J$71-$C$71</f>
        <v/>
      </c>
      <c r="I710" s="13">
        <f>$B$7*(A710*L$71+B710*M$71+C710*N$71+D710*O$71)+F710/100*$B$7*Q$71-$C$71</f>
        <v/>
      </c>
      <c r="J710" s="13">
        <f>$B$7*(A710*S$71+B710*T$71+C710*U$71+D710*V$71)+F710/100*$B$7*X$71-$C$71</f>
        <v/>
      </c>
      <c r="K710" s="13">
        <f>$B$7*(A710*Z$71+B710*AA$71+C710*AB$71+D710*AC$71)+F710/100*$B$7*AE$71-$C$71</f>
        <v/>
      </c>
      <c r="L710" s="13">
        <f>$B$7*(A710*AG$71+B710*AH$71+C710*AI$71+D710*AJ$71)+F710/100*$B$7*AL$71-$C$71</f>
        <v/>
      </c>
      <c r="M710" s="13">
        <f>$B$7*(A710*AN$71+B710*AO$71+C710*AP$71+D710*AQ$71)+F710/100*$B$7*AS$71-$C$71</f>
        <v/>
      </c>
      <c r="N710" s="13">
        <f>SUMPRODUCT($H$24:$M$24,H710:M710)</f>
        <v/>
      </c>
      <c r="O710" s="14">
        <f>SQRT(SUMPRODUCT($H$24:$M$24,(H710:M710-N710)^2))</f>
        <v/>
      </c>
      <c r="P710" s="13">
        <f>MIN(H710:M710)</f>
        <v/>
      </c>
      <c r="Q710" s="13">
        <f>MAX(H710:M710)</f>
        <v/>
      </c>
      <c r="R710" s="27">
        <f>IF(G710,SUMPRODUCT(($G$76:$G$1505)*($N$76:$N$1505&gt;=N710)*($O$76:$O$1505&lt;=O710))=1,FALSE)</f>
        <v/>
      </c>
      <c r="S710" s="16">
        <f>IF(R710,ABS((O710-$AC$76)/MAX(0.0001,$AC$77-$AC$76)-(N710-$AC$78)/MAX(0.0001,$AC$79-$AC$78)),-1)</f>
        <v/>
      </c>
      <c r="T710" s="14">
        <f>IF(G710,O710,NA())</f>
        <v/>
      </c>
      <c r="U710" s="13">
        <f>IF(G710,N710,NA())</f>
        <v/>
      </c>
      <c r="V710" s="14">
        <f>IF(R710,O710,NA())</f>
        <v/>
      </c>
      <c r="W710" s="13">
        <f>IF(R710,N710,NA())</f>
        <v/>
      </c>
      <c r="X710" s="27">
        <f>IF(G710,P710,"")</f>
        <v/>
      </c>
      <c r="Y710" s="27">
        <f>IF(G710,N710,"")</f>
        <v/>
      </c>
      <c r="Z710" s="27">
        <f>IF(R710,O710,"")</f>
        <v/>
      </c>
      <c r="AA710" s="27">
        <f>IF(R710,N710,"")</f>
        <v/>
      </c>
    </row>
    <row r="711">
      <c r="A711" s="31" t="n">
        <v>0.2</v>
      </c>
      <c r="B711" s="31" t="n">
        <v>0</v>
      </c>
      <c r="C711" s="31" t="n">
        <v>0.6</v>
      </c>
      <c r="D711" s="31" t="n">
        <v>0.2</v>
      </c>
      <c r="E711" s="27" t="inlineStr">
        <is>
          <t>ON 20%/2M 60%/3M 20%</t>
        </is>
      </c>
      <c r="F711" s="27" t="n">
        <v>0</v>
      </c>
      <c r="G711" s="27">
        <f>A711*$B$7&gt;=$B$9</f>
        <v/>
      </c>
      <c r="H711" s="13">
        <f>$B$7*(A711*E$71+B711*F$71+C711*G$71+D711*H$71)+F711/100*$B$7*J$71-$C$71</f>
        <v/>
      </c>
      <c r="I711" s="13">
        <f>$B$7*(A711*L$71+B711*M$71+C711*N$71+D711*O$71)+F711/100*$B$7*Q$71-$C$71</f>
        <v/>
      </c>
      <c r="J711" s="13">
        <f>$B$7*(A711*S$71+B711*T$71+C711*U$71+D711*V$71)+F711/100*$B$7*X$71-$C$71</f>
        <v/>
      </c>
      <c r="K711" s="13">
        <f>$B$7*(A711*Z$71+B711*AA$71+C711*AB$71+D711*AC$71)+F711/100*$B$7*AE$71-$C$71</f>
        <v/>
      </c>
      <c r="L711" s="13">
        <f>$B$7*(A711*AG$71+B711*AH$71+C711*AI$71+D711*AJ$71)+F711/100*$B$7*AL$71-$C$71</f>
        <v/>
      </c>
      <c r="M711" s="13">
        <f>$B$7*(A711*AN$71+B711*AO$71+C711*AP$71+D711*AQ$71)+F711/100*$B$7*AS$71-$C$71</f>
        <v/>
      </c>
      <c r="N711" s="13">
        <f>SUMPRODUCT($H$24:$M$24,H711:M711)</f>
        <v/>
      </c>
      <c r="O711" s="14">
        <f>SQRT(SUMPRODUCT($H$24:$M$24,(H711:M711-N711)^2))</f>
        <v/>
      </c>
      <c r="P711" s="13">
        <f>MIN(H711:M711)</f>
        <v/>
      </c>
      <c r="Q711" s="13">
        <f>MAX(H711:M711)</f>
        <v/>
      </c>
      <c r="R711" s="27">
        <f>IF(G711,SUMPRODUCT(($G$76:$G$1505)*($N$76:$N$1505&gt;=N711)*($O$76:$O$1505&lt;=O711))=1,FALSE)</f>
        <v/>
      </c>
      <c r="S711" s="16">
        <f>IF(R711,ABS((O711-$AC$76)/MAX(0.0001,$AC$77-$AC$76)-(N711-$AC$78)/MAX(0.0001,$AC$79-$AC$78)),-1)</f>
        <v/>
      </c>
      <c r="T711" s="14">
        <f>IF(G711,O711,NA())</f>
        <v/>
      </c>
      <c r="U711" s="13">
        <f>IF(G711,N711,NA())</f>
        <v/>
      </c>
      <c r="V711" s="14">
        <f>IF(R711,O711,NA())</f>
        <v/>
      </c>
      <c r="W711" s="13">
        <f>IF(R711,N711,NA())</f>
        <v/>
      </c>
      <c r="X711" s="27">
        <f>IF(G711,P711,"")</f>
        <v/>
      </c>
      <c r="Y711" s="27">
        <f>IF(G711,N711,"")</f>
        <v/>
      </c>
      <c r="Z711" s="27">
        <f>IF(R711,O711,"")</f>
        <v/>
      </c>
      <c r="AA711" s="27">
        <f>IF(R711,N711,"")</f>
        <v/>
      </c>
    </row>
    <row r="712">
      <c r="A712" s="31" t="n">
        <v>0.2</v>
      </c>
      <c r="B712" s="31" t="n">
        <v>0</v>
      </c>
      <c r="C712" s="31" t="n">
        <v>0.6</v>
      </c>
      <c r="D712" s="31" t="n">
        <v>0.2</v>
      </c>
      <c r="E712" s="27" t="inlineStr">
        <is>
          <t>ON 20%/2M 60%/3M 20%</t>
        </is>
      </c>
      <c r="F712" s="27" t="n">
        <v>25</v>
      </c>
      <c r="G712" s="27">
        <f>A712*$B$7&gt;=$B$9</f>
        <v/>
      </c>
      <c r="H712" s="13">
        <f>$B$7*(A712*E$71+B712*F$71+C712*G$71+D712*H$71)+F712/100*$B$7*J$71-$C$71</f>
        <v/>
      </c>
      <c r="I712" s="13">
        <f>$B$7*(A712*L$71+B712*M$71+C712*N$71+D712*O$71)+F712/100*$B$7*Q$71-$C$71</f>
        <v/>
      </c>
      <c r="J712" s="13">
        <f>$B$7*(A712*S$71+B712*T$71+C712*U$71+D712*V$71)+F712/100*$B$7*X$71-$C$71</f>
        <v/>
      </c>
      <c r="K712" s="13">
        <f>$B$7*(A712*Z$71+B712*AA$71+C712*AB$71+D712*AC$71)+F712/100*$B$7*AE$71-$C$71</f>
        <v/>
      </c>
      <c r="L712" s="13">
        <f>$B$7*(A712*AG$71+B712*AH$71+C712*AI$71+D712*AJ$71)+F712/100*$B$7*AL$71-$C$71</f>
        <v/>
      </c>
      <c r="M712" s="13">
        <f>$B$7*(A712*AN$71+B712*AO$71+C712*AP$71+D712*AQ$71)+F712/100*$B$7*AS$71-$C$71</f>
        <v/>
      </c>
      <c r="N712" s="13">
        <f>SUMPRODUCT($H$24:$M$24,H712:M712)</f>
        <v/>
      </c>
      <c r="O712" s="14">
        <f>SQRT(SUMPRODUCT($H$24:$M$24,(H712:M712-N712)^2))</f>
        <v/>
      </c>
      <c r="P712" s="13">
        <f>MIN(H712:M712)</f>
        <v/>
      </c>
      <c r="Q712" s="13">
        <f>MAX(H712:M712)</f>
        <v/>
      </c>
      <c r="R712" s="27">
        <f>IF(G712,SUMPRODUCT(($G$76:$G$1505)*($N$76:$N$1505&gt;=N712)*($O$76:$O$1505&lt;=O712))=1,FALSE)</f>
        <v/>
      </c>
      <c r="S712" s="16">
        <f>IF(R712,ABS((O712-$AC$76)/MAX(0.0001,$AC$77-$AC$76)-(N712-$AC$78)/MAX(0.0001,$AC$79-$AC$78)),-1)</f>
        <v/>
      </c>
      <c r="T712" s="14">
        <f>IF(G712,O712,NA())</f>
        <v/>
      </c>
      <c r="U712" s="13">
        <f>IF(G712,N712,NA())</f>
        <v/>
      </c>
      <c r="V712" s="14">
        <f>IF(R712,O712,NA())</f>
        <v/>
      </c>
      <c r="W712" s="13">
        <f>IF(R712,N712,NA())</f>
        <v/>
      </c>
      <c r="X712" s="27">
        <f>IF(G712,P712,"")</f>
        <v/>
      </c>
      <c r="Y712" s="27">
        <f>IF(G712,N712,"")</f>
        <v/>
      </c>
      <c r="Z712" s="27">
        <f>IF(R712,O712,"")</f>
        <v/>
      </c>
      <c r="AA712" s="27">
        <f>IF(R712,N712,"")</f>
        <v/>
      </c>
    </row>
    <row r="713">
      <c r="A713" s="31" t="n">
        <v>0.2</v>
      </c>
      <c r="B713" s="31" t="n">
        <v>0</v>
      </c>
      <c r="C713" s="31" t="n">
        <v>0.6</v>
      </c>
      <c r="D713" s="31" t="n">
        <v>0.2</v>
      </c>
      <c r="E713" s="27" t="inlineStr">
        <is>
          <t>ON 20%/2M 60%/3M 20%</t>
        </is>
      </c>
      <c r="F713" s="27" t="n">
        <v>50</v>
      </c>
      <c r="G713" s="27">
        <f>A713*$B$7&gt;=$B$9</f>
        <v/>
      </c>
      <c r="H713" s="13">
        <f>$B$7*(A713*E$71+B713*F$71+C713*G$71+D713*H$71)+F713/100*$B$7*J$71-$C$71</f>
        <v/>
      </c>
      <c r="I713" s="13">
        <f>$B$7*(A713*L$71+B713*M$71+C713*N$71+D713*O$71)+F713/100*$B$7*Q$71-$C$71</f>
        <v/>
      </c>
      <c r="J713" s="13">
        <f>$B$7*(A713*S$71+B713*T$71+C713*U$71+D713*V$71)+F713/100*$B$7*X$71-$C$71</f>
        <v/>
      </c>
      <c r="K713" s="13">
        <f>$B$7*(A713*Z$71+B713*AA$71+C713*AB$71+D713*AC$71)+F713/100*$B$7*AE$71-$C$71</f>
        <v/>
      </c>
      <c r="L713" s="13">
        <f>$B$7*(A713*AG$71+B713*AH$71+C713*AI$71+D713*AJ$71)+F713/100*$B$7*AL$71-$C$71</f>
        <v/>
      </c>
      <c r="M713" s="13">
        <f>$B$7*(A713*AN$71+B713*AO$71+C713*AP$71+D713*AQ$71)+F713/100*$B$7*AS$71-$C$71</f>
        <v/>
      </c>
      <c r="N713" s="13">
        <f>SUMPRODUCT($H$24:$M$24,H713:M713)</f>
        <v/>
      </c>
      <c r="O713" s="14">
        <f>SQRT(SUMPRODUCT($H$24:$M$24,(H713:M713-N713)^2))</f>
        <v/>
      </c>
      <c r="P713" s="13">
        <f>MIN(H713:M713)</f>
        <v/>
      </c>
      <c r="Q713" s="13">
        <f>MAX(H713:M713)</f>
        <v/>
      </c>
      <c r="R713" s="27">
        <f>IF(G713,SUMPRODUCT(($G$76:$G$1505)*($N$76:$N$1505&gt;=N713)*($O$76:$O$1505&lt;=O713))=1,FALSE)</f>
        <v/>
      </c>
      <c r="S713" s="16">
        <f>IF(R713,ABS((O713-$AC$76)/MAX(0.0001,$AC$77-$AC$76)-(N713-$AC$78)/MAX(0.0001,$AC$79-$AC$78)),-1)</f>
        <v/>
      </c>
      <c r="T713" s="14">
        <f>IF(G713,O713,NA())</f>
        <v/>
      </c>
      <c r="U713" s="13">
        <f>IF(G713,N713,NA())</f>
        <v/>
      </c>
      <c r="V713" s="14">
        <f>IF(R713,O713,NA())</f>
        <v/>
      </c>
      <c r="W713" s="13">
        <f>IF(R713,N713,NA())</f>
        <v/>
      </c>
      <c r="X713" s="27">
        <f>IF(G713,P713,"")</f>
        <v/>
      </c>
      <c r="Y713" s="27">
        <f>IF(G713,N713,"")</f>
        <v/>
      </c>
      <c r="Z713" s="27">
        <f>IF(R713,O713,"")</f>
        <v/>
      </c>
      <c r="AA713" s="27">
        <f>IF(R713,N713,"")</f>
        <v/>
      </c>
    </row>
    <row r="714">
      <c r="A714" s="31" t="n">
        <v>0.2</v>
      </c>
      <c r="B714" s="31" t="n">
        <v>0</v>
      </c>
      <c r="C714" s="31" t="n">
        <v>0.6</v>
      </c>
      <c r="D714" s="31" t="n">
        <v>0.2</v>
      </c>
      <c r="E714" s="27" t="inlineStr">
        <is>
          <t>ON 20%/2M 60%/3M 20%</t>
        </is>
      </c>
      <c r="F714" s="27" t="n">
        <v>75</v>
      </c>
      <c r="G714" s="27">
        <f>A714*$B$7&gt;=$B$9</f>
        <v/>
      </c>
      <c r="H714" s="13">
        <f>$B$7*(A714*E$71+B714*F$71+C714*G$71+D714*H$71)+F714/100*$B$7*J$71-$C$71</f>
        <v/>
      </c>
      <c r="I714" s="13">
        <f>$B$7*(A714*L$71+B714*M$71+C714*N$71+D714*O$71)+F714/100*$B$7*Q$71-$C$71</f>
        <v/>
      </c>
      <c r="J714" s="13">
        <f>$B$7*(A714*S$71+B714*T$71+C714*U$71+D714*V$71)+F714/100*$B$7*X$71-$C$71</f>
        <v/>
      </c>
      <c r="K714" s="13">
        <f>$B$7*(A714*Z$71+B714*AA$71+C714*AB$71+D714*AC$71)+F714/100*$B$7*AE$71-$C$71</f>
        <v/>
      </c>
      <c r="L714" s="13">
        <f>$B$7*(A714*AG$71+B714*AH$71+C714*AI$71+D714*AJ$71)+F714/100*$B$7*AL$71-$C$71</f>
        <v/>
      </c>
      <c r="M714" s="13">
        <f>$B$7*(A714*AN$71+B714*AO$71+C714*AP$71+D714*AQ$71)+F714/100*$B$7*AS$71-$C$71</f>
        <v/>
      </c>
      <c r="N714" s="13">
        <f>SUMPRODUCT($H$24:$M$24,H714:M714)</f>
        <v/>
      </c>
      <c r="O714" s="14">
        <f>SQRT(SUMPRODUCT($H$24:$M$24,(H714:M714-N714)^2))</f>
        <v/>
      </c>
      <c r="P714" s="13">
        <f>MIN(H714:M714)</f>
        <v/>
      </c>
      <c r="Q714" s="13">
        <f>MAX(H714:M714)</f>
        <v/>
      </c>
      <c r="R714" s="27">
        <f>IF(G714,SUMPRODUCT(($G$76:$G$1505)*($N$76:$N$1505&gt;=N714)*($O$76:$O$1505&lt;=O714))=1,FALSE)</f>
        <v/>
      </c>
      <c r="S714" s="16">
        <f>IF(R714,ABS((O714-$AC$76)/MAX(0.0001,$AC$77-$AC$76)-(N714-$AC$78)/MAX(0.0001,$AC$79-$AC$78)),-1)</f>
        <v/>
      </c>
      <c r="T714" s="14">
        <f>IF(G714,O714,NA())</f>
        <v/>
      </c>
      <c r="U714" s="13">
        <f>IF(G714,N714,NA())</f>
        <v/>
      </c>
      <c r="V714" s="14">
        <f>IF(R714,O714,NA())</f>
        <v/>
      </c>
      <c r="W714" s="13">
        <f>IF(R714,N714,NA())</f>
        <v/>
      </c>
      <c r="X714" s="27">
        <f>IF(G714,P714,"")</f>
        <v/>
      </c>
      <c r="Y714" s="27">
        <f>IF(G714,N714,"")</f>
        <v/>
      </c>
      <c r="Z714" s="27">
        <f>IF(R714,O714,"")</f>
        <v/>
      </c>
      <c r="AA714" s="27">
        <f>IF(R714,N714,"")</f>
        <v/>
      </c>
    </row>
    <row r="715">
      <c r="A715" s="31" t="n">
        <v>0.2</v>
      </c>
      <c r="B715" s="31" t="n">
        <v>0</v>
      </c>
      <c r="C715" s="31" t="n">
        <v>0.6</v>
      </c>
      <c r="D715" s="31" t="n">
        <v>0.2</v>
      </c>
      <c r="E715" s="27" t="inlineStr">
        <is>
          <t>ON 20%/2M 60%/3M 20%</t>
        </is>
      </c>
      <c r="F715" s="27" t="n">
        <v>100</v>
      </c>
      <c r="G715" s="27">
        <f>A715*$B$7&gt;=$B$9</f>
        <v/>
      </c>
      <c r="H715" s="13">
        <f>$B$7*(A715*E$71+B715*F$71+C715*G$71+D715*H$71)+F715/100*$B$7*J$71-$C$71</f>
        <v/>
      </c>
      <c r="I715" s="13">
        <f>$B$7*(A715*L$71+B715*M$71+C715*N$71+D715*O$71)+F715/100*$B$7*Q$71-$C$71</f>
        <v/>
      </c>
      <c r="J715" s="13">
        <f>$B$7*(A715*S$71+B715*T$71+C715*U$71+D715*V$71)+F715/100*$B$7*X$71-$C$71</f>
        <v/>
      </c>
      <c r="K715" s="13">
        <f>$B$7*(A715*Z$71+B715*AA$71+C715*AB$71+D715*AC$71)+F715/100*$B$7*AE$71-$C$71</f>
        <v/>
      </c>
      <c r="L715" s="13">
        <f>$B$7*(A715*AG$71+B715*AH$71+C715*AI$71+D715*AJ$71)+F715/100*$B$7*AL$71-$C$71</f>
        <v/>
      </c>
      <c r="M715" s="13">
        <f>$B$7*(A715*AN$71+B715*AO$71+C715*AP$71+D715*AQ$71)+F715/100*$B$7*AS$71-$C$71</f>
        <v/>
      </c>
      <c r="N715" s="13">
        <f>SUMPRODUCT($H$24:$M$24,H715:M715)</f>
        <v/>
      </c>
      <c r="O715" s="14">
        <f>SQRT(SUMPRODUCT($H$24:$M$24,(H715:M715-N715)^2))</f>
        <v/>
      </c>
      <c r="P715" s="13">
        <f>MIN(H715:M715)</f>
        <v/>
      </c>
      <c r="Q715" s="13">
        <f>MAX(H715:M715)</f>
        <v/>
      </c>
      <c r="R715" s="27">
        <f>IF(G715,SUMPRODUCT(($G$76:$G$1505)*($N$76:$N$1505&gt;=N715)*($O$76:$O$1505&lt;=O715))=1,FALSE)</f>
        <v/>
      </c>
      <c r="S715" s="16">
        <f>IF(R715,ABS((O715-$AC$76)/MAX(0.0001,$AC$77-$AC$76)-(N715-$AC$78)/MAX(0.0001,$AC$79-$AC$78)),-1)</f>
        <v/>
      </c>
      <c r="T715" s="14">
        <f>IF(G715,O715,NA())</f>
        <v/>
      </c>
      <c r="U715" s="13">
        <f>IF(G715,N715,NA())</f>
        <v/>
      </c>
      <c r="V715" s="14">
        <f>IF(R715,O715,NA())</f>
        <v/>
      </c>
      <c r="W715" s="13">
        <f>IF(R715,N715,NA())</f>
        <v/>
      </c>
      <c r="X715" s="27">
        <f>IF(G715,P715,"")</f>
        <v/>
      </c>
      <c r="Y715" s="27">
        <f>IF(G715,N715,"")</f>
        <v/>
      </c>
      <c r="Z715" s="27">
        <f>IF(R715,O715,"")</f>
        <v/>
      </c>
      <c r="AA715" s="27">
        <f>IF(R715,N715,"")</f>
        <v/>
      </c>
    </row>
    <row r="716">
      <c r="A716" s="31" t="n">
        <v>0.2</v>
      </c>
      <c r="B716" s="31" t="n">
        <v>0</v>
      </c>
      <c r="C716" s="31" t="n">
        <v>0.7</v>
      </c>
      <c r="D716" s="31" t="n">
        <v>0.1</v>
      </c>
      <c r="E716" s="27" t="inlineStr">
        <is>
          <t>ON 20%/2M 70%/3M 10%</t>
        </is>
      </c>
      <c r="F716" s="27" t="n">
        <v>0</v>
      </c>
      <c r="G716" s="27">
        <f>A716*$B$7&gt;=$B$9</f>
        <v/>
      </c>
      <c r="H716" s="13">
        <f>$B$7*(A716*E$71+B716*F$71+C716*G$71+D716*H$71)+F716/100*$B$7*J$71-$C$71</f>
        <v/>
      </c>
      <c r="I716" s="13">
        <f>$B$7*(A716*L$71+B716*M$71+C716*N$71+D716*O$71)+F716/100*$B$7*Q$71-$C$71</f>
        <v/>
      </c>
      <c r="J716" s="13">
        <f>$B$7*(A716*S$71+B716*T$71+C716*U$71+D716*V$71)+F716/100*$B$7*X$71-$C$71</f>
        <v/>
      </c>
      <c r="K716" s="13">
        <f>$B$7*(A716*Z$71+B716*AA$71+C716*AB$71+D716*AC$71)+F716/100*$B$7*AE$71-$C$71</f>
        <v/>
      </c>
      <c r="L716" s="13">
        <f>$B$7*(A716*AG$71+B716*AH$71+C716*AI$71+D716*AJ$71)+F716/100*$B$7*AL$71-$C$71</f>
        <v/>
      </c>
      <c r="M716" s="13">
        <f>$B$7*(A716*AN$71+B716*AO$71+C716*AP$71+D716*AQ$71)+F716/100*$B$7*AS$71-$C$71</f>
        <v/>
      </c>
      <c r="N716" s="13">
        <f>SUMPRODUCT($H$24:$M$24,H716:M716)</f>
        <v/>
      </c>
      <c r="O716" s="14">
        <f>SQRT(SUMPRODUCT($H$24:$M$24,(H716:M716-N716)^2))</f>
        <v/>
      </c>
      <c r="P716" s="13">
        <f>MIN(H716:M716)</f>
        <v/>
      </c>
      <c r="Q716" s="13">
        <f>MAX(H716:M716)</f>
        <v/>
      </c>
      <c r="R716" s="27">
        <f>IF(G716,SUMPRODUCT(($G$76:$G$1505)*($N$76:$N$1505&gt;=N716)*($O$76:$O$1505&lt;=O716))=1,FALSE)</f>
        <v/>
      </c>
      <c r="S716" s="16">
        <f>IF(R716,ABS((O716-$AC$76)/MAX(0.0001,$AC$77-$AC$76)-(N716-$AC$78)/MAX(0.0001,$AC$79-$AC$78)),-1)</f>
        <v/>
      </c>
      <c r="T716" s="14">
        <f>IF(G716,O716,NA())</f>
        <v/>
      </c>
      <c r="U716" s="13">
        <f>IF(G716,N716,NA())</f>
        <v/>
      </c>
      <c r="V716" s="14">
        <f>IF(R716,O716,NA())</f>
        <v/>
      </c>
      <c r="W716" s="13">
        <f>IF(R716,N716,NA())</f>
        <v/>
      </c>
      <c r="X716" s="27">
        <f>IF(G716,P716,"")</f>
        <v/>
      </c>
      <c r="Y716" s="27">
        <f>IF(G716,N716,"")</f>
        <v/>
      </c>
      <c r="Z716" s="27">
        <f>IF(R716,O716,"")</f>
        <v/>
      </c>
      <c r="AA716" s="27">
        <f>IF(R716,N716,"")</f>
        <v/>
      </c>
    </row>
    <row r="717">
      <c r="A717" s="31" t="n">
        <v>0.2</v>
      </c>
      <c r="B717" s="31" t="n">
        <v>0</v>
      </c>
      <c r="C717" s="31" t="n">
        <v>0.7</v>
      </c>
      <c r="D717" s="31" t="n">
        <v>0.1</v>
      </c>
      <c r="E717" s="27" t="inlineStr">
        <is>
          <t>ON 20%/2M 70%/3M 10%</t>
        </is>
      </c>
      <c r="F717" s="27" t="n">
        <v>25</v>
      </c>
      <c r="G717" s="27">
        <f>A717*$B$7&gt;=$B$9</f>
        <v/>
      </c>
      <c r="H717" s="13">
        <f>$B$7*(A717*E$71+B717*F$71+C717*G$71+D717*H$71)+F717/100*$B$7*J$71-$C$71</f>
        <v/>
      </c>
      <c r="I717" s="13">
        <f>$B$7*(A717*L$71+B717*M$71+C717*N$71+D717*O$71)+F717/100*$B$7*Q$71-$C$71</f>
        <v/>
      </c>
      <c r="J717" s="13">
        <f>$B$7*(A717*S$71+B717*T$71+C717*U$71+D717*V$71)+F717/100*$B$7*X$71-$C$71</f>
        <v/>
      </c>
      <c r="K717" s="13">
        <f>$B$7*(A717*Z$71+B717*AA$71+C717*AB$71+D717*AC$71)+F717/100*$B$7*AE$71-$C$71</f>
        <v/>
      </c>
      <c r="L717" s="13">
        <f>$B$7*(A717*AG$71+B717*AH$71+C717*AI$71+D717*AJ$71)+F717/100*$B$7*AL$71-$C$71</f>
        <v/>
      </c>
      <c r="M717" s="13">
        <f>$B$7*(A717*AN$71+B717*AO$71+C717*AP$71+D717*AQ$71)+F717/100*$B$7*AS$71-$C$71</f>
        <v/>
      </c>
      <c r="N717" s="13">
        <f>SUMPRODUCT($H$24:$M$24,H717:M717)</f>
        <v/>
      </c>
      <c r="O717" s="14">
        <f>SQRT(SUMPRODUCT($H$24:$M$24,(H717:M717-N717)^2))</f>
        <v/>
      </c>
      <c r="P717" s="13">
        <f>MIN(H717:M717)</f>
        <v/>
      </c>
      <c r="Q717" s="13">
        <f>MAX(H717:M717)</f>
        <v/>
      </c>
      <c r="R717" s="27">
        <f>IF(G717,SUMPRODUCT(($G$76:$G$1505)*($N$76:$N$1505&gt;=N717)*($O$76:$O$1505&lt;=O717))=1,FALSE)</f>
        <v/>
      </c>
      <c r="S717" s="16">
        <f>IF(R717,ABS((O717-$AC$76)/MAX(0.0001,$AC$77-$AC$76)-(N717-$AC$78)/MAX(0.0001,$AC$79-$AC$78)),-1)</f>
        <v/>
      </c>
      <c r="T717" s="14">
        <f>IF(G717,O717,NA())</f>
        <v/>
      </c>
      <c r="U717" s="13">
        <f>IF(G717,N717,NA())</f>
        <v/>
      </c>
      <c r="V717" s="14">
        <f>IF(R717,O717,NA())</f>
        <v/>
      </c>
      <c r="W717" s="13">
        <f>IF(R717,N717,NA())</f>
        <v/>
      </c>
      <c r="X717" s="27">
        <f>IF(G717,P717,"")</f>
        <v/>
      </c>
      <c r="Y717" s="27">
        <f>IF(G717,N717,"")</f>
        <v/>
      </c>
      <c r="Z717" s="27">
        <f>IF(R717,O717,"")</f>
        <v/>
      </c>
      <c r="AA717" s="27">
        <f>IF(R717,N717,"")</f>
        <v/>
      </c>
    </row>
    <row r="718">
      <c r="A718" s="31" t="n">
        <v>0.2</v>
      </c>
      <c r="B718" s="31" t="n">
        <v>0</v>
      </c>
      <c r="C718" s="31" t="n">
        <v>0.7</v>
      </c>
      <c r="D718" s="31" t="n">
        <v>0.1</v>
      </c>
      <c r="E718" s="27" t="inlineStr">
        <is>
          <t>ON 20%/2M 70%/3M 10%</t>
        </is>
      </c>
      <c r="F718" s="27" t="n">
        <v>50</v>
      </c>
      <c r="G718" s="27">
        <f>A718*$B$7&gt;=$B$9</f>
        <v/>
      </c>
      <c r="H718" s="13">
        <f>$B$7*(A718*E$71+B718*F$71+C718*G$71+D718*H$71)+F718/100*$B$7*J$71-$C$71</f>
        <v/>
      </c>
      <c r="I718" s="13">
        <f>$B$7*(A718*L$71+B718*M$71+C718*N$71+D718*O$71)+F718/100*$B$7*Q$71-$C$71</f>
        <v/>
      </c>
      <c r="J718" s="13">
        <f>$B$7*(A718*S$71+B718*T$71+C718*U$71+D718*V$71)+F718/100*$B$7*X$71-$C$71</f>
        <v/>
      </c>
      <c r="K718" s="13">
        <f>$B$7*(A718*Z$71+B718*AA$71+C718*AB$71+D718*AC$71)+F718/100*$B$7*AE$71-$C$71</f>
        <v/>
      </c>
      <c r="L718" s="13">
        <f>$B$7*(A718*AG$71+B718*AH$71+C718*AI$71+D718*AJ$71)+F718/100*$B$7*AL$71-$C$71</f>
        <v/>
      </c>
      <c r="M718" s="13">
        <f>$B$7*(A718*AN$71+B718*AO$71+C718*AP$71+D718*AQ$71)+F718/100*$B$7*AS$71-$C$71</f>
        <v/>
      </c>
      <c r="N718" s="13">
        <f>SUMPRODUCT($H$24:$M$24,H718:M718)</f>
        <v/>
      </c>
      <c r="O718" s="14">
        <f>SQRT(SUMPRODUCT($H$24:$M$24,(H718:M718-N718)^2))</f>
        <v/>
      </c>
      <c r="P718" s="13">
        <f>MIN(H718:M718)</f>
        <v/>
      </c>
      <c r="Q718" s="13">
        <f>MAX(H718:M718)</f>
        <v/>
      </c>
      <c r="R718" s="27">
        <f>IF(G718,SUMPRODUCT(($G$76:$G$1505)*($N$76:$N$1505&gt;=N718)*($O$76:$O$1505&lt;=O718))=1,FALSE)</f>
        <v/>
      </c>
      <c r="S718" s="16">
        <f>IF(R718,ABS((O718-$AC$76)/MAX(0.0001,$AC$77-$AC$76)-(N718-$AC$78)/MAX(0.0001,$AC$79-$AC$78)),-1)</f>
        <v/>
      </c>
      <c r="T718" s="14">
        <f>IF(G718,O718,NA())</f>
        <v/>
      </c>
      <c r="U718" s="13">
        <f>IF(G718,N718,NA())</f>
        <v/>
      </c>
      <c r="V718" s="14">
        <f>IF(R718,O718,NA())</f>
        <v/>
      </c>
      <c r="W718" s="13">
        <f>IF(R718,N718,NA())</f>
        <v/>
      </c>
      <c r="X718" s="27">
        <f>IF(G718,P718,"")</f>
        <v/>
      </c>
      <c r="Y718" s="27">
        <f>IF(G718,N718,"")</f>
        <v/>
      </c>
      <c r="Z718" s="27">
        <f>IF(R718,O718,"")</f>
        <v/>
      </c>
      <c r="AA718" s="27">
        <f>IF(R718,N718,"")</f>
        <v/>
      </c>
    </row>
    <row r="719">
      <c r="A719" s="31" t="n">
        <v>0.2</v>
      </c>
      <c r="B719" s="31" t="n">
        <v>0</v>
      </c>
      <c r="C719" s="31" t="n">
        <v>0.7</v>
      </c>
      <c r="D719" s="31" t="n">
        <v>0.1</v>
      </c>
      <c r="E719" s="27" t="inlineStr">
        <is>
          <t>ON 20%/2M 70%/3M 10%</t>
        </is>
      </c>
      <c r="F719" s="27" t="n">
        <v>75</v>
      </c>
      <c r="G719" s="27">
        <f>A719*$B$7&gt;=$B$9</f>
        <v/>
      </c>
      <c r="H719" s="13">
        <f>$B$7*(A719*E$71+B719*F$71+C719*G$71+D719*H$71)+F719/100*$B$7*J$71-$C$71</f>
        <v/>
      </c>
      <c r="I719" s="13">
        <f>$B$7*(A719*L$71+B719*M$71+C719*N$71+D719*O$71)+F719/100*$B$7*Q$71-$C$71</f>
        <v/>
      </c>
      <c r="J719" s="13">
        <f>$B$7*(A719*S$71+B719*T$71+C719*U$71+D719*V$71)+F719/100*$B$7*X$71-$C$71</f>
        <v/>
      </c>
      <c r="K719" s="13">
        <f>$B$7*(A719*Z$71+B719*AA$71+C719*AB$71+D719*AC$71)+F719/100*$B$7*AE$71-$C$71</f>
        <v/>
      </c>
      <c r="L719" s="13">
        <f>$B$7*(A719*AG$71+B719*AH$71+C719*AI$71+D719*AJ$71)+F719/100*$B$7*AL$71-$C$71</f>
        <v/>
      </c>
      <c r="M719" s="13">
        <f>$B$7*(A719*AN$71+B719*AO$71+C719*AP$71+D719*AQ$71)+F719/100*$B$7*AS$71-$C$71</f>
        <v/>
      </c>
      <c r="N719" s="13">
        <f>SUMPRODUCT($H$24:$M$24,H719:M719)</f>
        <v/>
      </c>
      <c r="O719" s="14">
        <f>SQRT(SUMPRODUCT($H$24:$M$24,(H719:M719-N719)^2))</f>
        <v/>
      </c>
      <c r="P719" s="13">
        <f>MIN(H719:M719)</f>
        <v/>
      </c>
      <c r="Q719" s="13">
        <f>MAX(H719:M719)</f>
        <v/>
      </c>
      <c r="R719" s="27">
        <f>IF(G719,SUMPRODUCT(($G$76:$G$1505)*($N$76:$N$1505&gt;=N719)*($O$76:$O$1505&lt;=O719))=1,FALSE)</f>
        <v/>
      </c>
      <c r="S719" s="16">
        <f>IF(R719,ABS((O719-$AC$76)/MAX(0.0001,$AC$77-$AC$76)-(N719-$AC$78)/MAX(0.0001,$AC$79-$AC$78)),-1)</f>
        <v/>
      </c>
      <c r="T719" s="14">
        <f>IF(G719,O719,NA())</f>
        <v/>
      </c>
      <c r="U719" s="13">
        <f>IF(G719,N719,NA())</f>
        <v/>
      </c>
      <c r="V719" s="14">
        <f>IF(R719,O719,NA())</f>
        <v/>
      </c>
      <c r="W719" s="13">
        <f>IF(R719,N719,NA())</f>
        <v/>
      </c>
      <c r="X719" s="27">
        <f>IF(G719,P719,"")</f>
        <v/>
      </c>
      <c r="Y719" s="27">
        <f>IF(G719,N719,"")</f>
        <v/>
      </c>
      <c r="Z719" s="27">
        <f>IF(R719,O719,"")</f>
        <v/>
      </c>
      <c r="AA719" s="27">
        <f>IF(R719,N719,"")</f>
        <v/>
      </c>
    </row>
    <row r="720">
      <c r="A720" s="31" t="n">
        <v>0.2</v>
      </c>
      <c r="B720" s="31" t="n">
        <v>0</v>
      </c>
      <c r="C720" s="31" t="n">
        <v>0.7</v>
      </c>
      <c r="D720" s="31" t="n">
        <v>0.1</v>
      </c>
      <c r="E720" s="27" t="inlineStr">
        <is>
          <t>ON 20%/2M 70%/3M 10%</t>
        </is>
      </c>
      <c r="F720" s="27" t="n">
        <v>100</v>
      </c>
      <c r="G720" s="27">
        <f>A720*$B$7&gt;=$B$9</f>
        <v/>
      </c>
      <c r="H720" s="13">
        <f>$B$7*(A720*E$71+B720*F$71+C720*G$71+D720*H$71)+F720/100*$B$7*J$71-$C$71</f>
        <v/>
      </c>
      <c r="I720" s="13">
        <f>$B$7*(A720*L$71+B720*M$71+C720*N$71+D720*O$71)+F720/100*$B$7*Q$71-$C$71</f>
        <v/>
      </c>
      <c r="J720" s="13">
        <f>$B$7*(A720*S$71+B720*T$71+C720*U$71+D720*V$71)+F720/100*$B$7*X$71-$C$71</f>
        <v/>
      </c>
      <c r="K720" s="13">
        <f>$B$7*(A720*Z$71+B720*AA$71+C720*AB$71+D720*AC$71)+F720/100*$B$7*AE$71-$C$71</f>
        <v/>
      </c>
      <c r="L720" s="13">
        <f>$B$7*(A720*AG$71+B720*AH$71+C720*AI$71+D720*AJ$71)+F720/100*$B$7*AL$71-$C$71</f>
        <v/>
      </c>
      <c r="M720" s="13">
        <f>$B$7*(A720*AN$71+B720*AO$71+C720*AP$71+D720*AQ$71)+F720/100*$B$7*AS$71-$C$71</f>
        <v/>
      </c>
      <c r="N720" s="13">
        <f>SUMPRODUCT($H$24:$M$24,H720:M720)</f>
        <v/>
      </c>
      <c r="O720" s="14">
        <f>SQRT(SUMPRODUCT($H$24:$M$24,(H720:M720-N720)^2))</f>
        <v/>
      </c>
      <c r="P720" s="13">
        <f>MIN(H720:M720)</f>
        <v/>
      </c>
      <c r="Q720" s="13">
        <f>MAX(H720:M720)</f>
        <v/>
      </c>
      <c r="R720" s="27">
        <f>IF(G720,SUMPRODUCT(($G$76:$G$1505)*($N$76:$N$1505&gt;=N720)*($O$76:$O$1505&lt;=O720))=1,FALSE)</f>
        <v/>
      </c>
      <c r="S720" s="16">
        <f>IF(R720,ABS((O720-$AC$76)/MAX(0.0001,$AC$77-$AC$76)-(N720-$AC$78)/MAX(0.0001,$AC$79-$AC$78)),-1)</f>
        <v/>
      </c>
      <c r="T720" s="14">
        <f>IF(G720,O720,NA())</f>
        <v/>
      </c>
      <c r="U720" s="13">
        <f>IF(G720,N720,NA())</f>
        <v/>
      </c>
      <c r="V720" s="14">
        <f>IF(R720,O720,NA())</f>
        <v/>
      </c>
      <c r="W720" s="13">
        <f>IF(R720,N720,NA())</f>
        <v/>
      </c>
      <c r="X720" s="27">
        <f>IF(G720,P720,"")</f>
        <v/>
      </c>
      <c r="Y720" s="27">
        <f>IF(G720,N720,"")</f>
        <v/>
      </c>
      <c r="Z720" s="27">
        <f>IF(R720,O720,"")</f>
        <v/>
      </c>
      <c r="AA720" s="27">
        <f>IF(R720,N720,"")</f>
        <v/>
      </c>
    </row>
    <row r="721">
      <c r="A721" s="31" t="n">
        <v>0.2</v>
      </c>
      <c r="B721" s="31" t="n">
        <v>0</v>
      </c>
      <c r="C721" s="31" t="n">
        <v>0.8</v>
      </c>
      <c r="D721" s="31" t="n">
        <v>0</v>
      </c>
      <c r="E721" s="27" t="inlineStr">
        <is>
          <t>ON 20%/2M 80%</t>
        </is>
      </c>
      <c r="F721" s="27" t="n">
        <v>0</v>
      </c>
      <c r="G721" s="27">
        <f>A721*$B$7&gt;=$B$9</f>
        <v/>
      </c>
      <c r="H721" s="13">
        <f>$B$7*(A721*E$71+B721*F$71+C721*G$71+D721*H$71)+F721/100*$B$7*J$71-$C$71</f>
        <v/>
      </c>
      <c r="I721" s="13">
        <f>$B$7*(A721*L$71+B721*M$71+C721*N$71+D721*O$71)+F721/100*$B$7*Q$71-$C$71</f>
        <v/>
      </c>
      <c r="J721" s="13">
        <f>$B$7*(A721*S$71+B721*T$71+C721*U$71+D721*V$71)+F721/100*$B$7*X$71-$C$71</f>
        <v/>
      </c>
      <c r="K721" s="13">
        <f>$B$7*(A721*Z$71+B721*AA$71+C721*AB$71+D721*AC$71)+F721/100*$B$7*AE$71-$C$71</f>
        <v/>
      </c>
      <c r="L721" s="13">
        <f>$B$7*(A721*AG$71+B721*AH$71+C721*AI$71+D721*AJ$71)+F721/100*$B$7*AL$71-$C$71</f>
        <v/>
      </c>
      <c r="M721" s="13">
        <f>$B$7*(A721*AN$71+B721*AO$71+C721*AP$71+D721*AQ$71)+F721/100*$B$7*AS$71-$C$71</f>
        <v/>
      </c>
      <c r="N721" s="13">
        <f>SUMPRODUCT($H$24:$M$24,H721:M721)</f>
        <v/>
      </c>
      <c r="O721" s="14">
        <f>SQRT(SUMPRODUCT($H$24:$M$24,(H721:M721-N721)^2))</f>
        <v/>
      </c>
      <c r="P721" s="13">
        <f>MIN(H721:M721)</f>
        <v/>
      </c>
      <c r="Q721" s="13">
        <f>MAX(H721:M721)</f>
        <v/>
      </c>
      <c r="R721" s="27">
        <f>IF(G721,SUMPRODUCT(($G$76:$G$1505)*($N$76:$N$1505&gt;=N721)*($O$76:$O$1505&lt;=O721))=1,FALSE)</f>
        <v/>
      </c>
      <c r="S721" s="16">
        <f>IF(R721,ABS((O721-$AC$76)/MAX(0.0001,$AC$77-$AC$76)-(N721-$AC$78)/MAX(0.0001,$AC$79-$AC$78)),-1)</f>
        <v/>
      </c>
      <c r="T721" s="14">
        <f>IF(G721,O721,NA())</f>
        <v/>
      </c>
      <c r="U721" s="13">
        <f>IF(G721,N721,NA())</f>
        <v/>
      </c>
      <c r="V721" s="14">
        <f>IF(R721,O721,NA())</f>
        <v/>
      </c>
      <c r="W721" s="13">
        <f>IF(R721,N721,NA())</f>
        <v/>
      </c>
      <c r="X721" s="27">
        <f>IF(G721,P721,"")</f>
        <v/>
      </c>
      <c r="Y721" s="27">
        <f>IF(G721,N721,"")</f>
        <v/>
      </c>
      <c r="Z721" s="27">
        <f>IF(R721,O721,"")</f>
        <v/>
      </c>
      <c r="AA721" s="27">
        <f>IF(R721,N721,"")</f>
        <v/>
      </c>
    </row>
    <row r="722">
      <c r="A722" s="31" t="n">
        <v>0.2</v>
      </c>
      <c r="B722" s="31" t="n">
        <v>0</v>
      </c>
      <c r="C722" s="31" t="n">
        <v>0.8</v>
      </c>
      <c r="D722" s="31" t="n">
        <v>0</v>
      </c>
      <c r="E722" s="27" t="inlineStr">
        <is>
          <t>ON 20%/2M 80%</t>
        </is>
      </c>
      <c r="F722" s="27" t="n">
        <v>25</v>
      </c>
      <c r="G722" s="27">
        <f>A722*$B$7&gt;=$B$9</f>
        <v/>
      </c>
      <c r="H722" s="13">
        <f>$B$7*(A722*E$71+B722*F$71+C722*G$71+D722*H$71)+F722/100*$B$7*J$71-$C$71</f>
        <v/>
      </c>
      <c r="I722" s="13">
        <f>$B$7*(A722*L$71+B722*M$71+C722*N$71+D722*O$71)+F722/100*$B$7*Q$71-$C$71</f>
        <v/>
      </c>
      <c r="J722" s="13">
        <f>$B$7*(A722*S$71+B722*T$71+C722*U$71+D722*V$71)+F722/100*$B$7*X$71-$C$71</f>
        <v/>
      </c>
      <c r="K722" s="13">
        <f>$B$7*(A722*Z$71+B722*AA$71+C722*AB$71+D722*AC$71)+F722/100*$B$7*AE$71-$C$71</f>
        <v/>
      </c>
      <c r="L722" s="13">
        <f>$B$7*(A722*AG$71+B722*AH$71+C722*AI$71+D722*AJ$71)+F722/100*$B$7*AL$71-$C$71</f>
        <v/>
      </c>
      <c r="M722" s="13">
        <f>$B$7*(A722*AN$71+B722*AO$71+C722*AP$71+D722*AQ$71)+F722/100*$B$7*AS$71-$C$71</f>
        <v/>
      </c>
      <c r="N722" s="13">
        <f>SUMPRODUCT($H$24:$M$24,H722:M722)</f>
        <v/>
      </c>
      <c r="O722" s="14">
        <f>SQRT(SUMPRODUCT($H$24:$M$24,(H722:M722-N722)^2))</f>
        <v/>
      </c>
      <c r="P722" s="13">
        <f>MIN(H722:M722)</f>
        <v/>
      </c>
      <c r="Q722" s="13">
        <f>MAX(H722:M722)</f>
        <v/>
      </c>
      <c r="R722" s="27">
        <f>IF(G722,SUMPRODUCT(($G$76:$G$1505)*($N$76:$N$1505&gt;=N722)*($O$76:$O$1505&lt;=O722))=1,FALSE)</f>
        <v/>
      </c>
      <c r="S722" s="16">
        <f>IF(R722,ABS((O722-$AC$76)/MAX(0.0001,$AC$77-$AC$76)-(N722-$AC$78)/MAX(0.0001,$AC$79-$AC$78)),-1)</f>
        <v/>
      </c>
      <c r="T722" s="14">
        <f>IF(G722,O722,NA())</f>
        <v/>
      </c>
      <c r="U722" s="13">
        <f>IF(G722,N722,NA())</f>
        <v/>
      </c>
      <c r="V722" s="14">
        <f>IF(R722,O722,NA())</f>
        <v/>
      </c>
      <c r="W722" s="13">
        <f>IF(R722,N722,NA())</f>
        <v/>
      </c>
      <c r="X722" s="27">
        <f>IF(G722,P722,"")</f>
        <v/>
      </c>
      <c r="Y722" s="27">
        <f>IF(G722,N722,"")</f>
        <v/>
      </c>
      <c r="Z722" s="27">
        <f>IF(R722,O722,"")</f>
        <v/>
      </c>
      <c r="AA722" s="27">
        <f>IF(R722,N722,"")</f>
        <v/>
      </c>
    </row>
    <row r="723">
      <c r="A723" s="31" t="n">
        <v>0.2</v>
      </c>
      <c r="B723" s="31" t="n">
        <v>0</v>
      </c>
      <c r="C723" s="31" t="n">
        <v>0.8</v>
      </c>
      <c r="D723" s="31" t="n">
        <v>0</v>
      </c>
      <c r="E723" s="27" t="inlineStr">
        <is>
          <t>ON 20%/2M 80%</t>
        </is>
      </c>
      <c r="F723" s="27" t="n">
        <v>50</v>
      </c>
      <c r="G723" s="27">
        <f>A723*$B$7&gt;=$B$9</f>
        <v/>
      </c>
      <c r="H723" s="13">
        <f>$B$7*(A723*E$71+B723*F$71+C723*G$71+D723*H$71)+F723/100*$B$7*J$71-$C$71</f>
        <v/>
      </c>
      <c r="I723" s="13">
        <f>$B$7*(A723*L$71+B723*M$71+C723*N$71+D723*O$71)+F723/100*$B$7*Q$71-$C$71</f>
        <v/>
      </c>
      <c r="J723" s="13">
        <f>$B$7*(A723*S$71+B723*T$71+C723*U$71+D723*V$71)+F723/100*$B$7*X$71-$C$71</f>
        <v/>
      </c>
      <c r="K723" s="13">
        <f>$B$7*(A723*Z$71+B723*AA$71+C723*AB$71+D723*AC$71)+F723/100*$B$7*AE$71-$C$71</f>
        <v/>
      </c>
      <c r="L723" s="13">
        <f>$B$7*(A723*AG$71+B723*AH$71+C723*AI$71+D723*AJ$71)+F723/100*$B$7*AL$71-$C$71</f>
        <v/>
      </c>
      <c r="M723" s="13">
        <f>$B$7*(A723*AN$71+B723*AO$71+C723*AP$71+D723*AQ$71)+F723/100*$B$7*AS$71-$C$71</f>
        <v/>
      </c>
      <c r="N723" s="13">
        <f>SUMPRODUCT($H$24:$M$24,H723:M723)</f>
        <v/>
      </c>
      <c r="O723" s="14">
        <f>SQRT(SUMPRODUCT($H$24:$M$24,(H723:M723-N723)^2))</f>
        <v/>
      </c>
      <c r="P723" s="13">
        <f>MIN(H723:M723)</f>
        <v/>
      </c>
      <c r="Q723" s="13">
        <f>MAX(H723:M723)</f>
        <v/>
      </c>
      <c r="R723" s="27">
        <f>IF(G723,SUMPRODUCT(($G$76:$G$1505)*($N$76:$N$1505&gt;=N723)*($O$76:$O$1505&lt;=O723))=1,FALSE)</f>
        <v/>
      </c>
      <c r="S723" s="16">
        <f>IF(R723,ABS((O723-$AC$76)/MAX(0.0001,$AC$77-$AC$76)-(N723-$AC$78)/MAX(0.0001,$AC$79-$AC$78)),-1)</f>
        <v/>
      </c>
      <c r="T723" s="14">
        <f>IF(G723,O723,NA())</f>
        <v/>
      </c>
      <c r="U723" s="13">
        <f>IF(G723,N723,NA())</f>
        <v/>
      </c>
      <c r="V723" s="14">
        <f>IF(R723,O723,NA())</f>
        <v/>
      </c>
      <c r="W723" s="13">
        <f>IF(R723,N723,NA())</f>
        <v/>
      </c>
      <c r="X723" s="27">
        <f>IF(G723,P723,"")</f>
        <v/>
      </c>
      <c r="Y723" s="27">
        <f>IF(G723,N723,"")</f>
        <v/>
      </c>
      <c r="Z723" s="27">
        <f>IF(R723,O723,"")</f>
        <v/>
      </c>
      <c r="AA723" s="27">
        <f>IF(R723,N723,"")</f>
        <v/>
      </c>
    </row>
    <row r="724">
      <c r="A724" s="31" t="n">
        <v>0.2</v>
      </c>
      <c r="B724" s="31" t="n">
        <v>0</v>
      </c>
      <c r="C724" s="31" t="n">
        <v>0.8</v>
      </c>
      <c r="D724" s="31" t="n">
        <v>0</v>
      </c>
      <c r="E724" s="27" t="inlineStr">
        <is>
          <t>ON 20%/2M 80%</t>
        </is>
      </c>
      <c r="F724" s="27" t="n">
        <v>75</v>
      </c>
      <c r="G724" s="27">
        <f>A724*$B$7&gt;=$B$9</f>
        <v/>
      </c>
      <c r="H724" s="13">
        <f>$B$7*(A724*E$71+B724*F$71+C724*G$71+D724*H$71)+F724/100*$B$7*J$71-$C$71</f>
        <v/>
      </c>
      <c r="I724" s="13">
        <f>$B$7*(A724*L$71+B724*M$71+C724*N$71+D724*O$71)+F724/100*$B$7*Q$71-$C$71</f>
        <v/>
      </c>
      <c r="J724" s="13">
        <f>$B$7*(A724*S$71+B724*T$71+C724*U$71+D724*V$71)+F724/100*$B$7*X$71-$C$71</f>
        <v/>
      </c>
      <c r="K724" s="13">
        <f>$B$7*(A724*Z$71+B724*AA$71+C724*AB$71+D724*AC$71)+F724/100*$B$7*AE$71-$C$71</f>
        <v/>
      </c>
      <c r="L724" s="13">
        <f>$B$7*(A724*AG$71+B724*AH$71+C724*AI$71+D724*AJ$71)+F724/100*$B$7*AL$71-$C$71</f>
        <v/>
      </c>
      <c r="M724" s="13">
        <f>$B$7*(A724*AN$71+B724*AO$71+C724*AP$71+D724*AQ$71)+F724/100*$B$7*AS$71-$C$71</f>
        <v/>
      </c>
      <c r="N724" s="13">
        <f>SUMPRODUCT($H$24:$M$24,H724:M724)</f>
        <v/>
      </c>
      <c r="O724" s="14">
        <f>SQRT(SUMPRODUCT($H$24:$M$24,(H724:M724-N724)^2))</f>
        <v/>
      </c>
      <c r="P724" s="13">
        <f>MIN(H724:M724)</f>
        <v/>
      </c>
      <c r="Q724" s="13">
        <f>MAX(H724:M724)</f>
        <v/>
      </c>
      <c r="R724" s="27">
        <f>IF(G724,SUMPRODUCT(($G$76:$G$1505)*($N$76:$N$1505&gt;=N724)*($O$76:$O$1505&lt;=O724))=1,FALSE)</f>
        <v/>
      </c>
      <c r="S724" s="16">
        <f>IF(R724,ABS((O724-$AC$76)/MAX(0.0001,$AC$77-$AC$76)-(N724-$AC$78)/MAX(0.0001,$AC$79-$AC$78)),-1)</f>
        <v/>
      </c>
      <c r="T724" s="14">
        <f>IF(G724,O724,NA())</f>
        <v/>
      </c>
      <c r="U724" s="13">
        <f>IF(G724,N724,NA())</f>
        <v/>
      </c>
      <c r="V724" s="14">
        <f>IF(R724,O724,NA())</f>
        <v/>
      </c>
      <c r="W724" s="13">
        <f>IF(R724,N724,NA())</f>
        <v/>
      </c>
      <c r="X724" s="27">
        <f>IF(G724,P724,"")</f>
        <v/>
      </c>
      <c r="Y724" s="27">
        <f>IF(G724,N724,"")</f>
        <v/>
      </c>
      <c r="Z724" s="27">
        <f>IF(R724,O724,"")</f>
        <v/>
      </c>
      <c r="AA724" s="27">
        <f>IF(R724,N724,"")</f>
        <v/>
      </c>
    </row>
    <row r="725">
      <c r="A725" s="31" t="n">
        <v>0.2</v>
      </c>
      <c r="B725" s="31" t="n">
        <v>0</v>
      </c>
      <c r="C725" s="31" t="n">
        <v>0.8</v>
      </c>
      <c r="D725" s="31" t="n">
        <v>0</v>
      </c>
      <c r="E725" s="27" t="inlineStr">
        <is>
          <t>ON 20%/2M 80%</t>
        </is>
      </c>
      <c r="F725" s="27" t="n">
        <v>100</v>
      </c>
      <c r="G725" s="27">
        <f>A725*$B$7&gt;=$B$9</f>
        <v/>
      </c>
      <c r="H725" s="13">
        <f>$B$7*(A725*E$71+B725*F$71+C725*G$71+D725*H$71)+F725/100*$B$7*J$71-$C$71</f>
        <v/>
      </c>
      <c r="I725" s="13">
        <f>$B$7*(A725*L$71+B725*M$71+C725*N$71+D725*O$71)+F725/100*$B$7*Q$71-$C$71</f>
        <v/>
      </c>
      <c r="J725" s="13">
        <f>$B$7*(A725*S$71+B725*T$71+C725*U$71+D725*V$71)+F725/100*$B$7*X$71-$C$71</f>
        <v/>
      </c>
      <c r="K725" s="13">
        <f>$B$7*(A725*Z$71+B725*AA$71+C725*AB$71+D725*AC$71)+F725/100*$B$7*AE$71-$C$71</f>
        <v/>
      </c>
      <c r="L725" s="13">
        <f>$B$7*(A725*AG$71+B725*AH$71+C725*AI$71+D725*AJ$71)+F725/100*$B$7*AL$71-$C$71</f>
        <v/>
      </c>
      <c r="M725" s="13">
        <f>$B$7*(A725*AN$71+B725*AO$71+C725*AP$71+D725*AQ$71)+F725/100*$B$7*AS$71-$C$71</f>
        <v/>
      </c>
      <c r="N725" s="13">
        <f>SUMPRODUCT($H$24:$M$24,H725:M725)</f>
        <v/>
      </c>
      <c r="O725" s="14">
        <f>SQRT(SUMPRODUCT($H$24:$M$24,(H725:M725-N725)^2))</f>
        <v/>
      </c>
      <c r="P725" s="13">
        <f>MIN(H725:M725)</f>
        <v/>
      </c>
      <c r="Q725" s="13">
        <f>MAX(H725:M725)</f>
        <v/>
      </c>
      <c r="R725" s="27">
        <f>IF(G725,SUMPRODUCT(($G$76:$G$1505)*($N$76:$N$1505&gt;=N725)*($O$76:$O$1505&lt;=O725))=1,FALSE)</f>
        <v/>
      </c>
      <c r="S725" s="16">
        <f>IF(R725,ABS((O725-$AC$76)/MAX(0.0001,$AC$77-$AC$76)-(N725-$AC$78)/MAX(0.0001,$AC$79-$AC$78)),-1)</f>
        <v/>
      </c>
      <c r="T725" s="14">
        <f>IF(G725,O725,NA())</f>
        <v/>
      </c>
      <c r="U725" s="13">
        <f>IF(G725,N725,NA())</f>
        <v/>
      </c>
      <c r="V725" s="14">
        <f>IF(R725,O725,NA())</f>
        <v/>
      </c>
      <c r="W725" s="13">
        <f>IF(R725,N725,NA())</f>
        <v/>
      </c>
      <c r="X725" s="27">
        <f>IF(G725,P725,"")</f>
        <v/>
      </c>
      <c r="Y725" s="27">
        <f>IF(G725,N725,"")</f>
        <v/>
      </c>
      <c r="Z725" s="27">
        <f>IF(R725,O725,"")</f>
        <v/>
      </c>
      <c r="AA725" s="27">
        <f>IF(R725,N725,"")</f>
        <v/>
      </c>
    </row>
    <row r="726">
      <c r="A726" s="31" t="n">
        <v>0.2</v>
      </c>
      <c r="B726" s="31" t="n">
        <v>0.1</v>
      </c>
      <c r="C726" s="31" t="n">
        <v>0</v>
      </c>
      <c r="D726" s="31" t="n">
        <v>0.7</v>
      </c>
      <c r="E726" s="27" t="inlineStr">
        <is>
          <t>ON 20%/1M 10%/3M 70%</t>
        </is>
      </c>
      <c r="F726" s="27" t="n">
        <v>0</v>
      </c>
      <c r="G726" s="27">
        <f>A726*$B$7&gt;=$B$9</f>
        <v/>
      </c>
      <c r="H726" s="13">
        <f>$B$7*(A726*E$71+B726*F$71+C726*G$71+D726*H$71)+F726/100*$B$7*J$71-$C$71</f>
        <v/>
      </c>
      <c r="I726" s="13">
        <f>$B$7*(A726*L$71+B726*M$71+C726*N$71+D726*O$71)+F726/100*$B$7*Q$71-$C$71</f>
        <v/>
      </c>
      <c r="J726" s="13">
        <f>$B$7*(A726*S$71+B726*T$71+C726*U$71+D726*V$71)+F726/100*$B$7*X$71-$C$71</f>
        <v/>
      </c>
      <c r="K726" s="13">
        <f>$B$7*(A726*Z$71+B726*AA$71+C726*AB$71+D726*AC$71)+F726/100*$B$7*AE$71-$C$71</f>
        <v/>
      </c>
      <c r="L726" s="13">
        <f>$B$7*(A726*AG$71+B726*AH$71+C726*AI$71+D726*AJ$71)+F726/100*$B$7*AL$71-$C$71</f>
        <v/>
      </c>
      <c r="M726" s="13">
        <f>$B$7*(A726*AN$71+B726*AO$71+C726*AP$71+D726*AQ$71)+F726/100*$B$7*AS$71-$C$71</f>
        <v/>
      </c>
      <c r="N726" s="13">
        <f>SUMPRODUCT($H$24:$M$24,H726:M726)</f>
        <v/>
      </c>
      <c r="O726" s="14">
        <f>SQRT(SUMPRODUCT($H$24:$M$24,(H726:M726-N726)^2))</f>
        <v/>
      </c>
      <c r="P726" s="13">
        <f>MIN(H726:M726)</f>
        <v/>
      </c>
      <c r="Q726" s="13">
        <f>MAX(H726:M726)</f>
        <v/>
      </c>
      <c r="R726" s="27">
        <f>IF(G726,SUMPRODUCT(($G$76:$G$1505)*($N$76:$N$1505&gt;=N726)*($O$76:$O$1505&lt;=O726))=1,FALSE)</f>
        <v/>
      </c>
      <c r="S726" s="16">
        <f>IF(R726,ABS((O726-$AC$76)/MAX(0.0001,$AC$77-$AC$76)-(N726-$AC$78)/MAX(0.0001,$AC$79-$AC$78)),-1)</f>
        <v/>
      </c>
      <c r="T726" s="14">
        <f>IF(G726,O726,NA())</f>
        <v/>
      </c>
      <c r="U726" s="13">
        <f>IF(G726,N726,NA())</f>
        <v/>
      </c>
      <c r="V726" s="14">
        <f>IF(R726,O726,NA())</f>
        <v/>
      </c>
      <c r="W726" s="13">
        <f>IF(R726,N726,NA())</f>
        <v/>
      </c>
      <c r="X726" s="27">
        <f>IF(G726,P726,"")</f>
        <v/>
      </c>
      <c r="Y726" s="27">
        <f>IF(G726,N726,"")</f>
        <v/>
      </c>
      <c r="Z726" s="27">
        <f>IF(R726,O726,"")</f>
        <v/>
      </c>
      <c r="AA726" s="27">
        <f>IF(R726,N726,"")</f>
        <v/>
      </c>
    </row>
    <row r="727">
      <c r="A727" s="31" t="n">
        <v>0.2</v>
      </c>
      <c r="B727" s="31" t="n">
        <v>0.1</v>
      </c>
      <c r="C727" s="31" t="n">
        <v>0</v>
      </c>
      <c r="D727" s="31" t="n">
        <v>0.7</v>
      </c>
      <c r="E727" s="27" t="inlineStr">
        <is>
          <t>ON 20%/1M 10%/3M 70%</t>
        </is>
      </c>
      <c r="F727" s="27" t="n">
        <v>25</v>
      </c>
      <c r="G727" s="27">
        <f>A727*$B$7&gt;=$B$9</f>
        <v/>
      </c>
      <c r="H727" s="13">
        <f>$B$7*(A727*E$71+B727*F$71+C727*G$71+D727*H$71)+F727/100*$B$7*J$71-$C$71</f>
        <v/>
      </c>
      <c r="I727" s="13">
        <f>$B$7*(A727*L$71+B727*M$71+C727*N$71+D727*O$71)+F727/100*$B$7*Q$71-$C$71</f>
        <v/>
      </c>
      <c r="J727" s="13">
        <f>$B$7*(A727*S$71+B727*T$71+C727*U$71+D727*V$71)+F727/100*$B$7*X$71-$C$71</f>
        <v/>
      </c>
      <c r="K727" s="13">
        <f>$B$7*(A727*Z$71+B727*AA$71+C727*AB$71+D727*AC$71)+F727/100*$B$7*AE$71-$C$71</f>
        <v/>
      </c>
      <c r="L727" s="13">
        <f>$B$7*(A727*AG$71+B727*AH$71+C727*AI$71+D727*AJ$71)+F727/100*$B$7*AL$71-$C$71</f>
        <v/>
      </c>
      <c r="M727" s="13">
        <f>$B$7*(A727*AN$71+B727*AO$71+C727*AP$71+D727*AQ$71)+F727/100*$B$7*AS$71-$C$71</f>
        <v/>
      </c>
      <c r="N727" s="13">
        <f>SUMPRODUCT($H$24:$M$24,H727:M727)</f>
        <v/>
      </c>
      <c r="O727" s="14">
        <f>SQRT(SUMPRODUCT($H$24:$M$24,(H727:M727-N727)^2))</f>
        <v/>
      </c>
      <c r="P727" s="13">
        <f>MIN(H727:M727)</f>
        <v/>
      </c>
      <c r="Q727" s="13">
        <f>MAX(H727:M727)</f>
        <v/>
      </c>
      <c r="R727" s="27">
        <f>IF(G727,SUMPRODUCT(($G$76:$G$1505)*($N$76:$N$1505&gt;=N727)*($O$76:$O$1505&lt;=O727))=1,FALSE)</f>
        <v/>
      </c>
      <c r="S727" s="16">
        <f>IF(R727,ABS((O727-$AC$76)/MAX(0.0001,$AC$77-$AC$76)-(N727-$AC$78)/MAX(0.0001,$AC$79-$AC$78)),-1)</f>
        <v/>
      </c>
      <c r="T727" s="14">
        <f>IF(G727,O727,NA())</f>
        <v/>
      </c>
      <c r="U727" s="13">
        <f>IF(G727,N727,NA())</f>
        <v/>
      </c>
      <c r="V727" s="14">
        <f>IF(R727,O727,NA())</f>
        <v/>
      </c>
      <c r="W727" s="13">
        <f>IF(R727,N727,NA())</f>
        <v/>
      </c>
      <c r="X727" s="27">
        <f>IF(G727,P727,"")</f>
        <v/>
      </c>
      <c r="Y727" s="27">
        <f>IF(G727,N727,"")</f>
        <v/>
      </c>
      <c r="Z727" s="27">
        <f>IF(R727,O727,"")</f>
        <v/>
      </c>
      <c r="AA727" s="27">
        <f>IF(R727,N727,"")</f>
        <v/>
      </c>
    </row>
    <row r="728">
      <c r="A728" s="31" t="n">
        <v>0.2</v>
      </c>
      <c r="B728" s="31" t="n">
        <v>0.1</v>
      </c>
      <c r="C728" s="31" t="n">
        <v>0</v>
      </c>
      <c r="D728" s="31" t="n">
        <v>0.7</v>
      </c>
      <c r="E728" s="27" t="inlineStr">
        <is>
          <t>ON 20%/1M 10%/3M 70%</t>
        </is>
      </c>
      <c r="F728" s="27" t="n">
        <v>50</v>
      </c>
      <c r="G728" s="27">
        <f>A728*$B$7&gt;=$B$9</f>
        <v/>
      </c>
      <c r="H728" s="13">
        <f>$B$7*(A728*E$71+B728*F$71+C728*G$71+D728*H$71)+F728/100*$B$7*J$71-$C$71</f>
        <v/>
      </c>
      <c r="I728" s="13">
        <f>$B$7*(A728*L$71+B728*M$71+C728*N$71+D728*O$71)+F728/100*$B$7*Q$71-$C$71</f>
        <v/>
      </c>
      <c r="J728" s="13">
        <f>$B$7*(A728*S$71+B728*T$71+C728*U$71+D728*V$71)+F728/100*$B$7*X$71-$C$71</f>
        <v/>
      </c>
      <c r="K728" s="13">
        <f>$B$7*(A728*Z$71+B728*AA$71+C728*AB$71+D728*AC$71)+F728/100*$B$7*AE$71-$C$71</f>
        <v/>
      </c>
      <c r="L728" s="13">
        <f>$B$7*(A728*AG$71+B728*AH$71+C728*AI$71+D728*AJ$71)+F728/100*$B$7*AL$71-$C$71</f>
        <v/>
      </c>
      <c r="M728" s="13">
        <f>$B$7*(A728*AN$71+B728*AO$71+C728*AP$71+D728*AQ$71)+F728/100*$B$7*AS$71-$C$71</f>
        <v/>
      </c>
      <c r="N728" s="13">
        <f>SUMPRODUCT($H$24:$M$24,H728:M728)</f>
        <v/>
      </c>
      <c r="O728" s="14">
        <f>SQRT(SUMPRODUCT($H$24:$M$24,(H728:M728-N728)^2))</f>
        <v/>
      </c>
      <c r="P728" s="13">
        <f>MIN(H728:M728)</f>
        <v/>
      </c>
      <c r="Q728" s="13">
        <f>MAX(H728:M728)</f>
        <v/>
      </c>
      <c r="R728" s="27">
        <f>IF(G728,SUMPRODUCT(($G$76:$G$1505)*($N$76:$N$1505&gt;=N728)*($O$76:$O$1505&lt;=O728))=1,FALSE)</f>
        <v/>
      </c>
      <c r="S728" s="16">
        <f>IF(R728,ABS((O728-$AC$76)/MAX(0.0001,$AC$77-$AC$76)-(N728-$AC$78)/MAX(0.0001,$AC$79-$AC$78)),-1)</f>
        <v/>
      </c>
      <c r="T728" s="14">
        <f>IF(G728,O728,NA())</f>
        <v/>
      </c>
      <c r="U728" s="13">
        <f>IF(G728,N728,NA())</f>
        <v/>
      </c>
      <c r="V728" s="14">
        <f>IF(R728,O728,NA())</f>
        <v/>
      </c>
      <c r="W728" s="13">
        <f>IF(R728,N728,NA())</f>
        <v/>
      </c>
      <c r="X728" s="27">
        <f>IF(G728,P728,"")</f>
        <v/>
      </c>
      <c r="Y728" s="27">
        <f>IF(G728,N728,"")</f>
        <v/>
      </c>
      <c r="Z728" s="27">
        <f>IF(R728,O728,"")</f>
        <v/>
      </c>
      <c r="AA728" s="27">
        <f>IF(R728,N728,"")</f>
        <v/>
      </c>
    </row>
    <row r="729">
      <c r="A729" s="31" t="n">
        <v>0.2</v>
      </c>
      <c r="B729" s="31" t="n">
        <v>0.1</v>
      </c>
      <c r="C729" s="31" t="n">
        <v>0</v>
      </c>
      <c r="D729" s="31" t="n">
        <v>0.7</v>
      </c>
      <c r="E729" s="27" t="inlineStr">
        <is>
          <t>ON 20%/1M 10%/3M 70%</t>
        </is>
      </c>
      <c r="F729" s="27" t="n">
        <v>75</v>
      </c>
      <c r="G729" s="27">
        <f>A729*$B$7&gt;=$B$9</f>
        <v/>
      </c>
      <c r="H729" s="13">
        <f>$B$7*(A729*E$71+B729*F$71+C729*G$71+D729*H$71)+F729/100*$B$7*J$71-$C$71</f>
        <v/>
      </c>
      <c r="I729" s="13">
        <f>$B$7*(A729*L$71+B729*M$71+C729*N$71+D729*O$71)+F729/100*$B$7*Q$71-$C$71</f>
        <v/>
      </c>
      <c r="J729" s="13">
        <f>$B$7*(A729*S$71+B729*T$71+C729*U$71+D729*V$71)+F729/100*$B$7*X$71-$C$71</f>
        <v/>
      </c>
      <c r="K729" s="13">
        <f>$B$7*(A729*Z$71+B729*AA$71+C729*AB$71+D729*AC$71)+F729/100*$B$7*AE$71-$C$71</f>
        <v/>
      </c>
      <c r="L729" s="13">
        <f>$B$7*(A729*AG$71+B729*AH$71+C729*AI$71+D729*AJ$71)+F729/100*$B$7*AL$71-$C$71</f>
        <v/>
      </c>
      <c r="M729" s="13">
        <f>$B$7*(A729*AN$71+B729*AO$71+C729*AP$71+D729*AQ$71)+F729/100*$B$7*AS$71-$C$71</f>
        <v/>
      </c>
      <c r="N729" s="13">
        <f>SUMPRODUCT($H$24:$M$24,H729:M729)</f>
        <v/>
      </c>
      <c r="O729" s="14">
        <f>SQRT(SUMPRODUCT($H$24:$M$24,(H729:M729-N729)^2))</f>
        <v/>
      </c>
      <c r="P729" s="13">
        <f>MIN(H729:M729)</f>
        <v/>
      </c>
      <c r="Q729" s="13">
        <f>MAX(H729:M729)</f>
        <v/>
      </c>
      <c r="R729" s="27">
        <f>IF(G729,SUMPRODUCT(($G$76:$G$1505)*($N$76:$N$1505&gt;=N729)*($O$76:$O$1505&lt;=O729))=1,FALSE)</f>
        <v/>
      </c>
      <c r="S729" s="16">
        <f>IF(R729,ABS((O729-$AC$76)/MAX(0.0001,$AC$77-$AC$76)-(N729-$AC$78)/MAX(0.0001,$AC$79-$AC$78)),-1)</f>
        <v/>
      </c>
      <c r="T729" s="14">
        <f>IF(G729,O729,NA())</f>
        <v/>
      </c>
      <c r="U729" s="13">
        <f>IF(G729,N729,NA())</f>
        <v/>
      </c>
      <c r="V729" s="14">
        <f>IF(R729,O729,NA())</f>
        <v/>
      </c>
      <c r="W729" s="13">
        <f>IF(R729,N729,NA())</f>
        <v/>
      </c>
      <c r="X729" s="27">
        <f>IF(G729,P729,"")</f>
        <v/>
      </c>
      <c r="Y729" s="27">
        <f>IF(G729,N729,"")</f>
        <v/>
      </c>
      <c r="Z729" s="27">
        <f>IF(R729,O729,"")</f>
        <v/>
      </c>
      <c r="AA729" s="27">
        <f>IF(R729,N729,"")</f>
        <v/>
      </c>
    </row>
    <row r="730">
      <c r="A730" s="31" t="n">
        <v>0.2</v>
      </c>
      <c r="B730" s="31" t="n">
        <v>0.1</v>
      </c>
      <c r="C730" s="31" t="n">
        <v>0</v>
      </c>
      <c r="D730" s="31" t="n">
        <v>0.7</v>
      </c>
      <c r="E730" s="27" t="inlineStr">
        <is>
          <t>ON 20%/1M 10%/3M 70%</t>
        </is>
      </c>
      <c r="F730" s="27" t="n">
        <v>100</v>
      </c>
      <c r="G730" s="27">
        <f>A730*$B$7&gt;=$B$9</f>
        <v/>
      </c>
      <c r="H730" s="13">
        <f>$B$7*(A730*E$71+B730*F$71+C730*G$71+D730*H$71)+F730/100*$B$7*J$71-$C$71</f>
        <v/>
      </c>
      <c r="I730" s="13">
        <f>$B$7*(A730*L$71+B730*M$71+C730*N$71+D730*O$71)+F730/100*$B$7*Q$71-$C$71</f>
        <v/>
      </c>
      <c r="J730" s="13">
        <f>$B$7*(A730*S$71+B730*T$71+C730*U$71+D730*V$71)+F730/100*$B$7*X$71-$C$71</f>
        <v/>
      </c>
      <c r="K730" s="13">
        <f>$B$7*(A730*Z$71+B730*AA$71+C730*AB$71+D730*AC$71)+F730/100*$B$7*AE$71-$C$71</f>
        <v/>
      </c>
      <c r="L730" s="13">
        <f>$B$7*(A730*AG$71+B730*AH$71+C730*AI$71+D730*AJ$71)+F730/100*$B$7*AL$71-$C$71</f>
        <v/>
      </c>
      <c r="M730" s="13">
        <f>$B$7*(A730*AN$71+B730*AO$71+C730*AP$71+D730*AQ$71)+F730/100*$B$7*AS$71-$C$71</f>
        <v/>
      </c>
      <c r="N730" s="13">
        <f>SUMPRODUCT($H$24:$M$24,H730:M730)</f>
        <v/>
      </c>
      <c r="O730" s="14">
        <f>SQRT(SUMPRODUCT($H$24:$M$24,(H730:M730-N730)^2))</f>
        <v/>
      </c>
      <c r="P730" s="13">
        <f>MIN(H730:M730)</f>
        <v/>
      </c>
      <c r="Q730" s="13">
        <f>MAX(H730:M730)</f>
        <v/>
      </c>
      <c r="R730" s="27">
        <f>IF(G730,SUMPRODUCT(($G$76:$G$1505)*($N$76:$N$1505&gt;=N730)*($O$76:$O$1505&lt;=O730))=1,FALSE)</f>
        <v/>
      </c>
      <c r="S730" s="16">
        <f>IF(R730,ABS((O730-$AC$76)/MAX(0.0001,$AC$77-$AC$76)-(N730-$AC$78)/MAX(0.0001,$AC$79-$AC$78)),-1)</f>
        <v/>
      </c>
      <c r="T730" s="14">
        <f>IF(G730,O730,NA())</f>
        <v/>
      </c>
      <c r="U730" s="13">
        <f>IF(G730,N730,NA())</f>
        <v/>
      </c>
      <c r="V730" s="14">
        <f>IF(R730,O730,NA())</f>
        <v/>
      </c>
      <c r="W730" s="13">
        <f>IF(R730,N730,NA())</f>
        <v/>
      </c>
      <c r="X730" s="27">
        <f>IF(G730,P730,"")</f>
        <v/>
      </c>
      <c r="Y730" s="27">
        <f>IF(G730,N730,"")</f>
        <v/>
      </c>
      <c r="Z730" s="27">
        <f>IF(R730,O730,"")</f>
        <v/>
      </c>
      <c r="AA730" s="27">
        <f>IF(R730,N730,"")</f>
        <v/>
      </c>
    </row>
    <row r="731">
      <c r="A731" s="31" t="n">
        <v>0.2</v>
      </c>
      <c r="B731" s="31" t="n">
        <v>0.1</v>
      </c>
      <c r="C731" s="31" t="n">
        <v>0.1</v>
      </c>
      <c r="D731" s="31" t="n">
        <v>0.6</v>
      </c>
      <c r="E731" s="27" t="inlineStr">
        <is>
          <t>ON 20%/1M 10%/2M 10%/3M 60%</t>
        </is>
      </c>
      <c r="F731" s="27" t="n">
        <v>0</v>
      </c>
      <c r="G731" s="27">
        <f>A731*$B$7&gt;=$B$9</f>
        <v/>
      </c>
      <c r="H731" s="13">
        <f>$B$7*(A731*E$71+B731*F$71+C731*G$71+D731*H$71)+F731/100*$B$7*J$71-$C$71</f>
        <v/>
      </c>
      <c r="I731" s="13">
        <f>$B$7*(A731*L$71+B731*M$71+C731*N$71+D731*O$71)+F731/100*$B$7*Q$71-$C$71</f>
        <v/>
      </c>
      <c r="J731" s="13">
        <f>$B$7*(A731*S$71+B731*T$71+C731*U$71+D731*V$71)+F731/100*$B$7*X$71-$C$71</f>
        <v/>
      </c>
      <c r="K731" s="13">
        <f>$B$7*(A731*Z$71+B731*AA$71+C731*AB$71+D731*AC$71)+F731/100*$B$7*AE$71-$C$71</f>
        <v/>
      </c>
      <c r="L731" s="13">
        <f>$B$7*(A731*AG$71+B731*AH$71+C731*AI$71+D731*AJ$71)+F731/100*$B$7*AL$71-$C$71</f>
        <v/>
      </c>
      <c r="M731" s="13">
        <f>$B$7*(A731*AN$71+B731*AO$71+C731*AP$71+D731*AQ$71)+F731/100*$B$7*AS$71-$C$71</f>
        <v/>
      </c>
      <c r="N731" s="13">
        <f>SUMPRODUCT($H$24:$M$24,H731:M731)</f>
        <v/>
      </c>
      <c r="O731" s="14">
        <f>SQRT(SUMPRODUCT($H$24:$M$24,(H731:M731-N731)^2))</f>
        <v/>
      </c>
      <c r="P731" s="13">
        <f>MIN(H731:M731)</f>
        <v/>
      </c>
      <c r="Q731" s="13">
        <f>MAX(H731:M731)</f>
        <v/>
      </c>
      <c r="R731" s="27">
        <f>IF(G731,SUMPRODUCT(($G$76:$G$1505)*($N$76:$N$1505&gt;=N731)*($O$76:$O$1505&lt;=O731))=1,FALSE)</f>
        <v/>
      </c>
      <c r="S731" s="16">
        <f>IF(R731,ABS((O731-$AC$76)/MAX(0.0001,$AC$77-$AC$76)-(N731-$AC$78)/MAX(0.0001,$AC$79-$AC$78)),-1)</f>
        <v/>
      </c>
      <c r="T731" s="14">
        <f>IF(G731,O731,NA())</f>
        <v/>
      </c>
      <c r="U731" s="13">
        <f>IF(G731,N731,NA())</f>
        <v/>
      </c>
      <c r="V731" s="14">
        <f>IF(R731,O731,NA())</f>
        <v/>
      </c>
      <c r="W731" s="13">
        <f>IF(R731,N731,NA())</f>
        <v/>
      </c>
      <c r="X731" s="27">
        <f>IF(G731,P731,"")</f>
        <v/>
      </c>
      <c r="Y731" s="27">
        <f>IF(G731,N731,"")</f>
        <v/>
      </c>
      <c r="Z731" s="27">
        <f>IF(R731,O731,"")</f>
        <v/>
      </c>
      <c r="AA731" s="27">
        <f>IF(R731,N731,"")</f>
        <v/>
      </c>
    </row>
    <row r="732">
      <c r="A732" s="31" t="n">
        <v>0.2</v>
      </c>
      <c r="B732" s="31" t="n">
        <v>0.1</v>
      </c>
      <c r="C732" s="31" t="n">
        <v>0.1</v>
      </c>
      <c r="D732" s="31" t="n">
        <v>0.6</v>
      </c>
      <c r="E732" s="27" t="inlineStr">
        <is>
          <t>ON 20%/1M 10%/2M 10%/3M 60%</t>
        </is>
      </c>
      <c r="F732" s="27" t="n">
        <v>25</v>
      </c>
      <c r="G732" s="27">
        <f>A732*$B$7&gt;=$B$9</f>
        <v/>
      </c>
      <c r="H732" s="13">
        <f>$B$7*(A732*E$71+B732*F$71+C732*G$71+D732*H$71)+F732/100*$B$7*J$71-$C$71</f>
        <v/>
      </c>
      <c r="I732" s="13">
        <f>$B$7*(A732*L$71+B732*M$71+C732*N$71+D732*O$71)+F732/100*$B$7*Q$71-$C$71</f>
        <v/>
      </c>
      <c r="J732" s="13">
        <f>$B$7*(A732*S$71+B732*T$71+C732*U$71+D732*V$71)+F732/100*$B$7*X$71-$C$71</f>
        <v/>
      </c>
      <c r="K732" s="13">
        <f>$B$7*(A732*Z$71+B732*AA$71+C732*AB$71+D732*AC$71)+F732/100*$B$7*AE$71-$C$71</f>
        <v/>
      </c>
      <c r="L732" s="13">
        <f>$B$7*(A732*AG$71+B732*AH$71+C732*AI$71+D732*AJ$71)+F732/100*$B$7*AL$71-$C$71</f>
        <v/>
      </c>
      <c r="M732" s="13">
        <f>$B$7*(A732*AN$71+B732*AO$71+C732*AP$71+D732*AQ$71)+F732/100*$B$7*AS$71-$C$71</f>
        <v/>
      </c>
      <c r="N732" s="13">
        <f>SUMPRODUCT($H$24:$M$24,H732:M732)</f>
        <v/>
      </c>
      <c r="O732" s="14">
        <f>SQRT(SUMPRODUCT($H$24:$M$24,(H732:M732-N732)^2))</f>
        <v/>
      </c>
      <c r="P732" s="13">
        <f>MIN(H732:M732)</f>
        <v/>
      </c>
      <c r="Q732" s="13">
        <f>MAX(H732:M732)</f>
        <v/>
      </c>
      <c r="R732" s="27">
        <f>IF(G732,SUMPRODUCT(($G$76:$G$1505)*($N$76:$N$1505&gt;=N732)*($O$76:$O$1505&lt;=O732))=1,FALSE)</f>
        <v/>
      </c>
      <c r="S732" s="16">
        <f>IF(R732,ABS((O732-$AC$76)/MAX(0.0001,$AC$77-$AC$76)-(N732-$AC$78)/MAX(0.0001,$AC$79-$AC$78)),-1)</f>
        <v/>
      </c>
      <c r="T732" s="14">
        <f>IF(G732,O732,NA())</f>
        <v/>
      </c>
      <c r="U732" s="13">
        <f>IF(G732,N732,NA())</f>
        <v/>
      </c>
      <c r="V732" s="14">
        <f>IF(R732,O732,NA())</f>
        <v/>
      </c>
      <c r="W732" s="13">
        <f>IF(R732,N732,NA())</f>
        <v/>
      </c>
      <c r="X732" s="27">
        <f>IF(G732,P732,"")</f>
        <v/>
      </c>
      <c r="Y732" s="27">
        <f>IF(G732,N732,"")</f>
        <v/>
      </c>
      <c r="Z732" s="27">
        <f>IF(R732,O732,"")</f>
        <v/>
      </c>
      <c r="AA732" s="27">
        <f>IF(R732,N732,"")</f>
        <v/>
      </c>
    </row>
    <row r="733">
      <c r="A733" s="31" t="n">
        <v>0.2</v>
      </c>
      <c r="B733" s="31" t="n">
        <v>0.1</v>
      </c>
      <c r="C733" s="31" t="n">
        <v>0.1</v>
      </c>
      <c r="D733" s="31" t="n">
        <v>0.6</v>
      </c>
      <c r="E733" s="27" t="inlineStr">
        <is>
          <t>ON 20%/1M 10%/2M 10%/3M 60%</t>
        </is>
      </c>
      <c r="F733" s="27" t="n">
        <v>50</v>
      </c>
      <c r="G733" s="27">
        <f>A733*$B$7&gt;=$B$9</f>
        <v/>
      </c>
      <c r="H733" s="13">
        <f>$B$7*(A733*E$71+B733*F$71+C733*G$71+D733*H$71)+F733/100*$B$7*J$71-$C$71</f>
        <v/>
      </c>
      <c r="I733" s="13">
        <f>$B$7*(A733*L$71+B733*M$71+C733*N$71+D733*O$71)+F733/100*$B$7*Q$71-$C$71</f>
        <v/>
      </c>
      <c r="J733" s="13">
        <f>$B$7*(A733*S$71+B733*T$71+C733*U$71+D733*V$71)+F733/100*$B$7*X$71-$C$71</f>
        <v/>
      </c>
      <c r="K733" s="13">
        <f>$B$7*(A733*Z$71+B733*AA$71+C733*AB$71+D733*AC$71)+F733/100*$B$7*AE$71-$C$71</f>
        <v/>
      </c>
      <c r="L733" s="13">
        <f>$B$7*(A733*AG$71+B733*AH$71+C733*AI$71+D733*AJ$71)+F733/100*$B$7*AL$71-$C$71</f>
        <v/>
      </c>
      <c r="M733" s="13">
        <f>$B$7*(A733*AN$71+B733*AO$71+C733*AP$71+D733*AQ$71)+F733/100*$B$7*AS$71-$C$71</f>
        <v/>
      </c>
      <c r="N733" s="13">
        <f>SUMPRODUCT($H$24:$M$24,H733:M733)</f>
        <v/>
      </c>
      <c r="O733" s="14">
        <f>SQRT(SUMPRODUCT($H$24:$M$24,(H733:M733-N733)^2))</f>
        <v/>
      </c>
      <c r="P733" s="13">
        <f>MIN(H733:M733)</f>
        <v/>
      </c>
      <c r="Q733" s="13">
        <f>MAX(H733:M733)</f>
        <v/>
      </c>
      <c r="R733" s="27">
        <f>IF(G733,SUMPRODUCT(($G$76:$G$1505)*($N$76:$N$1505&gt;=N733)*($O$76:$O$1505&lt;=O733))=1,FALSE)</f>
        <v/>
      </c>
      <c r="S733" s="16">
        <f>IF(R733,ABS((O733-$AC$76)/MAX(0.0001,$AC$77-$AC$76)-(N733-$AC$78)/MAX(0.0001,$AC$79-$AC$78)),-1)</f>
        <v/>
      </c>
      <c r="T733" s="14">
        <f>IF(G733,O733,NA())</f>
        <v/>
      </c>
      <c r="U733" s="13">
        <f>IF(G733,N733,NA())</f>
        <v/>
      </c>
      <c r="V733" s="14">
        <f>IF(R733,O733,NA())</f>
        <v/>
      </c>
      <c r="W733" s="13">
        <f>IF(R733,N733,NA())</f>
        <v/>
      </c>
      <c r="X733" s="27">
        <f>IF(G733,P733,"")</f>
        <v/>
      </c>
      <c r="Y733" s="27">
        <f>IF(G733,N733,"")</f>
        <v/>
      </c>
      <c r="Z733" s="27">
        <f>IF(R733,O733,"")</f>
        <v/>
      </c>
      <c r="AA733" s="27">
        <f>IF(R733,N733,"")</f>
        <v/>
      </c>
    </row>
    <row r="734">
      <c r="A734" s="31" t="n">
        <v>0.2</v>
      </c>
      <c r="B734" s="31" t="n">
        <v>0.1</v>
      </c>
      <c r="C734" s="31" t="n">
        <v>0.1</v>
      </c>
      <c r="D734" s="31" t="n">
        <v>0.6</v>
      </c>
      <c r="E734" s="27" t="inlineStr">
        <is>
          <t>ON 20%/1M 10%/2M 10%/3M 60%</t>
        </is>
      </c>
      <c r="F734" s="27" t="n">
        <v>75</v>
      </c>
      <c r="G734" s="27">
        <f>A734*$B$7&gt;=$B$9</f>
        <v/>
      </c>
      <c r="H734" s="13">
        <f>$B$7*(A734*E$71+B734*F$71+C734*G$71+D734*H$71)+F734/100*$B$7*J$71-$C$71</f>
        <v/>
      </c>
      <c r="I734" s="13">
        <f>$B$7*(A734*L$71+B734*M$71+C734*N$71+D734*O$71)+F734/100*$B$7*Q$71-$C$71</f>
        <v/>
      </c>
      <c r="J734" s="13">
        <f>$B$7*(A734*S$71+B734*T$71+C734*U$71+D734*V$71)+F734/100*$B$7*X$71-$C$71</f>
        <v/>
      </c>
      <c r="K734" s="13">
        <f>$B$7*(A734*Z$71+B734*AA$71+C734*AB$71+D734*AC$71)+F734/100*$B$7*AE$71-$C$71</f>
        <v/>
      </c>
      <c r="L734" s="13">
        <f>$B$7*(A734*AG$71+B734*AH$71+C734*AI$71+D734*AJ$71)+F734/100*$B$7*AL$71-$C$71</f>
        <v/>
      </c>
      <c r="M734" s="13">
        <f>$B$7*(A734*AN$71+B734*AO$71+C734*AP$71+D734*AQ$71)+F734/100*$B$7*AS$71-$C$71</f>
        <v/>
      </c>
      <c r="N734" s="13">
        <f>SUMPRODUCT($H$24:$M$24,H734:M734)</f>
        <v/>
      </c>
      <c r="O734" s="14">
        <f>SQRT(SUMPRODUCT($H$24:$M$24,(H734:M734-N734)^2))</f>
        <v/>
      </c>
      <c r="P734" s="13">
        <f>MIN(H734:M734)</f>
        <v/>
      </c>
      <c r="Q734" s="13">
        <f>MAX(H734:M734)</f>
        <v/>
      </c>
      <c r="R734" s="27">
        <f>IF(G734,SUMPRODUCT(($G$76:$G$1505)*($N$76:$N$1505&gt;=N734)*($O$76:$O$1505&lt;=O734))=1,FALSE)</f>
        <v/>
      </c>
      <c r="S734" s="16">
        <f>IF(R734,ABS((O734-$AC$76)/MAX(0.0001,$AC$77-$AC$76)-(N734-$AC$78)/MAX(0.0001,$AC$79-$AC$78)),-1)</f>
        <v/>
      </c>
      <c r="T734" s="14">
        <f>IF(G734,O734,NA())</f>
        <v/>
      </c>
      <c r="U734" s="13">
        <f>IF(G734,N734,NA())</f>
        <v/>
      </c>
      <c r="V734" s="14">
        <f>IF(R734,O734,NA())</f>
        <v/>
      </c>
      <c r="W734" s="13">
        <f>IF(R734,N734,NA())</f>
        <v/>
      </c>
      <c r="X734" s="27">
        <f>IF(G734,P734,"")</f>
        <v/>
      </c>
      <c r="Y734" s="27">
        <f>IF(G734,N734,"")</f>
        <v/>
      </c>
      <c r="Z734" s="27">
        <f>IF(R734,O734,"")</f>
        <v/>
      </c>
      <c r="AA734" s="27">
        <f>IF(R734,N734,"")</f>
        <v/>
      </c>
    </row>
    <row r="735">
      <c r="A735" s="31" t="n">
        <v>0.2</v>
      </c>
      <c r="B735" s="31" t="n">
        <v>0.1</v>
      </c>
      <c r="C735" s="31" t="n">
        <v>0.1</v>
      </c>
      <c r="D735" s="31" t="n">
        <v>0.6</v>
      </c>
      <c r="E735" s="27" t="inlineStr">
        <is>
          <t>ON 20%/1M 10%/2M 10%/3M 60%</t>
        </is>
      </c>
      <c r="F735" s="27" t="n">
        <v>100</v>
      </c>
      <c r="G735" s="27">
        <f>A735*$B$7&gt;=$B$9</f>
        <v/>
      </c>
      <c r="H735" s="13">
        <f>$B$7*(A735*E$71+B735*F$71+C735*G$71+D735*H$71)+F735/100*$B$7*J$71-$C$71</f>
        <v/>
      </c>
      <c r="I735" s="13">
        <f>$B$7*(A735*L$71+B735*M$71+C735*N$71+D735*O$71)+F735/100*$B$7*Q$71-$C$71</f>
        <v/>
      </c>
      <c r="J735" s="13">
        <f>$B$7*(A735*S$71+B735*T$71+C735*U$71+D735*V$71)+F735/100*$B$7*X$71-$C$71</f>
        <v/>
      </c>
      <c r="K735" s="13">
        <f>$B$7*(A735*Z$71+B735*AA$71+C735*AB$71+D735*AC$71)+F735/100*$B$7*AE$71-$C$71</f>
        <v/>
      </c>
      <c r="L735" s="13">
        <f>$B$7*(A735*AG$71+B735*AH$71+C735*AI$71+D735*AJ$71)+F735/100*$B$7*AL$71-$C$71</f>
        <v/>
      </c>
      <c r="M735" s="13">
        <f>$B$7*(A735*AN$71+B735*AO$71+C735*AP$71+D735*AQ$71)+F735/100*$B$7*AS$71-$C$71</f>
        <v/>
      </c>
      <c r="N735" s="13">
        <f>SUMPRODUCT($H$24:$M$24,H735:M735)</f>
        <v/>
      </c>
      <c r="O735" s="14">
        <f>SQRT(SUMPRODUCT($H$24:$M$24,(H735:M735-N735)^2))</f>
        <v/>
      </c>
      <c r="P735" s="13">
        <f>MIN(H735:M735)</f>
        <v/>
      </c>
      <c r="Q735" s="13">
        <f>MAX(H735:M735)</f>
        <v/>
      </c>
      <c r="R735" s="27">
        <f>IF(G735,SUMPRODUCT(($G$76:$G$1505)*($N$76:$N$1505&gt;=N735)*($O$76:$O$1505&lt;=O735))=1,FALSE)</f>
        <v/>
      </c>
      <c r="S735" s="16">
        <f>IF(R735,ABS((O735-$AC$76)/MAX(0.0001,$AC$77-$AC$76)-(N735-$AC$78)/MAX(0.0001,$AC$79-$AC$78)),-1)</f>
        <v/>
      </c>
      <c r="T735" s="14">
        <f>IF(G735,O735,NA())</f>
        <v/>
      </c>
      <c r="U735" s="13">
        <f>IF(G735,N735,NA())</f>
        <v/>
      </c>
      <c r="V735" s="14">
        <f>IF(R735,O735,NA())</f>
        <v/>
      </c>
      <c r="W735" s="13">
        <f>IF(R735,N735,NA())</f>
        <v/>
      </c>
      <c r="X735" s="27">
        <f>IF(G735,P735,"")</f>
        <v/>
      </c>
      <c r="Y735" s="27">
        <f>IF(G735,N735,"")</f>
        <v/>
      </c>
      <c r="Z735" s="27">
        <f>IF(R735,O735,"")</f>
        <v/>
      </c>
      <c r="AA735" s="27">
        <f>IF(R735,N735,"")</f>
        <v/>
      </c>
    </row>
    <row r="736">
      <c r="A736" s="31" t="n">
        <v>0.2</v>
      </c>
      <c r="B736" s="31" t="n">
        <v>0.1</v>
      </c>
      <c r="C736" s="31" t="n">
        <v>0.2</v>
      </c>
      <c r="D736" s="31" t="n">
        <v>0.5</v>
      </c>
      <c r="E736" s="27" t="inlineStr">
        <is>
          <t>ON 20%/1M 10%/2M 20%/3M 50%</t>
        </is>
      </c>
      <c r="F736" s="27" t="n">
        <v>0</v>
      </c>
      <c r="G736" s="27">
        <f>A736*$B$7&gt;=$B$9</f>
        <v/>
      </c>
      <c r="H736" s="13">
        <f>$B$7*(A736*E$71+B736*F$71+C736*G$71+D736*H$71)+F736/100*$B$7*J$71-$C$71</f>
        <v/>
      </c>
      <c r="I736" s="13">
        <f>$B$7*(A736*L$71+B736*M$71+C736*N$71+D736*O$71)+F736/100*$B$7*Q$71-$C$71</f>
        <v/>
      </c>
      <c r="J736" s="13">
        <f>$B$7*(A736*S$71+B736*T$71+C736*U$71+D736*V$71)+F736/100*$B$7*X$71-$C$71</f>
        <v/>
      </c>
      <c r="K736" s="13">
        <f>$B$7*(A736*Z$71+B736*AA$71+C736*AB$71+D736*AC$71)+F736/100*$B$7*AE$71-$C$71</f>
        <v/>
      </c>
      <c r="L736" s="13">
        <f>$B$7*(A736*AG$71+B736*AH$71+C736*AI$71+D736*AJ$71)+F736/100*$B$7*AL$71-$C$71</f>
        <v/>
      </c>
      <c r="M736" s="13">
        <f>$B$7*(A736*AN$71+B736*AO$71+C736*AP$71+D736*AQ$71)+F736/100*$B$7*AS$71-$C$71</f>
        <v/>
      </c>
      <c r="N736" s="13">
        <f>SUMPRODUCT($H$24:$M$24,H736:M736)</f>
        <v/>
      </c>
      <c r="O736" s="14">
        <f>SQRT(SUMPRODUCT($H$24:$M$24,(H736:M736-N736)^2))</f>
        <v/>
      </c>
      <c r="P736" s="13">
        <f>MIN(H736:M736)</f>
        <v/>
      </c>
      <c r="Q736" s="13">
        <f>MAX(H736:M736)</f>
        <v/>
      </c>
      <c r="R736" s="27">
        <f>IF(G736,SUMPRODUCT(($G$76:$G$1505)*($N$76:$N$1505&gt;=N736)*($O$76:$O$1505&lt;=O736))=1,FALSE)</f>
        <v/>
      </c>
      <c r="S736" s="16">
        <f>IF(R736,ABS((O736-$AC$76)/MAX(0.0001,$AC$77-$AC$76)-(N736-$AC$78)/MAX(0.0001,$AC$79-$AC$78)),-1)</f>
        <v/>
      </c>
      <c r="T736" s="14">
        <f>IF(G736,O736,NA())</f>
        <v/>
      </c>
      <c r="U736" s="13">
        <f>IF(G736,N736,NA())</f>
        <v/>
      </c>
      <c r="V736" s="14">
        <f>IF(R736,O736,NA())</f>
        <v/>
      </c>
      <c r="W736" s="13">
        <f>IF(R736,N736,NA())</f>
        <v/>
      </c>
      <c r="X736" s="27">
        <f>IF(G736,P736,"")</f>
        <v/>
      </c>
      <c r="Y736" s="27">
        <f>IF(G736,N736,"")</f>
        <v/>
      </c>
      <c r="Z736" s="27">
        <f>IF(R736,O736,"")</f>
        <v/>
      </c>
      <c r="AA736" s="27">
        <f>IF(R736,N736,"")</f>
        <v/>
      </c>
    </row>
    <row r="737">
      <c r="A737" s="31" t="n">
        <v>0.2</v>
      </c>
      <c r="B737" s="31" t="n">
        <v>0.1</v>
      </c>
      <c r="C737" s="31" t="n">
        <v>0.2</v>
      </c>
      <c r="D737" s="31" t="n">
        <v>0.5</v>
      </c>
      <c r="E737" s="27" t="inlineStr">
        <is>
          <t>ON 20%/1M 10%/2M 20%/3M 50%</t>
        </is>
      </c>
      <c r="F737" s="27" t="n">
        <v>25</v>
      </c>
      <c r="G737" s="27">
        <f>A737*$B$7&gt;=$B$9</f>
        <v/>
      </c>
      <c r="H737" s="13">
        <f>$B$7*(A737*E$71+B737*F$71+C737*G$71+D737*H$71)+F737/100*$B$7*J$71-$C$71</f>
        <v/>
      </c>
      <c r="I737" s="13">
        <f>$B$7*(A737*L$71+B737*M$71+C737*N$71+D737*O$71)+F737/100*$B$7*Q$71-$C$71</f>
        <v/>
      </c>
      <c r="J737" s="13">
        <f>$B$7*(A737*S$71+B737*T$71+C737*U$71+D737*V$71)+F737/100*$B$7*X$71-$C$71</f>
        <v/>
      </c>
      <c r="K737" s="13">
        <f>$B$7*(A737*Z$71+B737*AA$71+C737*AB$71+D737*AC$71)+F737/100*$B$7*AE$71-$C$71</f>
        <v/>
      </c>
      <c r="L737" s="13">
        <f>$B$7*(A737*AG$71+B737*AH$71+C737*AI$71+D737*AJ$71)+F737/100*$B$7*AL$71-$C$71</f>
        <v/>
      </c>
      <c r="M737" s="13">
        <f>$B$7*(A737*AN$71+B737*AO$71+C737*AP$71+D737*AQ$71)+F737/100*$B$7*AS$71-$C$71</f>
        <v/>
      </c>
      <c r="N737" s="13">
        <f>SUMPRODUCT($H$24:$M$24,H737:M737)</f>
        <v/>
      </c>
      <c r="O737" s="14">
        <f>SQRT(SUMPRODUCT($H$24:$M$24,(H737:M737-N737)^2))</f>
        <v/>
      </c>
      <c r="P737" s="13">
        <f>MIN(H737:M737)</f>
        <v/>
      </c>
      <c r="Q737" s="13">
        <f>MAX(H737:M737)</f>
        <v/>
      </c>
      <c r="R737" s="27">
        <f>IF(G737,SUMPRODUCT(($G$76:$G$1505)*($N$76:$N$1505&gt;=N737)*($O$76:$O$1505&lt;=O737))=1,FALSE)</f>
        <v/>
      </c>
      <c r="S737" s="16">
        <f>IF(R737,ABS((O737-$AC$76)/MAX(0.0001,$AC$77-$AC$76)-(N737-$AC$78)/MAX(0.0001,$AC$79-$AC$78)),-1)</f>
        <v/>
      </c>
      <c r="T737" s="14">
        <f>IF(G737,O737,NA())</f>
        <v/>
      </c>
      <c r="U737" s="13">
        <f>IF(G737,N737,NA())</f>
        <v/>
      </c>
      <c r="V737" s="14">
        <f>IF(R737,O737,NA())</f>
        <v/>
      </c>
      <c r="W737" s="13">
        <f>IF(R737,N737,NA())</f>
        <v/>
      </c>
      <c r="X737" s="27">
        <f>IF(G737,P737,"")</f>
        <v/>
      </c>
      <c r="Y737" s="27">
        <f>IF(G737,N737,"")</f>
        <v/>
      </c>
      <c r="Z737" s="27">
        <f>IF(R737,O737,"")</f>
        <v/>
      </c>
      <c r="AA737" s="27">
        <f>IF(R737,N737,"")</f>
        <v/>
      </c>
    </row>
    <row r="738">
      <c r="A738" s="31" t="n">
        <v>0.2</v>
      </c>
      <c r="B738" s="31" t="n">
        <v>0.1</v>
      </c>
      <c r="C738" s="31" t="n">
        <v>0.2</v>
      </c>
      <c r="D738" s="31" t="n">
        <v>0.5</v>
      </c>
      <c r="E738" s="27" t="inlineStr">
        <is>
          <t>ON 20%/1M 10%/2M 20%/3M 50%</t>
        </is>
      </c>
      <c r="F738" s="27" t="n">
        <v>50</v>
      </c>
      <c r="G738" s="27">
        <f>A738*$B$7&gt;=$B$9</f>
        <v/>
      </c>
      <c r="H738" s="13">
        <f>$B$7*(A738*E$71+B738*F$71+C738*G$71+D738*H$71)+F738/100*$B$7*J$71-$C$71</f>
        <v/>
      </c>
      <c r="I738" s="13">
        <f>$B$7*(A738*L$71+B738*M$71+C738*N$71+D738*O$71)+F738/100*$B$7*Q$71-$C$71</f>
        <v/>
      </c>
      <c r="J738" s="13">
        <f>$B$7*(A738*S$71+B738*T$71+C738*U$71+D738*V$71)+F738/100*$B$7*X$71-$C$71</f>
        <v/>
      </c>
      <c r="K738" s="13">
        <f>$B$7*(A738*Z$71+B738*AA$71+C738*AB$71+D738*AC$71)+F738/100*$B$7*AE$71-$C$71</f>
        <v/>
      </c>
      <c r="L738" s="13">
        <f>$B$7*(A738*AG$71+B738*AH$71+C738*AI$71+D738*AJ$71)+F738/100*$B$7*AL$71-$C$71</f>
        <v/>
      </c>
      <c r="M738" s="13">
        <f>$B$7*(A738*AN$71+B738*AO$71+C738*AP$71+D738*AQ$71)+F738/100*$B$7*AS$71-$C$71</f>
        <v/>
      </c>
      <c r="N738" s="13">
        <f>SUMPRODUCT($H$24:$M$24,H738:M738)</f>
        <v/>
      </c>
      <c r="O738" s="14">
        <f>SQRT(SUMPRODUCT($H$24:$M$24,(H738:M738-N738)^2))</f>
        <v/>
      </c>
      <c r="P738" s="13">
        <f>MIN(H738:M738)</f>
        <v/>
      </c>
      <c r="Q738" s="13">
        <f>MAX(H738:M738)</f>
        <v/>
      </c>
      <c r="R738" s="27">
        <f>IF(G738,SUMPRODUCT(($G$76:$G$1505)*($N$76:$N$1505&gt;=N738)*($O$76:$O$1505&lt;=O738))=1,FALSE)</f>
        <v/>
      </c>
      <c r="S738" s="16">
        <f>IF(R738,ABS((O738-$AC$76)/MAX(0.0001,$AC$77-$AC$76)-(N738-$AC$78)/MAX(0.0001,$AC$79-$AC$78)),-1)</f>
        <v/>
      </c>
      <c r="T738" s="14">
        <f>IF(G738,O738,NA())</f>
        <v/>
      </c>
      <c r="U738" s="13">
        <f>IF(G738,N738,NA())</f>
        <v/>
      </c>
      <c r="V738" s="14">
        <f>IF(R738,O738,NA())</f>
        <v/>
      </c>
      <c r="W738" s="13">
        <f>IF(R738,N738,NA())</f>
        <v/>
      </c>
      <c r="X738" s="27">
        <f>IF(G738,P738,"")</f>
        <v/>
      </c>
      <c r="Y738" s="27">
        <f>IF(G738,N738,"")</f>
        <v/>
      </c>
      <c r="Z738" s="27">
        <f>IF(R738,O738,"")</f>
        <v/>
      </c>
      <c r="AA738" s="27">
        <f>IF(R738,N738,"")</f>
        <v/>
      </c>
    </row>
    <row r="739">
      <c r="A739" s="31" t="n">
        <v>0.2</v>
      </c>
      <c r="B739" s="31" t="n">
        <v>0.1</v>
      </c>
      <c r="C739" s="31" t="n">
        <v>0.2</v>
      </c>
      <c r="D739" s="31" t="n">
        <v>0.5</v>
      </c>
      <c r="E739" s="27" t="inlineStr">
        <is>
          <t>ON 20%/1M 10%/2M 20%/3M 50%</t>
        </is>
      </c>
      <c r="F739" s="27" t="n">
        <v>75</v>
      </c>
      <c r="G739" s="27">
        <f>A739*$B$7&gt;=$B$9</f>
        <v/>
      </c>
      <c r="H739" s="13">
        <f>$B$7*(A739*E$71+B739*F$71+C739*G$71+D739*H$71)+F739/100*$B$7*J$71-$C$71</f>
        <v/>
      </c>
      <c r="I739" s="13">
        <f>$B$7*(A739*L$71+B739*M$71+C739*N$71+D739*O$71)+F739/100*$B$7*Q$71-$C$71</f>
        <v/>
      </c>
      <c r="J739" s="13">
        <f>$B$7*(A739*S$71+B739*T$71+C739*U$71+D739*V$71)+F739/100*$B$7*X$71-$C$71</f>
        <v/>
      </c>
      <c r="K739" s="13">
        <f>$B$7*(A739*Z$71+B739*AA$71+C739*AB$71+D739*AC$71)+F739/100*$B$7*AE$71-$C$71</f>
        <v/>
      </c>
      <c r="L739" s="13">
        <f>$B$7*(A739*AG$71+B739*AH$71+C739*AI$71+D739*AJ$71)+F739/100*$B$7*AL$71-$C$71</f>
        <v/>
      </c>
      <c r="M739" s="13">
        <f>$B$7*(A739*AN$71+B739*AO$71+C739*AP$71+D739*AQ$71)+F739/100*$B$7*AS$71-$C$71</f>
        <v/>
      </c>
      <c r="N739" s="13">
        <f>SUMPRODUCT($H$24:$M$24,H739:M739)</f>
        <v/>
      </c>
      <c r="O739" s="14">
        <f>SQRT(SUMPRODUCT($H$24:$M$24,(H739:M739-N739)^2))</f>
        <v/>
      </c>
      <c r="P739" s="13">
        <f>MIN(H739:M739)</f>
        <v/>
      </c>
      <c r="Q739" s="13">
        <f>MAX(H739:M739)</f>
        <v/>
      </c>
      <c r="R739" s="27">
        <f>IF(G739,SUMPRODUCT(($G$76:$G$1505)*($N$76:$N$1505&gt;=N739)*($O$76:$O$1505&lt;=O739))=1,FALSE)</f>
        <v/>
      </c>
      <c r="S739" s="16">
        <f>IF(R739,ABS((O739-$AC$76)/MAX(0.0001,$AC$77-$AC$76)-(N739-$AC$78)/MAX(0.0001,$AC$79-$AC$78)),-1)</f>
        <v/>
      </c>
      <c r="T739" s="14">
        <f>IF(G739,O739,NA())</f>
        <v/>
      </c>
      <c r="U739" s="13">
        <f>IF(G739,N739,NA())</f>
        <v/>
      </c>
      <c r="V739" s="14">
        <f>IF(R739,O739,NA())</f>
        <v/>
      </c>
      <c r="W739" s="13">
        <f>IF(R739,N739,NA())</f>
        <v/>
      </c>
      <c r="X739" s="27">
        <f>IF(G739,P739,"")</f>
        <v/>
      </c>
      <c r="Y739" s="27">
        <f>IF(G739,N739,"")</f>
        <v/>
      </c>
      <c r="Z739" s="27">
        <f>IF(R739,O739,"")</f>
        <v/>
      </c>
      <c r="AA739" s="27">
        <f>IF(R739,N739,"")</f>
        <v/>
      </c>
    </row>
    <row r="740">
      <c r="A740" s="31" t="n">
        <v>0.2</v>
      </c>
      <c r="B740" s="31" t="n">
        <v>0.1</v>
      </c>
      <c r="C740" s="31" t="n">
        <v>0.2</v>
      </c>
      <c r="D740" s="31" t="n">
        <v>0.5</v>
      </c>
      <c r="E740" s="27" t="inlineStr">
        <is>
          <t>ON 20%/1M 10%/2M 20%/3M 50%</t>
        </is>
      </c>
      <c r="F740" s="27" t="n">
        <v>100</v>
      </c>
      <c r="G740" s="27">
        <f>A740*$B$7&gt;=$B$9</f>
        <v/>
      </c>
      <c r="H740" s="13">
        <f>$B$7*(A740*E$71+B740*F$71+C740*G$71+D740*H$71)+F740/100*$B$7*J$71-$C$71</f>
        <v/>
      </c>
      <c r="I740" s="13">
        <f>$B$7*(A740*L$71+B740*M$71+C740*N$71+D740*O$71)+F740/100*$B$7*Q$71-$C$71</f>
        <v/>
      </c>
      <c r="J740" s="13">
        <f>$B$7*(A740*S$71+B740*T$71+C740*U$71+D740*V$71)+F740/100*$B$7*X$71-$C$71</f>
        <v/>
      </c>
      <c r="K740" s="13">
        <f>$B$7*(A740*Z$71+B740*AA$71+C740*AB$71+D740*AC$71)+F740/100*$B$7*AE$71-$C$71</f>
        <v/>
      </c>
      <c r="L740" s="13">
        <f>$B$7*(A740*AG$71+B740*AH$71+C740*AI$71+D740*AJ$71)+F740/100*$B$7*AL$71-$C$71</f>
        <v/>
      </c>
      <c r="M740" s="13">
        <f>$B$7*(A740*AN$71+B740*AO$71+C740*AP$71+D740*AQ$71)+F740/100*$B$7*AS$71-$C$71</f>
        <v/>
      </c>
      <c r="N740" s="13">
        <f>SUMPRODUCT($H$24:$M$24,H740:M740)</f>
        <v/>
      </c>
      <c r="O740" s="14">
        <f>SQRT(SUMPRODUCT($H$24:$M$24,(H740:M740-N740)^2))</f>
        <v/>
      </c>
      <c r="P740" s="13">
        <f>MIN(H740:M740)</f>
        <v/>
      </c>
      <c r="Q740" s="13">
        <f>MAX(H740:M740)</f>
        <v/>
      </c>
      <c r="R740" s="27">
        <f>IF(G740,SUMPRODUCT(($G$76:$G$1505)*($N$76:$N$1505&gt;=N740)*($O$76:$O$1505&lt;=O740))=1,FALSE)</f>
        <v/>
      </c>
      <c r="S740" s="16">
        <f>IF(R740,ABS((O740-$AC$76)/MAX(0.0001,$AC$77-$AC$76)-(N740-$AC$78)/MAX(0.0001,$AC$79-$AC$78)),-1)</f>
        <v/>
      </c>
      <c r="T740" s="14">
        <f>IF(G740,O740,NA())</f>
        <v/>
      </c>
      <c r="U740" s="13">
        <f>IF(G740,N740,NA())</f>
        <v/>
      </c>
      <c r="V740" s="14">
        <f>IF(R740,O740,NA())</f>
        <v/>
      </c>
      <c r="W740" s="13">
        <f>IF(R740,N740,NA())</f>
        <v/>
      </c>
      <c r="X740" s="27">
        <f>IF(G740,P740,"")</f>
        <v/>
      </c>
      <c r="Y740" s="27">
        <f>IF(G740,N740,"")</f>
        <v/>
      </c>
      <c r="Z740" s="27">
        <f>IF(R740,O740,"")</f>
        <v/>
      </c>
      <c r="AA740" s="27">
        <f>IF(R740,N740,"")</f>
        <v/>
      </c>
    </row>
    <row r="741">
      <c r="A741" s="31" t="n">
        <v>0.2</v>
      </c>
      <c r="B741" s="31" t="n">
        <v>0.1</v>
      </c>
      <c r="C741" s="31" t="n">
        <v>0.3</v>
      </c>
      <c r="D741" s="31" t="n">
        <v>0.4</v>
      </c>
      <c r="E741" s="27" t="inlineStr">
        <is>
          <t>ON 20%/1M 10%/2M 30%/3M 40%</t>
        </is>
      </c>
      <c r="F741" s="27" t="n">
        <v>0</v>
      </c>
      <c r="G741" s="27">
        <f>A741*$B$7&gt;=$B$9</f>
        <v/>
      </c>
      <c r="H741" s="13">
        <f>$B$7*(A741*E$71+B741*F$71+C741*G$71+D741*H$71)+F741/100*$B$7*J$71-$C$71</f>
        <v/>
      </c>
      <c r="I741" s="13">
        <f>$B$7*(A741*L$71+B741*M$71+C741*N$71+D741*O$71)+F741/100*$B$7*Q$71-$C$71</f>
        <v/>
      </c>
      <c r="J741" s="13">
        <f>$B$7*(A741*S$71+B741*T$71+C741*U$71+D741*V$71)+F741/100*$B$7*X$71-$C$71</f>
        <v/>
      </c>
      <c r="K741" s="13">
        <f>$B$7*(A741*Z$71+B741*AA$71+C741*AB$71+D741*AC$71)+F741/100*$B$7*AE$71-$C$71</f>
        <v/>
      </c>
      <c r="L741" s="13">
        <f>$B$7*(A741*AG$71+B741*AH$71+C741*AI$71+D741*AJ$71)+F741/100*$B$7*AL$71-$C$71</f>
        <v/>
      </c>
      <c r="M741" s="13">
        <f>$B$7*(A741*AN$71+B741*AO$71+C741*AP$71+D741*AQ$71)+F741/100*$B$7*AS$71-$C$71</f>
        <v/>
      </c>
      <c r="N741" s="13">
        <f>SUMPRODUCT($H$24:$M$24,H741:M741)</f>
        <v/>
      </c>
      <c r="O741" s="14">
        <f>SQRT(SUMPRODUCT($H$24:$M$24,(H741:M741-N741)^2))</f>
        <v/>
      </c>
      <c r="P741" s="13">
        <f>MIN(H741:M741)</f>
        <v/>
      </c>
      <c r="Q741" s="13">
        <f>MAX(H741:M741)</f>
        <v/>
      </c>
      <c r="R741" s="27">
        <f>IF(G741,SUMPRODUCT(($G$76:$G$1505)*($N$76:$N$1505&gt;=N741)*($O$76:$O$1505&lt;=O741))=1,FALSE)</f>
        <v/>
      </c>
      <c r="S741" s="16">
        <f>IF(R741,ABS((O741-$AC$76)/MAX(0.0001,$AC$77-$AC$76)-(N741-$AC$78)/MAX(0.0001,$AC$79-$AC$78)),-1)</f>
        <v/>
      </c>
      <c r="T741" s="14">
        <f>IF(G741,O741,NA())</f>
        <v/>
      </c>
      <c r="U741" s="13">
        <f>IF(G741,N741,NA())</f>
        <v/>
      </c>
      <c r="V741" s="14">
        <f>IF(R741,O741,NA())</f>
        <v/>
      </c>
      <c r="W741" s="13">
        <f>IF(R741,N741,NA())</f>
        <v/>
      </c>
      <c r="X741" s="27">
        <f>IF(G741,P741,"")</f>
        <v/>
      </c>
      <c r="Y741" s="27">
        <f>IF(G741,N741,"")</f>
        <v/>
      </c>
      <c r="Z741" s="27">
        <f>IF(R741,O741,"")</f>
        <v/>
      </c>
      <c r="AA741" s="27">
        <f>IF(R741,N741,"")</f>
        <v/>
      </c>
    </row>
    <row r="742">
      <c r="A742" s="31" t="n">
        <v>0.2</v>
      </c>
      <c r="B742" s="31" t="n">
        <v>0.1</v>
      </c>
      <c r="C742" s="31" t="n">
        <v>0.3</v>
      </c>
      <c r="D742" s="31" t="n">
        <v>0.4</v>
      </c>
      <c r="E742" s="27" t="inlineStr">
        <is>
          <t>ON 20%/1M 10%/2M 30%/3M 40%</t>
        </is>
      </c>
      <c r="F742" s="27" t="n">
        <v>25</v>
      </c>
      <c r="G742" s="27">
        <f>A742*$B$7&gt;=$B$9</f>
        <v/>
      </c>
      <c r="H742" s="13">
        <f>$B$7*(A742*E$71+B742*F$71+C742*G$71+D742*H$71)+F742/100*$B$7*J$71-$C$71</f>
        <v/>
      </c>
      <c r="I742" s="13">
        <f>$B$7*(A742*L$71+B742*M$71+C742*N$71+D742*O$71)+F742/100*$B$7*Q$71-$C$71</f>
        <v/>
      </c>
      <c r="J742" s="13">
        <f>$B$7*(A742*S$71+B742*T$71+C742*U$71+D742*V$71)+F742/100*$B$7*X$71-$C$71</f>
        <v/>
      </c>
      <c r="K742" s="13">
        <f>$B$7*(A742*Z$71+B742*AA$71+C742*AB$71+D742*AC$71)+F742/100*$B$7*AE$71-$C$71</f>
        <v/>
      </c>
      <c r="L742" s="13">
        <f>$B$7*(A742*AG$71+B742*AH$71+C742*AI$71+D742*AJ$71)+F742/100*$B$7*AL$71-$C$71</f>
        <v/>
      </c>
      <c r="M742" s="13">
        <f>$B$7*(A742*AN$71+B742*AO$71+C742*AP$71+D742*AQ$71)+F742/100*$B$7*AS$71-$C$71</f>
        <v/>
      </c>
      <c r="N742" s="13">
        <f>SUMPRODUCT($H$24:$M$24,H742:M742)</f>
        <v/>
      </c>
      <c r="O742" s="14">
        <f>SQRT(SUMPRODUCT($H$24:$M$24,(H742:M742-N742)^2))</f>
        <v/>
      </c>
      <c r="P742" s="13">
        <f>MIN(H742:M742)</f>
        <v/>
      </c>
      <c r="Q742" s="13">
        <f>MAX(H742:M742)</f>
        <v/>
      </c>
      <c r="R742" s="27">
        <f>IF(G742,SUMPRODUCT(($G$76:$G$1505)*($N$76:$N$1505&gt;=N742)*($O$76:$O$1505&lt;=O742))=1,FALSE)</f>
        <v/>
      </c>
      <c r="S742" s="16">
        <f>IF(R742,ABS((O742-$AC$76)/MAX(0.0001,$AC$77-$AC$76)-(N742-$AC$78)/MAX(0.0001,$AC$79-$AC$78)),-1)</f>
        <v/>
      </c>
      <c r="T742" s="14">
        <f>IF(G742,O742,NA())</f>
        <v/>
      </c>
      <c r="U742" s="13">
        <f>IF(G742,N742,NA())</f>
        <v/>
      </c>
      <c r="V742" s="14">
        <f>IF(R742,O742,NA())</f>
        <v/>
      </c>
      <c r="W742" s="13">
        <f>IF(R742,N742,NA())</f>
        <v/>
      </c>
      <c r="X742" s="27">
        <f>IF(G742,P742,"")</f>
        <v/>
      </c>
      <c r="Y742" s="27">
        <f>IF(G742,N742,"")</f>
        <v/>
      </c>
      <c r="Z742" s="27">
        <f>IF(R742,O742,"")</f>
        <v/>
      </c>
      <c r="AA742" s="27">
        <f>IF(R742,N742,"")</f>
        <v/>
      </c>
    </row>
    <row r="743">
      <c r="A743" s="31" t="n">
        <v>0.2</v>
      </c>
      <c r="B743" s="31" t="n">
        <v>0.1</v>
      </c>
      <c r="C743" s="31" t="n">
        <v>0.3</v>
      </c>
      <c r="D743" s="31" t="n">
        <v>0.4</v>
      </c>
      <c r="E743" s="27" t="inlineStr">
        <is>
          <t>ON 20%/1M 10%/2M 30%/3M 40%</t>
        </is>
      </c>
      <c r="F743" s="27" t="n">
        <v>50</v>
      </c>
      <c r="G743" s="27">
        <f>A743*$B$7&gt;=$B$9</f>
        <v/>
      </c>
      <c r="H743" s="13">
        <f>$B$7*(A743*E$71+B743*F$71+C743*G$71+D743*H$71)+F743/100*$B$7*J$71-$C$71</f>
        <v/>
      </c>
      <c r="I743" s="13">
        <f>$B$7*(A743*L$71+B743*M$71+C743*N$71+D743*O$71)+F743/100*$B$7*Q$71-$C$71</f>
        <v/>
      </c>
      <c r="J743" s="13">
        <f>$B$7*(A743*S$71+B743*T$71+C743*U$71+D743*V$71)+F743/100*$B$7*X$71-$C$71</f>
        <v/>
      </c>
      <c r="K743" s="13">
        <f>$B$7*(A743*Z$71+B743*AA$71+C743*AB$71+D743*AC$71)+F743/100*$B$7*AE$71-$C$71</f>
        <v/>
      </c>
      <c r="L743" s="13">
        <f>$B$7*(A743*AG$71+B743*AH$71+C743*AI$71+D743*AJ$71)+F743/100*$B$7*AL$71-$C$71</f>
        <v/>
      </c>
      <c r="M743" s="13">
        <f>$B$7*(A743*AN$71+B743*AO$71+C743*AP$71+D743*AQ$71)+F743/100*$B$7*AS$71-$C$71</f>
        <v/>
      </c>
      <c r="N743" s="13">
        <f>SUMPRODUCT($H$24:$M$24,H743:M743)</f>
        <v/>
      </c>
      <c r="O743" s="14">
        <f>SQRT(SUMPRODUCT($H$24:$M$24,(H743:M743-N743)^2))</f>
        <v/>
      </c>
      <c r="P743" s="13">
        <f>MIN(H743:M743)</f>
        <v/>
      </c>
      <c r="Q743" s="13">
        <f>MAX(H743:M743)</f>
        <v/>
      </c>
      <c r="R743" s="27">
        <f>IF(G743,SUMPRODUCT(($G$76:$G$1505)*($N$76:$N$1505&gt;=N743)*($O$76:$O$1505&lt;=O743))=1,FALSE)</f>
        <v/>
      </c>
      <c r="S743" s="16">
        <f>IF(R743,ABS((O743-$AC$76)/MAX(0.0001,$AC$77-$AC$76)-(N743-$AC$78)/MAX(0.0001,$AC$79-$AC$78)),-1)</f>
        <v/>
      </c>
      <c r="T743" s="14">
        <f>IF(G743,O743,NA())</f>
        <v/>
      </c>
      <c r="U743" s="13">
        <f>IF(G743,N743,NA())</f>
        <v/>
      </c>
      <c r="V743" s="14">
        <f>IF(R743,O743,NA())</f>
        <v/>
      </c>
      <c r="W743" s="13">
        <f>IF(R743,N743,NA())</f>
        <v/>
      </c>
      <c r="X743" s="27">
        <f>IF(G743,P743,"")</f>
        <v/>
      </c>
      <c r="Y743" s="27">
        <f>IF(G743,N743,"")</f>
        <v/>
      </c>
      <c r="Z743" s="27">
        <f>IF(R743,O743,"")</f>
        <v/>
      </c>
      <c r="AA743" s="27">
        <f>IF(R743,N743,"")</f>
        <v/>
      </c>
    </row>
    <row r="744">
      <c r="A744" s="31" t="n">
        <v>0.2</v>
      </c>
      <c r="B744" s="31" t="n">
        <v>0.1</v>
      </c>
      <c r="C744" s="31" t="n">
        <v>0.3</v>
      </c>
      <c r="D744" s="31" t="n">
        <v>0.4</v>
      </c>
      <c r="E744" s="27" t="inlineStr">
        <is>
          <t>ON 20%/1M 10%/2M 30%/3M 40%</t>
        </is>
      </c>
      <c r="F744" s="27" t="n">
        <v>75</v>
      </c>
      <c r="G744" s="27">
        <f>A744*$B$7&gt;=$B$9</f>
        <v/>
      </c>
      <c r="H744" s="13">
        <f>$B$7*(A744*E$71+B744*F$71+C744*G$71+D744*H$71)+F744/100*$B$7*J$71-$C$71</f>
        <v/>
      </c>
      <c r="I744" s="13">
        <f>$B$7*(A744*L$71+B744*M$71+C744*N$71+D744*O$71)+F744/100*$B$7*Q$71-$C$71</f>
        <v/>
      </c>
      <c r="J744" s="13">
        <f>$B$7*(A744*S$71+B744*T$71+C744*U$71+D744*V$71)+F744/100*$B$7*X$71-$C$71</f>
        <v/>
      </c>
      <c r="K744" s="13">
        <f>$B$7*(A744*Z$71+B744*AA$71+C744*AB$71+D744*AC$71)+F744/100*$B$7*AE$71-$C$71</f>
        <v/>
      </c>
      <c r="L744" s="13">
        <f>$B$7*(A744*AG$71+B744*AH$71+C744*AI$71+D744*AJ$71)+F744/100*$B$7*AL$71-$C$71</f>
        <v/>
      </c>
      <c r="M744" s="13">
        <f>$B$7*(A744*AN$71+B744*AO$71+C744*AP$71+D744*AQ$71)+F744/100*$B$7*AS$71-$C$71</f>
        <v/>
      </c>
      <c r="N744" s="13">
        <f>SUMPRODUCT($H$24:$M$24,H744:M744)</f>
        <v/>
      </c>
      <c r="O744" s="14">
        <f>SQRT(SUMPRODUCT($H$24:$M$24,(H744:M744-N744)^2))</f>
        <v/>
      </c>
      <c r="P744" s="13">
        <f>MIN(H744:M744)</f>
        <v/>
      </c>
      <c r="Q744" s="13">
        <f>MAX(H744:M744)</f>
        <v/>
      </c>
      <c r="R744" s="27">
        <f>IF(G744,SUMPRODUCT(($G$76:$G$1505)*($N$76:$N$1505&gt;=N744)*($O$76:$O$1505&lt;=O744))=1,FALSE)</f>
        <v/>
      </c>
      <c r="S744" s="16">
        <f>IF(R744,ABS((O744-$AC$76)/MAX(0.0001,$AC$77-$AC$76)-(N744-$AC$78)/MAX(0.0001,$AC$79-$AC$78)),-1)</f>
        <v/>
      </c>
      <c r="T744" s="14">
        <f>IF(G744,O744,NA())</f>
        <v/>
      </c>
      <c r="U744" s="13">
        <f>IF(G744,N744,NA())</f>
        <v/>
      </c>
      <c r="V744" s="14">
        <f>IF(R744,O744,NA())</f>
        <v/>
      </c>
      <c r="W744" s="13">
        <f>IF(R744,N744,NA())</f>
        <v/>
      </c>
      <c r="X744" s="27">
        <f>IF(G744,P744,"")</f>
        <v/>
      </c>
      <c r="Y744" s="27">
        <f>IF(G744,N744,"")</f>
        <v/>
      </c>
      <c r="Z744" s="27">
        <f>IF(R744,O744,"")</f>
        <v/>
      </c>
      <c r="AA744" s="27">
        <f>IF(R744,N744,"")</f>
        <v/>
      </c>
    </row>
    <row r="745">
      <c r="A745" s="31" t="n">
        <v>0.2</v>
      </c>
      <c r="B745" s="31" t="n">
        <v>0.1</v>
      </c>
      <c r="C745" s="31" t="n">
        <v>0.3</v>
      </c>
      <c r="D745" s="31" t="n">
        <v>0.4</v>
      </c>
      <c r="E745" s="27" t="inlineStr">
        <is>
          <t>ON 20%/1M 10%/2M 30%/3M 40%</t>
        </is>
      </c>
      <c r="F745" s="27" t="n">
        <v>100</v>
      </c>
      <c r="G745" s="27">
        <f>A745*$B$7&gt;=$B$9</f>
        <v/>
      </c>
      <c r="H745" s="13">
        <f>$B$7*(A745*E$71+B745*F$71+C745*G$71+D745*H$71)+F745/100*$B$7*J$71-$C$71</f>
        <v/>
      </c>
      <c r="I745" s="13">
        <f>$B$7*(A745*L$71+B745*M$71+C745*N$71+D745*O$71)+F745/100*$B$7*Q$71-$C$71</f>
        <v/>
      </c>
      <c r="J745" s="13">
        <f>$B$7*(A745*S$71+B745*T$71+C745*U$71+D745*V$71)+F745/100*$B$7*X$71-$C$71</f>
        <v/>
      </c>
      <c r="K745" s="13">
        <f>$B$7*(A745*Z$71+B745*AA$71+C745*AB$71+D745*AC$71)+F745/100*$B$7*AE$71-$C$71</f>
        <v/>
      </c>
      <c r="L745" s="13">
        <f>$B$7*(A745*AG$71+B745*AH$71+C745*AI$71+D745*AJ$71)+F745/100*$B$7*AL$71-$C$71</f>
        <v/>
      </c>
      <c r="M745" s="13">
        <f>$B$7*(A745*AN$71+B745*AO$71+C745*AP$71+D745*AQ$71)+F745/100*$B$7*AS$71-$C$71</f>
        <v/>
      </c>
      <c r="N745" s="13">
        <f>SUMPRODUCT($H$24:$M$24,H745:M745)</f>
        <v/>
      </c>
      <c r="O745" s="14">
        <f>SQRT(SUMPRODUCT($H$24:$M$24,(H745:M745-N745)^2))</f>
        <v/>
      </c>
      <c r="P745" s="13">
        <f>MIN(H745:M745)</f>
        <v/>
      </c>
      <c r="Q745" s="13">
        <f>MAX(H745:M745)</f>
        <v/>
      </c>
      <c r="R745" s="27">
        <f>IF(G745,SUMPRODUCT(($G$76:$G$1505)*($N$76:$N$1505&gt;=N745)*($O$76:$O$1505&lt;=O745))=1,FALSE)</f>
        <v/>
      </c>
      <c r="S745" s="16">
        <f>IF(R745,ABS((O745-$AC$76)/MAX(0.0001,$AC$77-$AC$76)-(N745-$AC$78)/MAX(0.0001,$AC$79-$AC$78)),-1)</f>
        <v/>
      </c>
      <c r="T745" s="14">
        <f>IF(G745,O745,NA())</f>
        <v/>
      </c>
      <c r="U745" s="13">
        <f>IF(G745,N745,NA())</f>
        <v/>
      </c>
      <c r="V745" s="14">
        <f>IF(R745,O745,NA())</f>
        <v/>
      </c>
      <c r="W745" s="13">
        <f>IF(R745,N745,NA())</f>
        <v/>
      </c>
      <c r="X745" s="27">
        <f>IF(G745,P745,"")</f>
        <v/>
      </c>
      <c r="Y745" s="27">
        <f>IF(G745,N745,"")</f>
        <v/>
      </c>
      <c r="Z745" s="27">
        <f>IF(R745,O745,"")</f>
        <v/>
      </c>
      <c r="AA745" s="27">
        <f>IF(R745,N745,"")</f>
        <v/>
      </c>
    </row>
    <row r="746">
      <c r="A746" s="31" t="n">
        <v>0.2</v>
      </c>
      <c r="B746" s="31" t="n">
        <v>0.1</v>
      </c>
      <c r="C746" s="31" t="n">
        <v>0.4</v>
      </c>
      <c r="D746" s="31" t="n">
        <v>0.3</v>
      </c>
      <c r="E746" s="27" t="inlineStr">
        <is>
          <t>ON 20%/1M 10%/2M 40%/3M 30%</t>
        </is>
      </c>
      <c r="F746" s="27" t="n">
        <v>0</v>
      </c>
      <c r="G746" s="27">
        <f>A746*$B$7&gt;=$B$9</f>
        <v/>
      </c>
      <c r="H746" s="13">
        <f>$B$7*(A746*E$71+B746*F$71+C746*G$71+D746*H$71)+F746/100*$B$7*J$71-$C$71</f>
        <v/>
      </c>
      <c r="I746" s="13">
        <f>$B$7*(A746*L$71+B746*M$71+C746*N$71+D746*O$71)+F746/100*$B$7*Q$71-$C$71</f>
        <v/>
      </c>
      <c r="J746" s="13">
        <f>$B$7*(A746*S$71+B746*T$71+C746*U$71+D746*V$71)+F746/100*$B$7*X$71-$C$71</f>
        <v/>
      </c>
      <c r="K746" s="13">
        <f>$B$7*(A746*Z$71+B746*AA$71+C746*AB$71+D746*AC$71)+F746/100*$B$7*AE$71-$C$71</f>
        <v/>
      </c>
      <c r="L746" s="13">
        <f>$B$7*(A746*AG$71+B746*AH$71+C746*AI$71+D746*AJ$71)+F746/100*$B$7*AL$71-$C$71</f>
        <v/>
      </c>
      <c r="M746" s="13">
        <f>$B$7*(A746*AN$71+B746*AO$71+C746*AP$71+D746*AQ$71)+F746/100*$B$7*AS$71-$C$71</f>
        <v/>
      </c>
      <c r="N746" s="13">
        <f>SUMPRODUCT($H$24:$M$24,H746:M746)</f>
        <v/>
      </c>
      <c r="O746" s="14">
        <f>SQRT(SUMPRODUCT($H$24:$M$24,(H746:M746-N746)^2))</f>
        <v/>
      </c>
      <c r="P746" s="13">
        <f>MIN(H746:M746)</f>
        <v/>
      </c>
      <c r="Q746" s="13">
        <f>MAX(H746:M746)</f>
        <v/>
      </c>
      <c r="R746" s="27">
        <f>IF(G746,SUMPRODUCT(($G$76:$G$1505)*($N$76:$N$1505&gt;=N746)*($O$76:$O$1505&lt;=O746))=1,FALSE)</f>
        <v/>
      </c>
      <c r="S746" s="16">
        <f>IF(R746,ABS((O746-$AC$76)/MAX(0.0001,$AC$77-$AC$76)-(N746-$AC$78)/MAX(0.0001,$AC$79-$AC$78)),-1)</f>
        <v/>
      </c>
      <c r="T746" s="14">
        <f>IF(G746,O746,NA())</f>
        <v/>
      </c>
      <c r="U746" s="13">
        <f>IF(G746,N746,NA())</f>
        <v/>
      </c>
      <c r="V746" s="14">
        <f>IF(R746,O746,NA())</f>
        <v/>
      </c>
      <c r="W746" s="13">
        <f>IF(R746,N746,NA())</f>
        <v/>
      </c>
      <c r="X746" s="27">
        <f>IF(G746,P746,"")</f>
        <v/>
      </c>
      <c r="Y746" s="27">
        <f>IF(G746,N746,"")</f>
        <v/>
      </c>
      <c r="Z746" s="27">
        <f>IF(R746,O746,"")</f>
        <v/>
      </c>
      <c r="AA746" s="27">
        <f>IF(R746,N746,"")</f>
        <v/>
      </c>
    </row>
    <row r="747">
      <c r="A747" s="31" t="n">
        <v>0.2</v>
      </c>
      <c r="B747" s="31" t="n">
        <v>0.1</v>
      </c>
      <c r="C747" s="31" t="n">
        <v>0.4</v>
      </c>
      <c r="D747" s="31" t="n">
        <v>0.3</v>
      </c>
      <c r="E747" s="27" t="inlineStr">
        <is>
          <t>ON 20%/1M 10%/2M 40%/3M 30%</t>
        </is>
      </c>
      <c r="F747" s="27" t="n">
        <v>25</v>
      </c>
      <c r="G747" s="27">
        <f>A747*$B$7&gt;=$B$9</f>
        <v/>
      </c>
      <c r="H747" s="13">
        <f>$B$7*(A747*E$71+B747*F$71+C747*G$71+D747*H$71)+F747/100*$B$7*J$71-$C$71</f>
        <v/>
      </c>
      <c r="I747" s="13">
        <f>$B$7*(A747*L$71+B747*M$71+C747*N$71+D747*O$71)+F747/100*$B$7*Q$71-$C$71</f>
        <v/>
      </c>
      <c r="J747" s="13">
        <f>$B$7*(A747*S$71+B747*T$71+C747*U$71+D747*V$71)+F747/100*$B$7*X$71-$C$71</f>
        <v/>
      </c>
      <c r="K747" s="13">
        <f>$B$7*(A747*Z$71+B747*AA$71+C747*AB$71+D747*AC$71)+F747/100*$B$7*AE$71-$C$71</f>
        <v/>
      </c>
      <c r="L747" s="13">
        <f>$B$7*(A747*AG$71+B747*AH$71+C747*AI$71+D747*AJ$71)+F747/100*$B$7*AL$71-$C$71</f>
        <v/>
      </c>
      <c r="M747" s="13">
        <f>$B$7*(A747*AN$71+B747*AO$71+C747*AP$71+D747*AQ$71)+F747/100*$B$7*AS$71-$C$71</f>
        <v/>
      </c>
      <c r="N747" s="13">
        <f>SUMPRODUCT($H$24:$M$24,H747:M747)</f>
        <v/>
      </c>
      <c r="O747" s="14">
        <f>SQRT(SUMPRODUCT($H$24:$M$24,(H747:M747-N747)^2))</f>
        <v/>
      </c>
      <c r="P747" s="13">
        <f>MIN(H747:M747)</f>
        <v/>
      </c>
      <c r="Q747" s="13">
        <f>MAX(H747:M747)</f>
        <v/>
      </c>
      <c r="R747" s="27">
        <f>IF(G747,SUMPRODUCT(($G$76:$G$1505)*($N$76:$N$1505&gt;=N747)*($O$76:$O$1505&lt;=O747))=1,FALSE)</f>
        <v/>
      </c>
      <c r="S747" s="16">
        <f>IF(R747,ABS((O747-$AC$76)/MAX(0.0001,$AC$77-$AC$76)-(N747-$AC$78)/MAX(0.0001,$AC$79-$AC$78)),-1)</f>
        <v/>
      </c>
      <c r="T747" s="14">
        <f>IF(G747,O747,NA())</f>
        <v/>
      </c>
      <c r="U747" s="13">
        <f>IF(G747,N747,NA())</f>
        <v/>
      </c>
      <c r="V747" s="14">
        <f>IF(R747,O747,NA())</f>
        <v/>
      </c>
      <c r="W747" s="13">
        <f>IF(R747,N747,NA())</f>
        <v/>
      </c>
      <c r="X747" s="27">
        <f>IF(G747,P747,"")</f>
        <v/>
      </c>
      <c r="Y747" s="27">
        <f>IF(G747,N747,"")</f>
        <v/>
      </c>
      <c r="Z747" s="27">
        <f>IF(R747,O747,"")</f>
        <v/>
      </c>
      <c r="AA747" s="27">
        <f>IF(R747,N747,"")</f>
        <v/>
      </c>
    </row>
    <row r="748">
      <c r="A748" s="31" t="n">
        <v>0.2</v>
      </c>
      <c r="B748" s="31" t="n">
        <v>0.1</v>
      </c>
      <c r="C748" s="31" t="n">
        <v>0.4</v>
      </c>
      <c r="D748" s="31" t="n">
        <v>0.3</v>
      </c>
      <c r="E748" s="27" t="inlineStr">
        <is>
          <t>ON 20%/1M 10%/2M 40%/3M 30%</t>
        </is>
      </c>
      <c r="F748" s="27" t="n">
        <v>50</v>
      </c>
      <c r="G748" s="27">
        <f>A748*$B$7&gt;=$B$9</f>
        <v/>
      </c>
      <c r="H748" s="13">
        <f>$B$7*(A748*E$71+B748*F$71+C748*G$71+D748*H$71)+F748/100*$B$7*J$71-$C$71</f>
        <v/>
      </c>
      <c r="I748" s="13">
        <f>$B$7*(A748*L$71+B748*M$71+C748*N$71+D748*O$71)+F748/100*$B$7*Q$71-$C$71</f>
        <v/>
      </c>
      <c r="J748" s="13">
        <f>$B$7*(A748*S$71+B748*T$71+C748*U$71+D748*V$71)+F748/100*$B$7*X$71-$C$71</f>
        <v/>
      </c>
      <c r="K748" s="13">
        <f>$B$7*(A748*Z$71+B748*AA$71+C748*AB$71+D748*AC$71)+F748/100*$B$7*AE$71-$C$71</f>
        <v/>
      </c>
      <c r="L748" s="13">
        <f>$B$7*(A748*AG$71+B748*AH$71+C748*AI$71+D748*AJ$71)+F748/100*$B$7*AL$71-$C$71</f>
        <v/>
      </c>
      <c r="M748" s="13">
        <f>$B$7*(A748*AN$71+B748*AO$71+C748*AP$71+D748*AQ$71)+F748/100*$B$7*AS$71-$C$71</f>
        <v/>
      </c>
      <c r="N748" s="13">
        <f>SUMPRODUCT($H$24:$M$24,H748:M748)</f>
        <v/>
      </c>
      <c r="O748" s="14">
        <f>SQRT(SUMPRODUCT($H$24:$M$24,(H748:M748-N748)^2))</f>
        <v/>
      </c>
      <c r="P748" s="13">
        <f>MIN(H748:M748)</f>
        <v/>
      </c>
      <c r="Q748" s="13">
        <f>MAX(H748:M748)</f>
        <v/>
      </c>
      <c r="R748" s="27">
        <f>IF(G748,SUMPRODUCT(($G$76:$G$1505)*($N$76:$N$1505&gt;=N748)*($O$76:$O$1505&lt;=O748))=1,FALSE)</f>
        <v/>
      </c>
      <c r="S748" s="16">
        <f>IF(R748,ABS((O748-$AC$76)/MAX(0.0001,$AC$77-$AC$76)-(N748-$AC$78)/MAX(0.0001,$AC$79-$AC$78)),-1)</f>
        <v/>
      </c>
      <c r="T748" s="14">
        <f>IF(G748,O748,NA())</f>
        <v/>
      </c>
      <c r="U748" s="13">
        <f>IF(G748,N748,NA())</f>
        <v/>
      </c>
      <c r="V748" s="14">
        <f>IF(R748,O748,NA())</f>
        <v/>
      </c>
      <c r="W748" s="13">
        <f>IF(R748,N748,NA())</f>
        <v/>
      </c>
      <c r="X748" s="27">
        <f>IF(G748,P748,"")</f>
        <v/>
      </c>
      <c r="Y748" s="27">
        <f>IF(G748,N748,"")</f>
        <v/>
      </c>
      <c r="Z748" s="27">
        <f>IF(R748,O748,"")</f>
        <v/>
      </c>
      <c r="AA748" s="27">
        <f>IF(R748,N748,"")</f>
        <v/>
      </c>
    </row>
    <row r="749">
      <c r="A749" s="31" t="n">
        <v>0.2</v>
      </c>
      <c r="B749" s="31" t="n">
        <v>0.1</v>
      </c>
      <c r="C749" s="31" t="n">
        <v>0.4</v>
      </c>
      <c r="D749" s="31" t="n">
        <v>0.3</v>
      </c>
      <c r="E749" s="27" t="inlineStr">
        <is>
          <t>ON 20%/1M 10%/2M 40%/3M 30%</t>
        </is>
      </c>
      <c r="F749" s="27" t="n">
        <v>75</v>
      </c>
      <c r="G749" s="27">
        <f>A749*$B$7&gt;=$B$9</f>
        <v/>
      </c>
      <c r="H749" s="13">
        <f>$B$7*(A749*E$71+B749*F$71+C749*G$71+D749*H$71)+F749/100*$B$7*J$71-$C$71</f>
        <v/>
      </c>
      <c r="I749" s="13">
        <f>$B$7*(A749*L$71+B749*M$71+C749*N$71+D749*O$71)+F749/100*$B$7*Q$71-$C$71</f>
        <v/>
      </c>
      <c r="J749" s="13">
        <f>$B$7*(A749*S$71+B749*T$71+C749*U$71+D749*V$71)+F749/100*$B$7*X$71-$C$71</f>
        <v/>
      </c>
      <c r="K749" s="13">
        <f>$B$7*(A749*Z$71+B749*AA$71+C749*AB$71+D749*AC$71)+F749/100*$B$7*AE$71-$C$71</f>
        <v/>
      </c>
      <c r="L749" s="13">
        <f>$B$7*(A749*AG$71+B749*AH$71+C749*AI$71+D749*AJ$71)+F749/100*$B$7*AL$71-$C$71</f>
        <v/>
      </c>
      <c r="M749" s="13">
        <f>$B$7*(A749*AN$71+B749*AO$71+C749*AP$71+D749*AQ$71)+F749/100*$B$7*AS$71-$C$71</f>
        <v/>
      </c>
      <c r="N749" s="13">
        <f>SUMPRODUCT($H$24:$M$24,H749:M749)</f>
        <v/>
      </c>
      <c r="O749" s="14">
        <f>SQRT(SUMPRODUCT($H$24:$M$24,(H749:M749-N749)^2))</f>
        <v/>
      </c>
      <c r="P749" s="13">
        <f>MIN(H749:M749)</f>
        <v/>
      </c>
      <c r="Q749" s="13">
        <f>MAX(H749:M749)</f>
        <v/>
      </c>
      <c r="R749" s="27">
        <f>IF(G749,SUMPRODUCT(($G$76:$G$1505)*($N$76:$N$1505&gt;=N749)*($O$76:$O$1505&lt;=O749))=1,FALSE)</f>
        <v/>
      </c>
      <c r="S749" s="16">
        <f>IF(R749,ABS((O749-$AC$76)/MAX(0.0001,$AC$77-$AC$76)-(N749-$AC$78)/MAX(0.0001,$AC$79-$AC$78)),-1)</f>
        <v/>
      </c>
      <c r="T749" s="14">
        <f>IF(G749,O749,NA())</f>
        <v/>
      </c>
      <c r="U749" s="13">
        <f>IF(G749,N749,NA())</f>
        <v/>
      </c>
      <c r="V749" s="14">
        <f>IF(R749,O749,NA())</f>
        <v/>
      </c>
      <c r="W749" s="13">
        <f>IF(R749,N749,NA())</f>
        <v/>
      </c>
      <c r="X749" s="27">
        <f>IF(G749,P749,"")</f>
        <v/>
      </c>
      <c r="Y749" s="27">
        <f>IF(G749,N749,"")</f>
        <v/>
      </c>
      <c r="Z749" s="27">
        <f>IF(R749,O749,"")</f>
        <v/>
      </c>
      <c r="AA749" s="27">
        <f>IF(R749,N749,"")</f>
        <v/>
      </c>
    </row>
    <row r="750">
      <c r="A750" s="31" t="n">
        <v>0.2</v>
      </c>
      <c r="B750" s="31" t="n">
        <v>0.1</v>
      </c>
      <c r="C750" s="31" t="n">
        <v>0.4</v>
      </c>
      <c r="D750" s="31" t="n">
        <v>0.3</v>
      </c>
      <c r="E750" s="27" t="inlineStr">
        <is>
          <t>ON 20%/1M 10%/2M 40%/3M 30%</t>
        </is>
      </c>
      <c r="F750" s="27" t="n">
        <v>100</v>
      </c>
      <c r="G750" s="27">
        <f>A750*$B$7&gt;=$B$9</f>
        <v/>
      </c>
      <c r="H750" s="13">
        <f>$B$7*(A750*E$71+B750*F$71+C750*G$71+D750*H$71)+F750/100*$B$7*J$71-$C$71</f>
        <v/>
      </c>
      <c r="I750" s="13">
        <f>$B$7*(A750*L$71+B750*M$71+C750*N$71+D750*O$71)+F750/100*$B$7*Q$71-$C$71</f>
        <v/>
      </c>
      <c r="J750" s="13">
        <f>$B$7*(A750*S$71+B750*T$71+C750*U$71+D750*V$71)+F750/100*$B$7*X$71-$C$71</f>
        <v/>
      </c>
      <c r="K750" s="13">
        <f>$B$7*(A750*Z$71+B750*AA$71+C750*AB$71+D750*AC$71)+F750/100*$B$7*AE$71-$C$71</f>
        <v/>
      </c>
      <c r="L750" s="13">
        <f>$B$7*(A750*AG$71+B750*AH$71+C750*AI$71+D750*AJ$71)+F750/100*$B$7*AL$71-$C$71</f>
        <v/>
      </c>
      <c r="M750" s="13">
        <f>$B$7*(A750*AN$71+B750*AO$71+C750*AP$71+D750*AQ$71)+F750/100*$B$7*AS$71-$C$71</f>
        <v/>
      </c>
      <c r="N750" s="13">
        <f>SUMPRODUCT($H$24:$M$24,H750:M750)</f>
        <v/>
      </c>
      <c r="O750" s="14">
        <f>SQRT(SUMPRODUCT($H$24:$M$24,(H750:M750-N750)^2))</f>
        <v/>
      </c>
      <c r="P750" s="13">
        <f>MIN(H750:M750)</f>
        <v/>
      </c>
      <c r="Q750" s="13">
        <f>MAX(H750:M750)</f>
        <v/>
      </c>
      <c r="R750" s="27">
        <f>IF(G750,SUMPRODUCT(($G$76:$G$1505)*($N$76:$N$1505&gt;=N750)*($O$76:$O$1505&lt;=O750))=1,FALSE)</f>
        <v/>
      </c>
      <c r="S750" s="16">
        <f>IF(R750,ABS((O750-$AC$76)/MAX(0.0001,$AC$77-$AC$76)-(N750-$AC$78)/MAX(0.0001,$AC$79-$AC$78)),-1)</f>
        <v/>
      </c>
      <c r="T750" s="14">
        <f>IF(G750,O750,NA())</f>
        <v/>
      </c>
      <c r="U750" s="13">
        <f>IF(G750,N750,NA())</f>
        <v/>
      </c>
      <c r="V750" s="14">
        <f>IF(R750,O750,NA())</f>
        <v/>
      </c>
      <c r="W750" s="13">
        <f>IF(R750,N750,NA())</f>
        <v/>
      </c>
      <c r="X750" s="27">
        <f>IF(G750,P750,"")</f>
        <v/>
      </c>
      <c r="Y750" s="27">
        <f>IF(G750,N750,"")</f>
        <v/>
      </c>
      <c r="Z750" s="27">
        <f>IF(R750,O750,"")</f>
        <v/>
      </c>
      <c r="AA750" s="27">
        <f>IF(R750,N750,"")</f>
        <v/>
      </c>
    </row>
    <row r="751">
      <c r="A751" s="31" t="n">
        <v>0.2</v>
      </c>
      <c r="B751" s="31" t="n">
        <v>0.1</v>
      </c>
      <c r="C751" s="31" t="n">
        <v>0.5</v>
      </c>
      <c r="D751" s="31" t="n">
        <v>0.2</v>
      </c>
      <c r="E751" s="27" t="inlineStr">
        <is>
          <t>ON 20%/1M 10%/2M 50%/3M 20%</t>
        </is>
      </c>
      <c r="F751" s="27" t="n">
        <v>0</v>
      </c>
      <c r="G751" s="27">
        <f>A751*$B$7&gt;=$B$9</f>
        <v/>
      </c>
      <c r="H751" s="13">
        <f>$B$7*(A751*E$71+B751*F$71+C751*G$71+D751*H$71)+F751/100*$B$7*J$71-$C$71</f>
        <v/>
      </c>
      <c r="I751" s="13">
        <f>$B$7*(A751*L$71+B751*M$71+C751*N$71+D751*O$71)+F751/100*$B$7*Q$71-$C$71</f>
        <v/>
      </c>
      <c r="J751" s="13">
        <f>$B$7*(A751*S$71+B751*T$71+C751*U$71+D751*V$71)+F751/100*$B$7*X$71-$C$71</f>
        <v/>
      </c>
      <c r="K751" s="13">
        <f>$B$7*(A751*Z$71+B751*AA$71+C751*AB$71+D751*AC$71)+F751/100*$B$7*AE$71-$C$71</f>
        <v/>
      </c>
      <c r="L751" s="13">
        <f>$B$7*(A751*AG$71+B751*AH$71+C751*AI$71+D751*AJ$71)+F751/100*$B$7*AL$71-$C$71</f>
        <v/>
      </c>
      <c r="M751" s="13">
        <f>$B$7*(A751*AN$71+B751*AO$71+C751*AP$71+D751*AQ$71)+F751/100*$B$7*AS$71-$C$71</f>
        <v/>
      </c>
      <c r="N751" s="13">
        <f>SUMPRODUCT($H$24:$M$24,H751:M751)</f>
        <v/>
      </c>
      <c r="O751" s="14">
        <f>SQRT(SUMPRODUCT($H$24:$M$24,(H751:M751-N751)^2))</f>
        <v/>
      </c>
      <c r="P751" s="13">
        <f>MIN(H751:M751)</f>
        <v/>
      </c>
      <c r="Q751" s="13">
        <f>MAX(H751:M751)</f>
        <v/>
      </c>
      <c r="R751" s="27">
        <f>IF(G751,SUMPRODUCT(($G$76:$G$1505)*($N$76:$N$1505&gt;=N751)*($O$76:$O$1505&lt;=O751))=1,FALSE)</f>
        <v/>
      </c>
      <c r="S751" s="16">
        <f>IF(R751,ABS((O751-$AC$76)/MAX(0.0001,$AC$77-$AC$76)-(N751-$AC$78)/MAX(0.0001,$AC$79-$AC$78)),-1)</f>
        <v/>
      </c>
      <c r="T751" s="14">
        <f>IF(G751,O751,NA())</f>
        <v/>
      </c>
      <c r="U751" s="13">
        <f>IF(G751,N751,NA())</f>
        <v/>
      </c>
      <c r="V751" s="14">
        <f>IF(R751,O751,NA())</f>
        <v/>
      </c>
      <c r="W751" s="13">
        <f>IF(R751,N751,NA())</f>
        <v/>
      </c>
      <c r="X751" s="27">
        <f>IF(G751,P751,"")</f>
        <v/>
      </c>
      <c r="Y751" s="27">
        <f>IF(G751,N751,"")</f>
        <v/>
      </c>
      <c r="Z751" s="27">
        <f>IF(R751,O751,"")</f>
        <v/>
      </c>
      <c r="AA751" s="27">
        <f>IF(R751,N751,"")</f>
        <v/>
      </c>
    </row>
    <row r="752">
      <c r="A752" s="31" t="n">
        <v>0.2</v>
      </c>
      <c r="B752" s="31" t="n">
        <v>0.1</v>
      </c>
      <c r="C752" s="31" t="n">
        <v>0.5</v>
      </c>
      <c r="D752" s="31" t="n">
        <v>0.2</v>
      </c>
      <c r="E752" s="27" t="inlineStr">
        <is>
          <t>ON 20%/1M 10%/2M 50%/3M 20%</t>
        </is>
      </c>
      <c r="F752" s="27" t="n">
        <v>25</v>
      </c>
      <c r="G752" s="27">
        <f>A752*$B$7&gt;=$B$9</f>
        <v/>
      </c>
      <c r="H752" s="13">
        <f>$B$7*(A752*E$71+B752*F$71+C752*G$71+D752*H$71)+F752/100*$B$7*J$71-$C$71</f>
        <v/>
      </c>
      <c r="I752" s="13">
        <f>$B$7*(A752*L$71+B752*M$71+C752*N$71+D752*O$71)+F752/100*$B$7*Q$71-$C$71</f>
        <v/>
      </c>
      <c r="J752" s="13">
        <f>$B$7*(A752*S$71+B752*T$71+C752*U$71+D752*V$71)+F752/100*$B$7*X$71-$C$71</f>
        <v/>
      </c>
      <c r="K752" s="13">
        <f>$B$7*(A752*Z$71+B752*AA$71+C752*AB$71+D752*AC$71)+F752/100*$B$7*AE$71-$C$71</f>
        <v/>
      </c>
      <c r="L752" s="13">
        <f>$B$7*(A752*AG$71+B752*AH$71+C752*AI$71+D752*AJ$71)+F752/100*$B$7*AL$71-$C$71</f>
        <v/>
      </c>
      <c r="M752" s="13">
        <f>$B$7*(A752*AN$71+B752*AO$71+C752*AP$71+D752*AQ$71)+F752/100*$B$7*AS$71-$C$71</f>
        <v/>
      </c>
      <c r="N752" s="13">
        <f>SUMPRODUCT($H$24:$M$24,H752:M752)</f>
        <v/>
      </c>
      <c r="O752" s="14">
        <f>SQRT(SUMPRODUCT($H$24:$M$24,(H752:M752-N752)^2))</f>
        <v/>
      </c>
      <c r="P752" s="13">
        <f>MIN(H752:M752)</f>
        <v/>
      </c>
      <c r="Q752" s="13">
        <f>MAX(H752:M752)</f>
        <v/>
      </c>
      <c r="R752" s="27">
        <f>IF(G752,SUMPRODUCT(($G$76:$G$1505)*($N$76:$N$1505&gt;=N752)*($O$76:$O$1505&lt;=O752))=1,FALSE)</f>
        <v/>
      </c>
      <c r="S752" s="16">
        <f>IF(R752,ABS((O752-$AC$76)/MAX(0.0001,$AC$77-$AC$76)-(N752-$AC$78)/MAX(0.0001,$AC$79-$AC$78)),-1)</f>
        <v/>
      </c>
      <c r="T752" s="14">
        <f>IF(G752,O752,NA())</f>
        <v/>
      </c>
      <c r="U752" s="13">
        <f>IF(G752,N752,NA())</f>
        <v/>
      </c>
      <c r="V752" s="14">
        <f>IF(R752,O752,NA())</f>
        <v/>
      </c>
      <c r="W752" s="13">
        <f>IF(R752,N752,NA())</f>
        <v/>
      </c>
      <c r="X752" s="27">
        <f>IF(G752,P752,"")</f>
        <v/>
      </c>
      <c r="Y752" s="27">
        <f>IF(G752,N752,"")</f>
        <v/>
      </c>
      <c r="Z752" s="27">
        <f>IF(R752,O752,"")</f>
        <v/>
      </c>
      <c r="AA752" s="27">
        <f>IF(R752,N752,"")</f>
        <v/>
      </c>
    </row>
    <row r="753">
      <c r="A753" s="31" t="n">
        <v>0.2</v>
      </c>
      <c r="B753" s="31" t="n">
        <v>0.1</v>
      </c>
      <c r="C753" s="31" t="n">
        <v>0.5</v>
      </c>
      <c r="D753" s="31" t="n">
        <v>0.2</v>
      </c>
      <c r="E753" s="27" t="inlineStr">
        <is>
          <t>ON 20%/1M 10%/2M 50%/3M 20%</t>
        </is>
      </c>
      <c r="F753" s="27" t="n">
        <v>50</v>
      </c>
      <c r="G753" s="27">
        <f>A753*$B$7&gt;=$B$9</f>
        <v/>
      </c>
      <c r="H753" s="13">
        <f>$B$7*(A753*E$71+B753*F$71+C753*G$71+D753*H$71)+F753/100*$B$7*J$71-$C$71</f>
        <v/>
      </c>
      <c r="I753" s="13">
        <f>$B$7*(A753*L$71+B753*M$71+C753*N$71+D753*O$71)+F753/100*$B$7*Q$71-$C$71</f>
        <v/>
      </c>
      <c r="J753" s="13">
        <f>$B$7*(A753*S$71+B753*T$71+C753*U$71+D753*V$71)+F753/100*$B$7*X$71-$C$71</f>
        <v/>
      </c>
      <c r="K753" s="13">
        <f>$B$7*(A753*Z$71+B753*AA$71+C753*AB$71+D753*AC$71)+F753/100*$B$7*AE$71-$C$71</f>
        <v/>
      </c>
      <c r="L753" s="13">
        <f>$B$7*(A753*AG$71+B753*AH$71+C753*AI$71+D753*AJ$71)+F753/100*$B$7*AL$71-$C$71</f>
        <v/>
      </c>
      <c r="M753" s="13">
        <f>$B$7*(A753*AN$71+B753*AO$71+C753*AP$71+D753*AQ$71)+F753/100*$B$7*AS$71-$C$71</f>
        <v/>
      </c>
      <c r="N753" s="13">
        <f>SUMPRODUCT($H$24:$M$24,H753:M753)</f>
        <v/>
      </c>
      <c r="O753" s="14">
        <f>SQRT(SUMPRODUCT($H$24:$M$24,(H753:M753-N753)^2))</f>
        <v/>
      </c>
      <c r="P753" s="13">
        <f>MIN(H753:M753)</f>
        <v/>
      </c>
      <c r="Q753" s="13">
        <f>MAX(H753:M753)</f>
        <v/>
      </c>
      <c r="R753" s="27">
        <f>IF(G753,SUMPRODUCT(($G$76:$G$1505)*($N$76:$N$1505&gt;=N753)*($O$76:$O$1505&lt;=O753))=1,FALSE)</f>
        <v/>
      </c>
      <c r="S753" s="16">
        <f>IF(R753,ABS((O753-$AC$76)/MAX(0.0001,$AC$77-$AC$76)-(N753-$AC$78)/MAX(0.0001,$AC$79-$AC$78)),-1)</f>
        <v/>
      </c>
      <c r="T753" s="14">
        <f>IF(G753,O753,NA())</f>
        <v/>
      </c>
      <c r="U753" s="13">
        <f>IF(G753,N753,NA())</f>
        <v/>
      </c>
      <c r="V753" s="14">
        <f>IF(R753,O753,NA())</f>
        <v/>
      </c>
      <c r="W753" s="13">
        <f>IF(R753,N753,NA())</f>
        <v/>
      </c>
      <c r="X753" s="27">
        <f>IF(G753,P753,"")</f>
        <v/>
      </c>
      <c r="Y753" s="27">
        <f>IF(G753,N753,"")</f>
        <v/>
      </c>
      <c r="Z753" s="27">
        <f>IF(R753,O753,"")</f>
        <v/>
      </c>
      <c r="AA753" s="27">
        <f>IF(R753,N753,"")</f>
        <v/>
      </c>
    </row>
    <row r="754">
      <c r="A754" s="31" t="n">
        <v>0.2</v>
      </c>
      <c r="B754" s="31" t="n">
        <v>0.1</v>
      </c>
      <c r="C754" s="31" t="n">
        <v>0.5</v>
      </c>
      <c r="D754" s="31" t="n">
        <v>0.2</v>
      </c>
      <c r="E754" s="27" t="inlineStr">
        <is>
          <t>ON 20%/1M 10%/2M 50%/3M 20%</t>
        </is>
      </c>
      <c r="F754" s="27" t="n">
        <v>75</v>
      </c>
      <c r="G754" s="27">
        <f>A754*$B$7&gt;=$B$9</f>
        <v/>
      </c>
      <c r="H754" s="13">
        <f>$B$7*(A754*E$71+B754*F$71+C754*G$71+D754*H$71)+F754/100*$B$7*J$71-$C$71</f>
        <v/>
      </c>
      <c r="I754" s="13">
        <f>$B$7*(A754*L$71+B754*M$71+C754*N$71+D754*O$71)+F754/100*$B$7*Q$71-$C$71</f>
        <v/>
      </c>
      <c r="J754" s="13">
        <f>$B$7*(A754*S$71+B754*T$71+C754*U$71+D754*V$71)+F754/100*$B$7*X$71-$C$71</f>
        <v/>
      </c>
      <c r="K754" s="13">
        <f>$B$7*(A754*Z$71+B754*AA$71+C754*AB$71+D754*AC$71)+F754/100*$B$7*AE$71-$C$71</f>
        <v/>
      </c>
      <c r="L754" s="13">
        <f>$B$7*(A754*AG$71+B754*AH$71+C754*AI$71+D754*AJ$71)+F754/100*$B$7*AL$71-$C$71</f>
        <v/>
      </c>
      <c r="M754" s="13">
        <f>$B$7*(A754*AN$71+B754*AO$71+C754*AP$71+D754*AQ$71)+F754/100*$B$7*AS$71-$C$71</f>
        <v/>
      </c>
      <c r="N754" s="13">
        <f>SUMPRODUCT($H$24:$M$24,H754:M754)</f>
        <v/>
      </c>
      <c r="O754" s="14">
        <f>SQRT(SUMPRODUCT($H$24:$M$24,(H754:M754-N754)^2))</f>
        <v/>
      </c>
      <c r="P754" s="13">
        <f>MIN(H754:M754)</f>
        <v/>
      </c>
      <c r="Q754" s="13">
        <f>MAX(H754:M754)</f>
        <v/>
      </c>
      <c r="R754" s="27">
        <f>IF(G754,SUMPRODUCT(($G$76:$G$1505)*($N$76:$N$1505&gt;=N754)*($O$76:$O$1505&lt;=O754))=1,FALSE)</f>
        <v/>
      </c>
      <c r="S754" s="16">
        <f>IF(R754,ABS((O754-$AC$76)/MAX(0.0001,$AC$77-$AC$76)-(N754-$AC$78)/MAX(0.0001,$AC$79-$AC$78)),-1)</f>
        <v/>
      </c>
      <c r="T754" s="14">
        <f>IF(G754,O754,NA())</f>
        <v/>
      </c>
      <c r="U754" s="13">
        <f>IF(G754,N754,NA())</f>
        <v/>
      </c>
      <c r="V754" s="14">
        <f>IF(R754,O754,NA())</f>
        <v/>
      </c>
      <c r="W754" s="13">
        <f>IF(R754,N754,NA())</f>
        <v/>
      </c>
      <c r="X754" s="27">
        <f>IF(G754,P754,"")</f>
        <v/>
      </c>
      <c r="Y754" s="27">
        <f>IF(G754,N754,"")</f>
        <v/>
      </c>
      <c r="Z754" s="27">
        <f>IF(R754,O754,"")</f>
        <v/>
      </c>
      <c r="AA754" s="27">
        <f>IF(R754,N754,"")</f>
        <v/>
      </c>
    </row>
    <row r="755">
      <c r="A755" s="31" t="n">
        <v>0.2</v>
      </c>
      <c r="B755" s="31" t="n">
        <v>0.1</v>
      </c>
      <c r="C755" s="31" t="n">
        <v>0.5</v>
      </c>
      <c r="D755" s="31" t="n">
        <v>0.2</v>
      </c>
      <c r="E755" s="27" t="inlineStr">
        <is>
          <t>ON 20%/1M 10%/2M 50%/3M 20%</t>
        </is>
      </c>
      <c r="F755" s="27" t="n">
        <v>100</v>
      </c>
      <c r="G755" s="27">
        <f>A755*$B$7&gt;=$B$9</f>
        <v/>
      </c>
      <c r="H755" s="13">
        <f>$B$7*(A755*E$71+B755*F$71+C755*G$71+D755*H$71)+F755/100*$B$7*J$71-$C$71</f>
        <v/>
      </c>
      <c r="I755" s="13">
        <f>$B$7*(A755*L$71+B755*M$71+C755*N$71+D755*O$71)+F755/100*$B$7*Q$71-$C$71</f>
        <v/>
      </c>
      <c r="J755" s="13">
        <f>$B$7*(A755*S$71+B755*T$71+C755*U$71+D755*V$71)+F755/100*$B$7*X$71-$C$71</f>
        <v/>
      </c>
      <c r="K755" s="13">
        <f>$B$7*(A755*Z$71+B755*AA$71+C755*AB$71+D755*AC$71)+F755/100*$B$7*AE$71-$C$71</f>
        <v/>
      </c>
      <c r="L755" s="13">
        <f>$B$7*(A755*AG$71+B755*AH$71+C755*AI$71+D755*AJ$71)+F755/100*$B$7*AL$71-$C$71</f>
        <v/>
      </c>
      <c r="M755" s="13">
        <f>$B$7*(A755*AN$71+B755*AO$71+C755*AP$71+D755*AQ$71)+F755/100*$B$7*AS$71-$C$71</f>
        <v/>
      </c>
      <c r="N755" s="13">
        <f>SUMPRODUCT($H$24:$M$24,H755:M755)</f>
        <v/>
      </c>
      <c r="O755" s="14">
        <f>SQRT(SUMPRODUCT($H$24:$M$24,(H755:M755-N755)^2))</f>
        <v/>
      </c>
      <c r="P755" s="13">
        <f>MIN(H755:M755)</f>
        <v/>
      </c>
      <c r="Q755" s="13">
        <f>MAX(H755:M755)</f>
        <v/>
      </c>
      <c r="R755" s="27">
        <f>IF(G755,SUMPRODUCT(($G$76:$G$1505)*($N$76:$N$1505&gt;=N755)*($O$76:$O$1505&lt;=O755))=1,FALSE)</f>
        <v/>
      </c>
      <c r="S755" s="16">
        <f>IF(R755,ABS((O755-$AC$76)/MAX(0.0001,$AC$77-$AC$76)-(N755-$AC$78)/MAX(0.0001,$AC$79-$AC$78)),-1)</f>
        <v/>
      </c>
      <c r="T755" s="14">
        <f>IF(G755,O755,NA())</f>
        <v/>
      </c>
      <c r="U755" s="13">
        <f>IF(G755,N755,NA())</f>
        <v/>
      </c>
      <c r="V755" s="14">
        <f>IF(R755,O755,NA())</f>
        <v/>
      </c>
      <c r="W755" s="13">
        <f>IF(R755,N755,NA())</f>
        <v/>
      </c>
      <c r="X755" s="27">
        <f>IF(G755,P755,"")</f>
        <v/>
      </c>
      <c r="Y755" s="27">
        <f>IF(G755,N755,"")</f>
        <v/>
      </c>
      <c r="Z755" s="27">
        <f>IF(R755,O755,"")</f>
        <v/>
      </c>
      <c r="AA755" s="27">
        <f>IF(R755,N755,"")</f>
        <v/>
      </c>
    </row>
    <row r="756">
      <c r="A756" s="31" t="n">
        <v>0.2</v>
      </c>
      <c r="B756" s="31" t="n">
        <v>0.1</v>
      </c>
      <c r="C756" s="31" t="n">
        <v>0.6</v>
      </c>
      <c r="D756" s="31" t="n">
        <v>0.1</v>
      </c>
      <c r="E756" s="27" t="inlineStr">
        <is>
          <t>ON 20%/1M 10%/2M 60%/3M 10%</t>
        </is>
      </c>
      <c r="F756" s="27" t="n">
        <v>0</v>
      </c>
      <c r="G756" s="27">
        <f>A756*$B$7&gt;=$B$9</f>
        <v/>
      </c>
      <c r="H756" s="13">
        <f>$B$7*(A756*E$71+B756*F$71+C756*G$71+D756*H$71)+F756/100*$B$7*J$71-$C$71</f>
        <v/>
      </c>
      <c r="I756" s="13">
        <f>$B$7*(A756*L$71+B756*M$71+C756*N$71+D756*O$71)+F756/100*$B$7*Q$71-$C$71</f>
        <v/>
      </c>
      <c r="J756" s="13">
        <f>$B$7*(A756*S$71+B756*T$71+C756*U$71+D756*V$71)+F756/100*$B$7*X$71-$C$71</f>
        <v/>
      </c>
      <c r="K756" s="13">
        <f>$B$7*(A756*Z$71+B756*AA$71+C756*AB$71+D756*AC$71)+F756/100*$B$7*AE$71-$C$71</f>
        <v/>
      </c>
      <c r="L756" s="13">
        <f>$B$7*(A756*AG$71+B756*AH$71+C756*AI$71+D756*AJ$71)+F756/100*$B$7*AL$71-$C$71</f>
        <v/>
      </c>
      <c r="M756" s="13">
        <f>$B$7*(A756*AN$71+B756*AO$71+C756*AP$71+D756*AQ$71)+F756/100*$B$7*AS$71-$C$71</f>
        <v/>
      </c>
      <c r="N756" s="13">
        <f>SUMPRODUCT($H$24:$M$24,H756:M756)</f>
        <v/>
      </c>
      <c r="O756" s="14">
        <f>SQRT(SUMPRODUCT($H$24:$M$24,(H756:M756-N756)^2))</f>
        <v/>
      </c>
      <c r="P756" s="13">
        <f>MIN(H756:M756)</f>
        <v/>
      </c>
      <c r="Q756" s="13">
        <f>MAX(H756:M756)</f>
        <v/>
      </c>
      <c r="R756" s="27">
        <f>IF(G756,SUMPRODUCT(($G$76:$G$1505)*($N$76:$N$1505&gt;=N756)*($O$76:$O$1505&lt;=O756))=1,FALSE)</f>
        <v/>
      </c>
      <c r="S756" s="16">
        <f>IF(R756,ABS((O756-$AC$76)/MAX(0.0001,$AC$77-$AC$76)-(N756-$AC$78)/MAX(0.0001,$AC$79-$AC$78)),-1)</f>
        <v/>
      </c>
      <c r="T756" s="14">
        <f>IF(G756,O756,NA())</f>
        <v/>
      </c>
      <c r="U756" s="13">
        <f>IF(G756,N756,NA())</f>
        <v/>
      </c>
      <c r="V756" s="14">
        <f>IF(R756,O756,NA())</f>
        <v/>
      </c>
      <c r="W756" s="13">
        <f>IF(R756,N756,NA())</f>
        <v/>
      </c>
      <c r="X756" s="27">
        <f>IF(G756,P756,"")</f>
        <v/>
      </c>
      <c r="Y756" s="27">
        <f>IF(G756,N756,"")</f>
        <v/>
      </c>
      <c r="Z756" s="27">
        <f>IF(R756,O756,"")</f>
        <v/>
      </c>
      <c r="AA756" s="27">
        <f>IF(R756,N756,"")</f>
        <v/>
      </c>
    </row>
    <row r="757">
      <c r="A757" s="31" t="n">
        <v>0.2</v>
      </c>
      <c r="B757" s="31" t="n">
        <v>0.1</v>
      </c>
      <c r="C757" s="31" t="n">
        <v>0.6</v>
      </c>
      <c r="D757" s="31" t="n">
        <v>0.1</v>
      </c>
      <c r="E757" s="27" t="inlineStr">
        <is>
          <t>ON 20%/1M 10%/2M 60%/3M 10%</t>
        </is>
      </c>
      <c r="F757" s="27" t="n">
        <v>25</v>
      </c>
      <c r="G757" s="27">
        <f>A757*$B$7&gt;=$B$9</f>
        <v/>
      </c>
      <c r="H757" s="13">
        <f>$B$7*(A757*E$71+B757*F$71+C757*G$71+D757*H$71)+F757/100*$B$7*J$71-$C$71</f>
        <v/>
      </c>
      <c r="I757" s="13">
        <f>$B$7*(A757*L$71+B757*M$71+C757*N$71+D757*O$71)+F757/100*$B$7*Q$71-$C$71</f>
        <v/>
      </c>
      <c r="J757" s="13">
        <f>$B$7*(A757*S$71+B757*T$71+C757*U$71+D757*V$71)+F757/100*$B$7*X$71-$C$71</f>
        <v/>
      </c>
      <c r="K757" s="13">
        <f>$B$7*(A757*Z$71+B757*AA$71+C757*AB$71+D757*AC$71)+F757/100*$B$7*AE$71-$C$71</f>
        <v/>
      </c>
      <c r="L757" s="13">
        <f>$B$7*(A757*AG$71+B757*AH$71+C757*AI$71+D757*AJ$71)+F757/100*$B$7*AL$71-$C$71</f>
        <v/>
      </c>
      <c r="M757" s="13">
        <f>$B$7*(A757*AN$71+B757*AO$71+C757*AP$71+D757*AQ$71)+F757/100*$B$7*AS$71-$C$71</f>
        <v/>
      </c>
      <c r="N757" s="13">
        <f>SUMPRODUCT($H$24:$M$24,H757:M757)</f>
        <v/>
      </c>
      <c r="O757" s="14">
        <f>SQRT(SUMPRODUCT($H$24:$M$24,(H757:M757-N757)^2))</f>
        <v/>
      </c>
      <c r="P757" s="13">
        <f>MIN(H757:M757)</f>
        <v/>
      </c>
      <c r="Q757" s="13">
        <f>MAX(H757:M757)</f>
        <v/>
      </c>
      <c r="R757" s="27">
        <f>IF(G757,SUMPRODUCT(($G$76:$G$1505)*($N$76:$N$1505&gt;=N757)*($O$76:$O$1505&lt;=O757))=1,FALSE)</f>
        <v/>
      </c>
      <c r="S757" s="16">
        <f>IF(R757,ABS((O757-$AC$76)/MAX(0.0001,$AC$77-$AC$76)-(N757-$AC$78)/MAX(0.0001,$AC$79-$AC$78)),-1)</f>
        <v/>
      </c>
      <c r="T757" s="14">
        <f>IF(G757,O757,NA())</f>
        <v/>
      </c>
      <c r="U757" s="13">
        <f>IF(G757,N757,NA())</f>
        <v/>
      </c>
      <c r="V757" s="14">
        <f>IF(R757,O757,NA())</f>
        <v/>
      </c>
      <c r="W757" s="13">
        <f>IF(R757,N757,NA())</f>
        <v/>
      </c>
      <c r="X757" s="27">
        <f>IF(G757,P757,"")</f>
        <v/>
      </c>
      <c r="Y757" s="27">
        <f>IF(G757,N757,"")</f>
        <v/>
      </c>
      <c r="Z757" s="27">
        <f>IF(R757,O757,"")</f>
        <v/>
      </c>
      <c r="AA757" s="27">
        <f>IF(R757,N757,"")</f>
        <v/>
      </c>
    </row>
    <row r="758">
      <c r="A758" s="31" t="n">
        <v>0.2</v>
      </c>
      <c r="B758" s="31" t="n">
        <v>0.1</v>
      </c>
      <c r="C758" s="31" t="n">
        <v>0.6</v>
      </c>
      <c r="D758" s="31" t="n">
        <v>0.1</v>
      </c>
      <c r="E758" s="27" t="inlineStr">
        <is>
          <t>ON 20%/1M 10%/2M 60%/3M 10%</t>
        </is>
      </c>
      <c r="F758" s="27" t="n">
        <v>50</v>
      </c>
      <c r="G758" s="27">
        <f>A758*$B$7&gt;=$B$9</f>
        <v/>
      </c>
      <c r="H758" s="13">
        <f>$B$7*(A758*E$71+B758*F$71+C758*G$71+D758*H$71)+F758/100*$B$7*J$71-$C$71</f>
        <v/>
      </c>
      <c r="I758" s="13">
        <f>$B$7*(A758*L$71+B758*M$71+C758*N$71+D758*O$71)+F758/100*$B$7*Q$71-$C$71</f>
        <v/>
      </c>
      <c r="J758" s="13">
        <f>$B$7*(A758*S$71+B758*T$71+C758*U$71+D758*V$71)+F758/100*$B$7*X$71-$C$71</f>
        <v/>
      </c>
      <c r="K758" s="13">
        <f>$B$7*(A758*Z$71+B758*AA$71+C758*AB$71+D758*AC$71)+F758/100*$B$7*AE$71-$C$71</f>
        <v/>
      </c>
      <c r="L758" s="13">
        <f>$B$7*(A758*AG$71+B758*AH$71+C758*AI$71+D758*AJ$71)+F758/100*$B$7*AL$71-$C$71</f>
        <v/>
      </c>
      <c r="M758" s="13">
        <f>$B$7*(A758*AN$71+B758*AO$71+C758*AP$71+D758*AQ$71)+F758/100*$B$7*AS$71-$C$71</f>
        <v/>
      </c>
      <c r="N758" s="13">
        <f>SUMPRODUCT($H$24:$M$24,H758:M758)</f>
        <v/>
      </c>
      <c r="O758" s="14">
        <f>SQRT(SUMPRODUCT($H$24:$M$24,(H758:M758-N758)^2))</f>
        <v/>
      </c>
      <c r="P758" s="13">
        <f>MIN(H758:M758)</f>
        <v/>
      </c>
      <c r="Q758" s="13">
        <f>MAX(H758:M758)</f>
        <v/>
      </c>
      <c r="R758" s="27">
        <f>IF(G758,SUMPRODUCT(($G$76:$G$1505)*($N$76:$N$1505&gt;=N758)*($O$76:$O$1505&lt;=O758))=1,FALSE)</f>
        <v/>
      </c>
      <c r="S758" s="16">
        <f>IF(R758,ABS((O758-$AC$76)/MAX(0.0001,$AC$77-$AC$76)-(N758-$AC$78)/MAX(0.0001,$AC$79-$AC$78)),-1)</f>
        <v/>
      </c>
      <c r="T758" s="14">
        <f>IF(G758,O758,NA())</f>
        <v/>
      </c>
      <c r="U758" s="13">
        <f>IF(G758,N758,NA())</f>
        <v/>
      </c>
      <c r="V758" s="14">
        <f>IF(R758,O758,NA())</f>
        <v/>
      </c>
      <c r="W758" s="13">
        <f>IF(R758,N758,NA())</f>
        <v/>
      </c>
      <c r="X758" s="27">
        <f>IF(G758,P758,"")</f>
        <v/>
      </c>
      <c r="Y758" s="27">
        <f>IF(G758,N758,"")</f>
        <v/>
      </c>
      <c r="Z758" s="27">
        <f>IF(R758,O758,"")</f>
        <v/>
      </c>
      <c r="AA758" s="27">
        <f>IF(R758,N758,"")</f>
        <v/>
      </c>
    </row>
    <row r="759">
      <c r="A759" s="31" t="n">
        <v>0.2</v>
      </c>
      <c r="B759" s="31" t="n">
        <v>0.1</v>
      </c>
      <c r="C759" s="31" t="n">
        <v>0.6</v>
      </c>
      <c r="D759" s="31" t="n">
        <v>0.1</v>
      </c>
      <c r="E759" s="27" t="inlineStr">
        <is>
          <t>ON 20%/1M 10%/2M 60%/3M 10%</t>
        </is>
      </c>
      <c r="F759" s="27" t="n">
        <v>75</v>
      </c>
      <c r="G759" s="27">
        <f>A759*$B$7&gt;=$B$9</f>
        <v/>
      </c>
      <c r="H759" s="13">
        <f>$B$7*(A759*E$71+B759*F$71+C759*G$71+D759*H$71)+F759/100*$B$7*J$71-$C$71</f>
        <v/>
      </c>
      <c r="I759" s="13">
        <f>$B$7*(A759*L$71+B759*M$71+C759*N$71+D759*O$71)+F759/100*$B$7*Q$71-$C$71</f>
        <v/>
      </c>
      <c r="J759" s="13">
        <f>$B$7*(A759*S$71+B759*T$71+C759*U$71+D759*V$71)+F759/100*$B$7*X$71-$C$71</f>
        <v/>
      </c>
      <c r="K759" s="13">
        <f>$B$7*(A759*Z$71+B759*AA$71+C759*AB$71+D759*AC$71)+F759/100*$B$7*AE$71-$C$71</f>
        <v/>
      </c>
      <c r="L759" s="13">
        <f>$B$7*(A759*AG$71+B759*AH$71+C759*AI$71+D759*AJ$71)+F759/100*$B$7*AL$71-$C$71</f>
        <v/>
      </c>
      <c r="M759" s="13">
        <f>$B$7*(A759*AN$71+B759*AO$71+C759*AP$71+D759*AQ$71)+F759/100*$B$7*AS$71-$C$71</f>
        <v/>
      </c>
      <c r="N759" s="13">
        <f>SUMPRODUCT($H$24:$M$24,H759:M759)</f>
        <v/>
      </c>
      <c r="O759" s="14">
        <f>SQRT(SUMPRODUCT($H$24:$M$24,(H759:M759-N759)^2))</f>
        <v/>
      </c>
      <c r="P759" s="13">
        <f>MIN(H759:M759)</f>
        <v/>
      </c>
      <c r="Q759" s="13">
        <f>MAX(H759:M759)</f>
        <v/>
      </c>
      <c r="R759" s="27">
        <f>IF(G759,SUMPRODUCT(($G$76:$G$1505)*($N$76:$N$1505&gt;=N759)*($O$76:$O$1505&lt;=O759))=1,FALSE)</f>
        <v/>
      </c>
      <c r="S759" s="16">
        <f>IF(R759,ABS((O759-$AC$76)/MAX(0.0001,$AC$77-$AC$76)-(N759-$AC$78)/MAX(0.0001,$AC$79-$AC$78)),-1)</f>
        <v/>
      </c>
      <c r="T759" s="14">
        <f>IF(G759,O759,NA())</f>
        <v/>
      </c>
      <c r="U759" s="13">
        <f>IF(G759,N759,NA())</f>
        <v/>
      </c>
      <c r="V759" s="14">
        <f>IF(R759,O759,NA())</f>
        <v/>
      </c>
      <c r="W759" s="13">
        <f>IF(R759,N759,NA())</f>
        <v/>
      </c>
      <c r="X759" s="27">
        <f>IF(G759,P759,"")</f>
        <v/>
      </c>
      <c r="Y759" s="27">
        <f>IF(G759,N759,"")</f>
        <v/>
      </c>
      <c r="Z759" s="27">
        <f>IF(R759,O759,"")</f>
        <v/>
      </c>
      <c r="AA759" s="27">
        <f>IF(R759,N759,"")</f>
        <v/>
      </c>
    </row>
    <row r="760">
      <c r="A760" s="31" t="n">
        <v>0.2</v>
      </c>
      <c r="B760" s="31" t="n">
        <v>0.1</v>
      </c>
      <c r="C760" s="31" t="n">
        <v>0.6</v>
      </c>
      <c r="D760" s="31" t="n">
        <v>0.1</v>
      </c>
      <c r="E760" s="27" t="inlineStr">
        <is>
          <t>ON 20%/1M 10%/2M 60%/3M 10%</t>
        </is>
      </c>
      <c r="F760" s="27" t="n">
        <v>100</v>
      </c>
      <c r="G760" s="27">
        <f>A760*$B$7&gt;=$B$9</f>
        <v/>
      </c>
      <c r="H760" s="13">
        <f>$B$7*(A760*E$71+B760*F$71+C760*G$71+D760*H$71)+F760/100*$B$7*J$71-$C$71</f>
        <v/>
      </c>
      <c r="I760" s="13">
        <f>$B$7*(A760*L$71+B760*M$71+C760*N$71+D760*O$71)+F760/100*$B$7*Q$71-$C$71</f>
        <v/>
      </c>
      <c r="J760" s="13">
        <f>$B$7*(A760*S$71+B760*T$71+C760*U$71+D760*V$71)+F760/100*$B$7*X$71-$C$71</f>
        <v/>
      </c>
      <c r="K760" s="13">
        <f>$B$7*(A760*Z$71+B760*AA$71+C760*AB$71+D760*AC$71)+F760/100*$B$7*AE$71-$C$71</f>
        <v/>
      </c>
      <c r="L760" s="13">
        <f>$B$7*(A760*AG$71+B760*AH$71+C760*AI$71+D760*AJ$71)+F760/100*$B$7*AL$71-$C$71</f>
        <v/>
      </c>
      <c r="M760" s="13">
        <f>$B$7*(A760*AN$71+B760*AO$71+C760*AP$71+D760*AQ$71)+F760/100*$B$7*AS$71-$C$71</f>
        <v/>
      </c>
      <c r="N760" s="13">
        <f>SUMPRODUCT($H$24:$M$24,H760:M760)</f>
        <v/>
      </c>
      <c r="O760" s="14">
        <f>SQRT(SUMPRODUCT($H$24:$M$24,(H760:M760-N760)^2))</f>
        <v/>
      </c>
      <c r="P760" s="13">
        <f>MIN(H760:M760)</f>
        <v/>
      </c>
      <c r="Q760" s="13">
        <f>MAX(H760:M760)</f>
        <v/>
      </c>
      <c r="R760" s="27">
        <f>IF(G760,SUMPRODUCT(($G$76:$G$1505)*($N$76:$N$1505&gt;=N760)*($O$76:$O$1505&lt;=O760))=1,FALSE)</f>
        <v/>
      </c>
      <c r="S760" s="16">
        <f>IF(R760,ABS((O760-$AC$76)/MAX(0.0001,$AC$77-$AC$76)-(N760-$AC$78)/MAX(0.0001,$AC$79-$AC$78)),-1)</f>
        <v/>
      </c>
      <c r="T760" s="14">
        <f>IF(G760,O760,NA())</f>
        <v/>
      </c>
      <c r="U760" s="13">
        <f>IF(G760,N760,NA())</f>
        <v/>
      </c>
      <c r="V760" s="14">
        <f>IF(R760,O760,NA())</f>
        <v/>
      </c>
      <c r="W760" s="13">
        <f>IF(R760,N760,NA())</f>
        <v/>
      </c>
      <c r="X760" s="27">
        <f>IF(G760,P760,"")</f>
        <v/>
      </c>
      <c r="Y760" s="27">
        <f>IF(G760,N760,"")</f>
        <v/>
      </c>
      <c r="Z760" s="27">
        <f>IF(R760,O760,"")</f>
        <v/>
      </c>
      <c r="AA760" s="27">
        <f>IF(R760,N760,"")</f>
        <v/>
      </c>
    </row>
    <row r="761">
      <c r="A761" s="31" t="n">
        <v>0.2</v>
      </c>
      <c r="B761" s="31" t="n">
        <v>0.1</v>
      </c>
      <c r="C761" s="31" t="n">
        <v>0.7</v>
      </c>
      <c r="D761" s="31" t="n">
        <v>0</v>
      </c>
      <c r="E761" s="27" t="inlineStr">
        <is>
          <t>ON 20%/1M 10%/2M 70%</t>
        </is>
      </c>
      <c r="F761" s="27" t="n">
        <v>0</v>
      </c>
      <c r="G761" s="27">
        <f>A761*$B$7&gt;=$B$9</f>
        <v/>
      </c>
      <c r="H761" s="13">
        <f>$B$7*(A761*E$71+B761*F$71+C761*G$71+D761*H$71)+F761/100*$B$7*J$71-$C$71</f>
        <v/>
      </c>
      <c r="I761" s="13">
        <f>$B$7*(A761*L$71+B761*M$71+C761*N$71+D761*O$71)+F761/100*$B$7*Q$71-$C$71</f>
        <v/>
      </c>
      <c r="J761" s="13">
        <f>$B$7*(A761*S$71+B761*T$71+C761*U$71+D761*V$71)+F761/100*$B$7*X$71-$C$71</f>
        <v/>
      </c>
      <c r="K761" s="13">
        <f>$B$7*(A761*Z$71+B761*AA$71+C761*AB$71+D761*AC$71)+F761/100*$B$7*AE$71-$C$71</f>
        <v/>
      </c>
      <c r="L761" s="13">
        <f>$B$7*(A761*AG$71+B761*AH$71+C761*AI$71+D761*AJ$71)+F761/100*$B$7*AL$71-$C$71</f>
        <v/>
      </c>
      <c r="M761" s="13">
        <f>$B$7*(A761*AN$71+B761*AO$71+C761*AP$71+D761*AQ$71)+F761/100*$B$7*AS$71-$C$71</f>
        <v/>
      </c>
      <c r="N761" s="13">
        <f>SUMPRODUCT($H$24:$M$24,H761:M761)</f>
        <v/>
      </c>
      <c r="O761" s="14">
        <f>SQRT(SUMPRODUCT($H$24:$M$24,(H761:M761-N761)^2))</f>
        <v/>
      </c>
      <c r="P761" s="13">
        <f>MIN(H761:M761)</f>
        <v/>
      </c>
      <c r="Q761" s="13">
        <f>MAX(H761:M761)</f>
        <v/>
      </c>
      <c r="R761" s="27">
        <f>IF(G761,SUMPRODUCT(($G$76:$G$1505)*($N$76:$N$1505&gt;=N761)*($O$76:$O$1505&lt;=O761))=1,FALSE)</f>
        <v/>
      </c>
      <c r="S761" s="16">
        <f>IF(R761,ABS((O761-$AC$76)/MAX(0.0001,$AC$77-$AC$76)-(N761-$AC$78)/MAX(0.0001,$AC$79-$AC$78)),-1)</f>
        <v/>
      </c>
      <c r="T761" s="14">
        <f>IF(G761,O761,NA())</f>
        <v/>
      </c>
      <c r="U761" s="13">
        <f>IF(G761,N761,NA())</f>
        <v/>
      </c>
      <c r="V761" s="14">
        <f>IF(R761,O761,NA())</f>
        <v/>
      </c>
      <c r="W761" s="13">
        <f>IF(R761,N761,NA())</f>
        <v/>
      </c>
      <c r="X761" s="27">
        <f>IF(G761,P761,"")</f>
        <v/>
      </c>
      <c r="Y761" s="27">
        <f>IF(G761,N761,"")</f>
        <v/>
      </c>
      <c r="Z761" s="27">
        <f>IF(R761,O761,"")</f>
        <v/>
      </c>
      <c r="AA761" s="27">
        <f>IF(R761,N761,"")</f>
        <v/>
      </c>
    </row>
    <row r="762">
      <c r="A762" s="31" t="n">
        <v>0.2</v>
      </c>
      <c r="B762" s="31" t="n">
        <v>0.1</v>
      </c>
      <c r="C762" s="31" t="n">
        <v>0.7</v>
      </c>
      <c r="D762" s="31" t="n">
        <v>0</v>
      </c>
      <c r="E762" s="27" t="inlineStr">
        <is>
          <t>ON 20%/1M 10%/2M 70%</t>
        </is>
      </c>
      <c r="F762" s="27" t="n">
        <v>25</v>
      </c>
      <c r="G762" s="27">
        <f>A762*$B$7&gt;=$B$9</f>
        <v/>
      </c>
      <c r="H762" s="13">
        <f>$B$7*(A762*E$71+B762*F$71+C762*G$71+D762*H$71)+F762/100*$B$7*J$71-$C$71</f>
        <v/>
      </c>
      <c r="I762" s="13">
        <f>$B$7*(A762*L$71+B762*M$71+C762*N$71+D762*O$71)+F762/100*$B$7*Q$71-$C$71</f>
        <v/>
      </c>
      <c r="J762" s="13">
        <f>$B$7*(A762*S$71+B762*T$71+C762*U$71+D762*V$71)+F762/100*$B$7*X$71-$C$71</f>
        <v/>
      </c>
      <c r="K762" s="13">
        <f>$B$7*(A762*Z$71+B762*AA$71+C762*AB$71+D762*AC$71)+F762/100*$B$7*AE$71-$C$71</f>
        <v/>
      </c>
      <c r="L762" s="13">
        <f>$B$7*(A762*AG$71+B762*AH$71+C762*AI$71+D762*AJ$71)+F762/100*$B$7*AL$71-$C$71</f>
        <v/>
      </c>
      <c r="M762" s="13">
        <f>$B$7*(A762*AN$71+B762*AO$71+C762*AP$71+D762*AQ$71)+F762/100*$B$7*AS$71-$C$71</f>
        <v/>
      </c>
      <c r="N762" s="13">
        <f>SUMPRODUCT($H$24:$M$24,H762:M762)</f>
        <v/>
      </c>
      <c r="O762" s="14">
        <f>SQRT(SUMPRODUCT($H$24:$M$24,(H762:M762-N762)^2))</f>
        <v/>
      </c>
      <c r="P762" s="13">
        <f>MIN(H762:M762)</f>
        <v/>
      </c>
      <c r="Q762" s="13">
        <f>MAX(H762:M762)</f>
        <v/>
      </c>
      <c r="R762" s="27">
        <f>IF(G762,SUMPRODUCT(($G$76:$G$1505)*($N$76:$N$1505&gt;=N762)*($O$76:$O$1505&lt;=O762))=1,FALSE)</f>
        <v/>
      </c>
      <c r="S762" s="16">
        <f>IF(R762,ABS((O762-$AC$76)/MAX(0.0001,$AC$77-$AC$76)-(N762-$AC$78)/MAX(0.0001,$AC$79-$AC$78)),-1)</f>
        <v/>
      </c>
      <c r="T762" s="14">
        <f>IF(G762,O762,NA())</f>
        <v/>
      </c>
      <c r="U762" s="13">
        <f>IF(G762,N762,NA())</f>
        <v/>
      </c>
      <c r="V762" s="14">
        <f>IF(R762,O762,NA())</f>
        <v/>
      </c>
      <c r="W762" s="13">
        <f>IF(R762,N762,NA())</f>
        <v/>
      </c>
      <c r="X762" s="27">
        <f>IF(G762,P762,"")</f>
        <v/>
      </c>
      <c r="Y762" s="27">
        <f>IF(G762,N762,"")</f>
        <v/>
      </c>
      <c r="Z762" s="27">
        <f>IF(R762,O762,"")</f>
        <v/>
      </c>
      <c r="AA762" s="27">
        <f>IF(R762,N762,"")</f>
        <v/>
      </c>
    </row>
    <row r="763">
      <c r="A763" s="31" t="n">
        <v>0.2</v>
      </c>
      <c r="B763" s="31" t="n">
        <v>0.1</v>
      </c>
      <c r="C763" s="31" t="n">
        <v>0.7</v>
      </c>
      <c r="D763" s="31" t="n">
        <v>0</v>
      </c>
      <c r="E763" s="27" t="inlineStr">
        <is>
          <t>ON 20%/1M 10%/2M 70%</t>
        </is>
      </c>
      <c r="F763" s="27" t="n">
        <v>50</v>
      </c>
      <c r="G763" s="27">
        <f>A763*$B$7&gt;=$B$9</f>
        <v/>
      </c>
      <c r="H763" s="13">
        <f>$B$7*(A763*E$71+B763*F$71+C763*G$71+D763*H$71)+F763/100*$B$7*J$71-$C$71</f>
        <v/>
      </c>
      <c r="I763" s="13">
        <f>$B$7*(A763*L$71+B763*M$71+C763*N$71+D763*O$71)+F763/100*$B$7*Q$71-$C$71</f>
        <v/>
      </c>
      <c r="J763" s="13">
        <f>$B$7*(A763*S$71+B763*T$71+C763*U$71+D763*V$71)+F763/100*$B$7*X$71-$C$71</f>
        <v/>
      </c>
      <c r="K763" s="13">
        <f>$B$7*(A763*Z$71+B763*AA$71+C763*AB$71+D763*AC$71)+F763/100*$B$7*AE$71-$C$71</f>
        <v/>
      </c>
      <c r="L763" s="13">
        <f>$B$7*(A763*AG$71+B763*AH$71+C763*AI$71+D763*AJ$71)+F763/100*$B$7*AL$71-$C$71</f>
        <v/>
      </c>
      <c r="M763" s="13">
        <f>$B$7*(A763*AN$71+B763*AO$71+C763*AP$71+D763*AQ$71)+F763/100*$B$7*AS$71-$C$71</f>
        <v/>
      </c>
      <c r="N763" s="13">
        <f>SUMPRODUCT($H$24:$M$24,H763:M763)</f>
        <v/>
      </c>
      <c r="O763" s="14">
        <f>SQRT(SUMPRODUCT($H$24:$M$24,(H763:M763-N763)^2))</f>
        <v/>
      </c>
      <c r="P763" s="13">
        <f>MIN(H763:M763)</f>
        <v/>
      </c>
      <c r="Q763" s="13">
        <f>MAX(H763:M763)</f>
        <v/>
      </c>
      <c r="R763" s="27">
        <f>IF(G763,SUMPRODUCT(($G$76:$G$1505)*($N$76:$N$1505&gt;=N763)*($O$76:$O$1505&lt;=O763))=1,FALSE)</f>
        <v/>
      </c>
      <c r="S763" s="16">
        <f>IF(R763,ABS((O763-$AC$76)/MAX(0.0001,$AC$77-$AC$76)-(N763-$AC$78)/MAX(0.0001,$AC$79-$AC$78)),-1)</f>
        <v/>
      </c>
      <c r="T763" s="14">
        <f>IF(G763,O763,NA())</f>
        <v/>
      </c>
      <c r="U763" s="13">
        <f>IF(G763,N763,NA())</f>
        <v/>
      </c>
      <c r="V763" s="14">
        <f>IF(R763,O763,NA())</f>
        <v/>
      </c>
      <c r="W763" s="13">
        <f>IF(R763,N763,NA())</f>
        <v/>
      </c>
      <c r="X763" s="27">
        <f>IF(G763,P763,"")</f>
        <v/>
      </c>
      <c r="Y763" s="27">
        <f>IF(G763,N763,"")</f>
        <v/>
      </c>
      <c r="Z763" s="27">
        <f>IF(R763,O763,"")</f>
        <v/>
      </c>
      <c r="AA763" s="27">
        <f>IF(R763,N763,"")</f>
        <v/>
      </c>
    </row>
    <row r="764">
      <c r="A764" s="31" t="n">
        <v>0.2</v>
      </c>
      <c r="B764" s="31" t="n">
        <v>0.1</v>
      </c>
      <c r="C764" s="31" t="n">
        <v>0.7</v>
      </c>
      <c r="D764" s="31" t="n">
        <v>0</v>
      </c>
      <c r="E764" s="27" t="inlineStr">
        <is>
          <t>ON 20%/1M 10%/2M 70%</t>
        </is>
      </c>
      <c r="F764" s="27" t="n">
        <v>75</v>
      </c>
      <c r="G764" s="27">
        <f>A764*$B$7&gt;=$B$9</f>
        <v/>
      </c>
      <c r="H764" s="13">
        <f>$B$7*(A764*E$71+B764*F$71+C764*G$71+D764*H$71)+F764/100*$B$7*J$71-$C$71</f>
        <v/>
      </c>
      <c r="I764" s="13">
        <f>$B$7*(A764*L$71+B764*M$71+C764*N$71+D764*O$71)+F764/100*$B$7*Q$71-$C$71</f>
        <v/>
      </c>
      <c r="J764" s="13">
        <f>$B$7*(A764*S$71+B764*T$71+C764*U$71+D764*V$71)+F764/100*$B$7*X$71-$C$71</f>
        <v/>
      </c>
      <c r="K764" s="13">
        <f>$B$7*(A764*Z$71+B764*AA$71+C764*AB$71+D764*AC$71)+F764/100*$B$7*AE$71-$C$71</f>
        <v/>
      </c>
      <c r="L764" s="13">
        <f>$B$7*(A764*AG$71+B764*AH$71+C764*AI$71+D764*AJ$71)+F764/100*$B$7*AL$71-$C$71</f>
        <v/>
      </c>
      <c r="M764" s="13">
        <f>$B$7*(A764*AN$71+B764*AO$71+C764*AP$71+D764*AQ$71)+F764/100*$B$7*AS$71-$C$71</f>
        <v/>
      </c>
      <c r="N764" s="13">
        <f>SUMPRODUCT($H$24:$M$24,H764:M764)</f>
        <v/>
      </c>
      <c r="O764" s="14">
        <f>SQRT(SUMPRODUCT($H$24:$M$24,(H764:M764-N764)^2))</f>
        <v/>
      </c>
      <c r="P764" s="13">
        <f>MIN(H764:M764)</f>
        <v/>
      </c>
      <c r="Q764" s="13">
        <f>MAX(H764:M764)</f>
        <v/>
      </c>
      <c r="R764" s="27">
        <f>IF(G764,SUMPRODUCT(($G$76:$G$1505)*($N$76:$N$1505&gt;=N764)*($O$76:$O$1505&lt;=O764))=1,FALSE)</f>
        <v/>
      </c>
      <c r="S764" s="16">
        <f>IF(R764,ABS((O764-$AC$76)/MAX(0.0001,$AC$77-$AC$76)-(N764-$AC$78)/MAX(0.0001,$AC$79-$AC$78)),-1)</f>
        <v/>
      </c>
      <c r="T764" s="14">
        <f>IF(G764,O764,NA())</f>
        <v/>
      </c>
      <c r="U764" s="13">
        <f>IF(G764,N764,NA())</f>
        <v/>
      </c>
      <c r="V764" s="14">
        <f>IF(R764,O764,NA())</f>
        <v/>
      </c>
      <c r="W764" s="13">
        <f>IF(R764,N764,NA())</f>
        <v/>
      </c>
      <c r="X764" s="27">
        <f>IF(G764,P764,"")</f>
        <v/>
      </c>
      <c r="Y764" s="27">
        <f>IF(G764,N764,"")</f>
        <v/>
      </c>
      <c r="Z764" s="27">
        <f>IF(R764,O764,"")</f>
        <v/>
      </c>
      <c r="AA764" s="27">
        <f>IF(R764,N764,"")</f>
        <v/>
      </c>
    </row>
    <row r="765">
      <c r="A765" s="31" t="n">
        <v>0.2</v>
      </c>
      <c r="B765" s="31" t="n">
        <v>0.1</v>
      </c>
      <c r="C765" s="31" t="n">
        <v>0.7</v>
      </c>
      <c r="D765" s="31" t="n">
        <v>0</v>
      </c>
      <c r="E765" s="27" t="inlineStr">
        <is>
          <t>ON 20%/1M 10%/2M 70%</t>
        </is>
      </c>
      <c r="F765" s="27" t="n">
        <v>100</v>
      </c>
      <c r="G765" s="27">
        <f>A765*$B$7&gt;=$B$9</f>
        <v/>
      </c>
      <c r="H765" s="13">
        <f>$B$7*(A765*E$71+B765*F$71+C765*G$71+D765*H$71)+F765/100*$B$7*J$71-$C$71</f>
        <v/>
      </c>
      <c r="I765" s="13">
        <f>$B$7*(A765*L$71+B765*M$71+C765*N$71+D765*O$71)+F765/100*$B$7*Q$71-$C$71</f>
        <v/>
      </c>
      <c r="J765" s="13">
        <f>$B$7*(A765*S$71+B765*T$71+C765*U$71+D765*V$71)+F765/100*$B$7*X$71-$C$71</f>
        <v/>
      </c>
      <c r="K765" s="13">
        <f>$B$7*(A765*Z$71+B765*AA$71+C765*AB$71+D765*AC$71)+F765/100*$B$7*AE$71-$C$71</f>
        <v/>
      </c>
      <c r="L765" s="13">
        <f>$B$7*(A765*AG$71+B765*AH$71+C765*AI$71+D765*AJ$71)+F765/100*$B$7*AL$71-$C$71</f>
        <v/>
      </c>
      <c r="M765" s="13">
        <f>$B$7*(A765*AN$71+B765*AO$71+C765*AP$71+D765*AQ$71)+F765/100*$B$7*AS$71-$C$71</f>
        <v/>
      </c>
      <c r="N765" s="13">
        <f>SUMPRODUCT($H$24:$M$24,H765:M765)</f>
        <v/>
      </c>
      <c r="O765" s="14">
        <f>SQRT(SUMPRODUCT($H$24:$M$24,(H765:M765-N765)^2))</f>
        <v/>
      </c>
      <c r="P765" s="13">
        <f>MIN(H765:M765)</f>
        <v/>
      </c>
      <c r="Q765" s="13">
        <f>MAX(H765:M765)</f>
        <v/>
      </c>
      <c r="R765" s="27">
        <f>IF(G765,SUMPRODUCT(($G$76:$G$1505)*($N$76:$N$1505&gt;=N765)*($O$76:$O$1505&lt;=O765))=1,FALSE)</f>
        <v/>
      </c>
      <c r="S765" s="16">
        <f>IF(R765,ABS((O765-$AC$76)/MAX(0.0001,$AC$77-$AC$76)-(N765-$AC$78)/MAX(0.0001,$AC$79-$AC$78)),-1)</f>
        <v/>
      </c>
      <c r="T765" s="14">
        <f>IF(G765,O765,NA())</f>
        <v/>
      </c>
      <c r="U765" s="13">
        <f>IF(G765,N765,NA())</f>
        <v/>
      </c>
      <c r="V765" s="14">
        <f>IF(R765,O765,NA())</f>
        <v/>
      </c>
      <c r="W765" s="13">
        <f>IF(R765,N765,NA())</f>
        <v/>
      </c>
      <c r="X765" s="27">
        <f>IF(G765,P765,"")</f>
        <v/>
      </c>
      <c r="Y765" s="27">
        <f>IF(G765,N765,"")</f>
        <v/>
      </c>
      <c r="Z765" s="27">
        <f>IF(R765,O765,"")</f>
        <v/>
      </c>
      <c r="AA765" s="27">
        <f>IF(R765,N765,"")</f>
        <v/>
      </c>
    </row>
    <row r="766">
      <c r="A766" s="31" t="n">
        <v>0.2</v>
      </c>
      <c r="B766" s="31" t="n">
        <v>0.2</v>
      </c>
      <c r="C766" s="31" t="n">
        <v>0</v>
      </c>
      <c r="D766" s="31" t="n">
        <v>0.6</v>
      </c>
      <c r="E766" s="27" t="inlineStr">
        <is>
          <t>ON 20%/1M 20%/3M 60%</t>
        </is>
      </c>
      <c r="F766" s="27" t="n">
        <v>0</v>
      </c>
      <c r="G766" s="27">
        <f>A766*$B$7&gt;=$B$9</f>
        <v/>
      </c>
      <c r="H766" s="13">
        <f>$B$7*(A766*E$71+B766*F$71+C766*G$71+D766*H$71)+F766/100*$B$7*J$71-$C$71</f>
        <v/>
      </c>
      <c r="I766" s="13">
        <f>$B$7*(A766*L$71+B766*M$71+C766*N$71+D766*O$71)+F766/100*$B$7*Q$71-$C$71</f>
        <v/>
      </c>
      <c r="J766" s="13">
        <f>$B$7*(A766*S$71+B766*T$71+C766*U$71+D766*V$71)+F766/100*$B$7*X$71-$C$71</f>
        <v/>
      </c>
      <c r="K766" s="13">
        <f>$B$7*(A766*Z$71+B766*AA$71+C766*AB$71+D766*AC$71)+F766/100*$B$7*AE$71-$C$71</f>
        <v/>
      </c>
      <c r="L766" s="13">
        <f>$B$7*(A766*AG$71+B766*AH$71+C766*AI$71+D766*AJ$71)+F766/100*$B$7*AL$71-$C$71</f>
        <v/>
      </c>
      <c r="M766" s="13">
        <f>$B$7*(A766*AN$71+B766*AO$71+C766*AP$71+D766*AQ$71)+F766/100*$B$7*AS$71-$C$71</f>
        <v/>
      </c>
      <c r="N766" s="13">
        <f>SUMPRODUCT($H$24:$M$24,H766:M766)</f>
        <v/>
      </c>
      <c r="O766" s="14">
        <f>SQRT(SUMPRODUCT($H$24:$M$24,(H766:M766-N766)^2))</f>
        <v/>
      </c>
      <c r="P766" s="13">
        <f>MIN(H766:M766)</f>
        <v/>
      </c>
      <c r="Q766" s="13">
        <f>MAX(H766:M766)</f>
        <v/>
      </c>
      <c r="R766" s="27">
        <f>IF(G766,SUMPRODUCT(($G$76:$G$1505)*($N$76:$N$1505&gt;=N766)*($O$76:$O$1505&lt;=O766))=1,FALSE)</f>
        <v/>
      </c>
      <c r="S766" s="16">
        <f>IF(R766,ABS((O766-$AC$76)/MAX(0.0001,$AC$77-$AC$76)-(N766-$AC$78)/MAX(0.0001,$AC$79-$AC$78)),-1)</f>
        <v/>
      </c>
      <c r="T766" s="14">
        <f>IF(G766,O766,NA())</f>
        <v/>
      </c>
      <c r="U766" s="13">
        <f>IF(G766,N766,NA())</f>
        <v/>
      </c>
      <c r="V766" s="14">
        <f>IF(R766,O766,NA())</f>
        <v/>
      </c>
      <c r="W766" s="13">
        <f>IF(R766,N766,NA())</f>
        <v/>
      </c>
      <c r="X766" s="27">
        <f>IF(G766,P766,"")</f>
        <v/>
      </c>
      <c r="Y766" s="27">
        <f>IF(G766,N766,"")</f>
        <v/>
      </c>
      <c r="Z766" s="27">
        <f>IF(R766,O766,"")</f>
        <v/>
      </c>
      <c r="AA766" s="27">
        <f>IF(R766,N766,"")</f>
        <v/>
      </c>
    </row>
    <row r="767">
      <c r="A767" s="31" t="n">
        <v>0.2</v>
      </c>
      <c r="B767" s="31" t="n">
        <v>0.2</v>
      </c>
      <c r="C767" s="31" t="n">
        <v>0</v>
      </c>
      <c r="D767" s="31" t="n">
        <v>0.6</v>
      </c>
      <c r="E767" s="27" t="inlineStr">
        <is>
          <t>ON 20%/1M 20%/3M 60%</t>
        </is>
      </c>
      <c r="F767" s="27" t="n">
        <v>25</v>
      </c>
      <c r="G767" s="27">
        <f>A767*$B$7&gt;=$B$9</f>
        <v/>
      </c>
      <c r="H767" s="13">
        <f>$B$7*(A767*E$71+B767*F$71+C767*G$71+D767*H$71)+F767/100*$B$7*J$71-$C$71</f>
        <v/>
      </c>
      <c r="I767" s="13">
        <f>$B$7*(A767*L$71+B767*M$71+C767*N$71+D767*O$71)+F767/100*$B$7*Q$71-$C$71</f>
        <v/>
      </c>
      <c r="J767" s="13">
        <f>$B$7*(A767*S$71+B767*T$71+C767*U$71+D767*V$71)+F767/100*$B$7*X$71-$C$71</f>
        <v/>
      </c>
      <c r="K767" s="13">
        <f>$B$7*(A767*Z$71+B767*AA$71+C767*AB$71+D767*AC$71)+F767/100*$B$7*AE$71-$C$71</f>
        <v/>
      </c>
      <c r="L767" s="13">
        <f>$B$7*(A767*AG$71+B767*AH$71+C767*AI$71+D767*AJ$71)+F767/100*$B$7*AL$71-$C$71</f>
        <v/>
      </c>
      <c r="M767" s="13">
        <f>$B$7*(A767*AN$71+B767*AO$71+C767*AP$71+D767*AQ$71)+F767/100*$B$7*AS$71-$C$71</f>
        <v/>
      </c>
      <c r="N767" s="13">
        <f>SUMPRODUCT($H$24:$M$24,H767:M767)</f>
        <v/>
      </c>
      <c r="O767" s="14">
        <f>SQRT(SUMPRODUCT($H$24:$M$24,(H767:M767-N767)^2))</f>
        <v/>
      </c>
      <c r="P767" s="13">
        <f>MIN(H767:M767)</f>
        <v/>
      </c>
      <c r="Q767" s="13">
        <f>MAX(H767:M767)</f>
        <v/>
      </c>
      <c r="R767" s="27">
        <f>IF(G767,SUMPRODUCT(($G$76:$G$1505)*($N$76:$N$1505&gt;=N767)*($O$76:$O$1505&lt;=O767))=1,FALSE)</f>
        <v/>
      </c>
      <c r="S767" s="16">
        <f>IF(R767,ABS((O767-$AC$76)/MAX(0.0001,$AC$77-$AC$76)-(N767-$AC$78)/MAX(0.0001,$AC$79-$AC$78)),-1)</f>
        <v/>
      </c>
      <c r="T767" s="14">
        <f>IF(G767,O767,NA())</f>
        <v/>
      </c>
      <c r="U767" s="13">
        <f>IF(G767,N767,NA())</f>
        <v/>
      </c>
      <c r="V767" s="14">
        <f>IF(R767,O767,NA())</f>
        <v/>
      </c>
      <c r="W767" s="13">
        <f>IF(R767,N767,NA())</f>
        <v/>
      </c>
      <c r="X767" s="27">
        <f>IF(G767,P767,"")</f>
        <v/>
      </c>
      <c r="Y767" s="27">
        <f>IF(G767,N767,"")</f>
        <v/>
      </c>
      <c r="Z767" s="27">
        <f>IF(R767,O767,"")</f>
        <v/>
      </c>
      <c r="AA767" s="27">
        <f>IF(R767,N767,"")</f>
        <v/>
      </c>
    </row>
    <row r="768">
      <c r="A768" s="31" t="n">
        <v>0.2</v>
      </c>
      <c r="B768" s="31" t="n">
        <v>0.2</v>
      </c>
      <c r="C768" s="31" t="n">
        <v>0</v>
      </c>
      <c r="D768" s="31" t="n">
        <v>0.6</v>
      </c>
      <c r="E768" s="27" t="inlineStr">
        <is>
          <t>ON 20%/1M 20%/3M 60%</t>
        </is>
      </c>
      <c r="F768" s="27" t="n">
        <v>50</v>
      </c>
      <c r="G768" s="27">
        <f>A768*$B$7&gt;=$B$9</f>
        <v/>
      </c>
      <c r="H768" s="13">
        <f>$B$7*(A768*E$71+B768*F$71+C768*G$71+D768*H$71)+F768/100*$B$7*J$71-$C$71</f>
        <v/>
      </c>
      <c r="I768" s="13">
        <f>$B$7*(A768*L$71+B768*M$71+C768*N$71+D768*O$71)+F768/100*$B$7*Q$71-$C$71</f>
        <v/>
      </c>
      <c r="J768" s="13">
        <f>$B$7*(A768*S$71+B768*T$71+C768*U$71+D768*V$71)+F768/100*$B$7*X$71-$C$71</f>
        <v/>
      </c>
      <c r="K768" s="13">
        <f>$B$7*(A768*Z$71+B768*AA$71+C768*AB$71+D768*AC$71)+F768/100*$B$7*AE$71-$C$71</f>
        <v/>
      </c>
      <c r="L768" s="13">
        <f>$B$7*(A768*AG$71+B768*AH$71+C768*AI$71+D768*AJ$71)+F768/100*$B$7*AL$71-$C$71</f>
        <v/>
      </c>
      <c r="M768" s="13">
        <f>$B$7*(A768*AN$71+B768*AO$71+C768*AP$71+D768*AQ$71)+F768/100*$B$7*AS$71-$C$71</f>
        <v/>
      </c>
      <c r="N768" s="13">
        <f>SUMPRODUCT($H$24:$M$24,H768:M768)</f>
        <v/>
      </c>
      <c r="O768" s="14">
        <f>SQRT(SUMPRODUCT($H$24:$M$24,(H768:M768-N768)^2))</f>
        <v/>
      </c>
      <c r="P768" s="13">
        <f>MIN(H768:M768)</f>
        <v/>
      </c>
      <c r="Q768" s="13">
        <f>MAX(H768:M768)</f>
        <v/>
      </c>
      <c r="R768" s="27">
        <f>IF(G768,SUMPRODUCT(($G$76:$G$1505)*($N$76:$N$1505&gt;=N768)*($O$76:$O$1505&lt;=O768))=1,FALSE)</f>
        <v/>
      </c>
      <c r="S768" s="16">
        <f>IF(R768,ABS((O768-$AC$76)/MAX(0.0001,$AC$77-$AC$76)-(N768-$AC$78)/MAX(0.0001,$AC$79-$AC$78)),-1)</f>
        <v/>
      </c>
      <c r="T768" s="14">
        <f>IF(G768,O768,NA())</f>
        <v/>
      </c>
      <c r="U768" s="13">
        <f>IF(G768,N768,NA())</f>
        <v/>
      </c>
      <c r="V768" s="14">
        <f>IF(R768,O768,NA())</f>
        <v/>
      </c>
      <c r="W768" s="13">
        <f>IF(R768,N768,NA())</f>
        <v/>
      </c>
      <c r="X768" s="27">
        <f>IF(G768,P768,"")</f>
        <v/>
      </c>
      <c r="Y768" s="27">
        <f>IF(G768,N768,"")</f>
        <v/>
      </c>
      <c r="Z768" s="27">
        <f>IF(R768,O768,"")</f>
        <v/>
      </c>
      <c r="AA768" s="27">
        <f>IF(R768,N768,"")</f>
        <v/>
      </c>
    </row>
    <row r="769">
      <c r="A769" s="31" t="n">
        <v>0.2</v>
      </c>
      <c r="B769" s="31" t="n">
        <v>0.2</v>
      </c>
      <c r="C769" s="31" t="n">
        <v>0</v>
      </c>
      <c r="D769" s="31" t="n">
        <v>0.6</v>
      </c>
      <c r="E769" s="27" t="inlineStr">
        <is>
          <t>ON 20%/1M 20%/3M 60%</t>
        </is>
      </c>
      <c r="F769" s="27" t="n">
        <v>75</v>
      </c>
      <c r="G769" s="27">
        <f>A769*$B$7&gt;=$B$9</f>
        <v/>
      </c>
      <c r="H769" s="13">
        <f>$B$7*(A769*E$71+B769*F$71+C769*G$71+D769*H$71)+F769/100*$B$7*J$71-$C$71</f>
        <v/>
      </c>
      <c r="I769" s="13">
        <f>$B$7*(A769*L$71+B769*M$71+C769*N$71+D769*O$71)+F769/100*$B$7*Q$71-$C$71</f>
        <v/>
      </c>
      <c r="J769" s="13">
        <f>$B$7*(A769*S$71+B769*T$71+C769*U$71+D769*V$71)+F769/100*$B$7*X$71-$C$71</f>
        <v/>
      </c>
      <c r="K769" s="13">
        <f>$B$7*(A769*Z$71+B769*AA$71+C769*AB$71+D769*AC$71)+F769/100*$B$7*AE$71-$C$71</f>
        <v/>
      </c>
      <c r="L769" s="13">
        <f>$B$7*(A769*AG$71+B769*AH$71+C769*AI$71+D769*AJ$71)+F769/100*$B$7*AL$71-$C$71</f>
        <v/>
      </c>
      <c r="M769" s="13">
        <f>$B$7*(A769*AN$71+B769*AO$71+C769*AP$71+D769*AQ$71)+F769/100*$B$7*AS$71-$C$71</f>
        <v/>
      </c>
      <c r="N769" s="13">
        <f>SUMPRODUCT($H$24:$M$24,H769:M769)</f>
        <v/>
      </c>
      <c r="O769" s="14">
        <f>SQRT(SUMPRODUCT($H$24:$M$24,(H769:M769-N769)^2))</f>
        <v/>
      </c>
      <c r="P769" s="13">
        <f>MIN(H769:M769)</f>
        <v/>
      </c>
      <c r="Q769" s="13">
        <f>MAX(H769:M769)</f>
        <v/>
      </c>
      <c r="R769" s="27">
        <f>IF(G769,SUMPRODUCT(($G$76:$G$1505)*($N$76:$N$1505&gt;=N769)*($O$76:$O$1505&lt;=O769))=1,FALSE)</f>
        <v/>
      </c>
      <c r="S769" s="16">
        <f>IF(R769,ABS((O769-$AC$76)/MAX(0.0001,$AC$77-$AC$76)-(N769-$AC$78)/MAX(0.0001,$AC$79-$AC$78)),-1)</f>
        <v/>
      </c>
      <c r="T769" s="14">
        <f>IF(G769,O769,NA())</f>
        <v/>
      </c>
      <c r="U769" s="13">
        <f>IF(G769,N769,NA())</f>
        <v/>
      </c>
      <c r="V769" s="14">
        <f>IF(R769,O769,NA())</f>
        <v/>
      </c>
      <c r="W769" s="13">
        <f>IF(R769,N769,NA())</f>
        <v/>
      </c>
      <c r="X769" s="27">
        <f>IF(G769,P769,"")</f>
        <v/>
      </c>
      <c r="Y769" s="27">
        <f>IF(G769,N769,"")</f>
        <v/>
      </c>
      <c r="Z769" s="27">
        <f>IF(R769,O769,"")</f>
        <v/>
      </c>
      <c r="AA769" s="27">
        <f>IF(R769,N769,"")</f>
        <v/>
      </c>
    </row>
    <row r="770">
      <c r="A770" s="31" t="n">
        <v>0.2</v>
      </c>
      <c r="B770" s="31" t="n">
        <v>0.2</v>
      </c>
      <c r="C770" s="31" t="n">
        <v>0</v>
      </c>
      <c r="D770" s="31" t="n">
        <v>0.6</v>
      </c>
      <c r="E770" s="27" t="inlineStr">
        <is>
          <t>ON 20%/1M 20%/3M 60%</t>
        </is>
      </c>
      <c r="F770" s="27" t="n">
        <v>100</v>
      </c>
      <c r="G770" s="27">
        <f>A770*$B$7&gt;=$B$9</f>
        <v/>
      </c>
      <c r="H770" s="13">
        <f>$B$7*(A770*E$71+B770*F$71+C770*G$71+D770*H$71)+F770/100*$B$7*J$71-$C$71</f>
        <v/>
      </c>
      <c r="I770" s="13">
        <f>$B$7*(A770*L$71+B770*M$71+C770*N$71+D770*O$71)+F770/100*$B$7*Q$71-$C$71</f>
        <v/>
      </c>
      <c r="J770" s="13">
        <f>$B$7*(A770*S$71+B770*T$71+C770*U$71+D770*V$71)+F770/100*$B$7*X$71-$C$71</f>
        <v/>
      </c>
      <c r="K770" s="13">
        <f>$B$7*(A770*Z$71+B770*AA$71+C770*AB$71+D770*AC$71)+F770/100*$B$7*AE$71-$C$71</f>
        <v/>
      </c>
      <c r="L770" s="13">
        <f>$B$7*(A770*AG$71+B770*AH$71+C770*AI$71+D770*AJ$71)+F770/100*$B$7*AL$71-$C$71</f>
        <v/>
      </c>
      <c r="M770" s="13">
        <f>$B$7*(A770*AN$71+B770*AO$71+C770*AP$71+D770*AQ$71)+F770/100*$B$7*AS$71-$C$71</f>
        <v/>
      </c>
      <c r="N770" s="13">
        <f>SUMPRODUCT($H$24:$M$24,H770:M770)</f>
        <v/>
      </c>
      <c r="O770" s="14">
        <f>SQRT(SUMPRODUCT($H$24:$M$24,(H770:M770-N770)^2))</f>
        <v/>
      </c>
      <c r="P770" s="13">
        <f>MIN(H770:M770)</f>
        <v/>
      </c>
      <c r="Q770" s="13">
        <f>MAX(H770:M770)</f>
        <v/>
      </c>
      <c r="R770" s="27">
        <f>IF(G770,SUMPRODUCT(($G$76:$G$1505)*($N$76:$N$1505&gt;=N770)*($O$76:$O$1505&lt;=O770))=1,FALSE)</f>
        <v/>
      </c>
      <c r="S770" s="16">
        <f>IF(R770,ABS((O770-$AC$76)/MAX(0.0001,$AC$77-$AC$76)-(N770-$AC$78)/MAX(0.0001,$AC$79-$AC$78)),-1)</f>
        <v/>
      </c>
      <c r="T770" s="14">
        <f>IF(G770,O770,NA())</f>
        <v/>
      </c>
      <c r="U770" s="13">
        <f>IF(G770,N770,NA())</f>
        <v/>
      </c>
      <c r="V770" s="14">
        <f>IF(R770,O770,NA())</f>
        <v/>
      </c>
      <c r="W770" s="13">
        <f>IF(R770,N770,NA())</f>
        <v/>
      </c>
      <c r="X770" s="27">
        <f>IF(G770,P770,"")</f>
        <v/>
      </c>
      <c r="Y770" s="27">
        <f>IF(G770,N770,"")</f>
        <v/>
      </c>
      <c r="Z770" s="27">
        <f>IF(R770,O770,"")</f>
        <v/>
      </c>
      <c r="AA770" s="27">
        <f>IF(R770,N770,"")</f>
        <v/>
      </c>
    </row>
    <row r="771">
      <c r="A771" s="31" t="n">
        <v>0.2</v>
      </c>
      <c r="B771" s="31" t="n">
        <v>0.2</v>
      </c>
      <c r="C771" s="31" t="n">
        <v>0.1</v>
      </c>
      <c r="D771" s="31" t="n">
        <v>0.5</v>
      </c>
      <c r="E771" s="27" t="inlineStr">
        <is>
          <t>ON 20%/1M 20%/2M 10%/3M 50%</t>
        </is>
      </c>
      <c r="F771" s="27" t="n">
        <v>0</v>
      </c>
      <c r="G771" s="27">
        <f>A771*$B$7&gt;=$B$9</f>
        <v/>
      </c>
      <c r="H771" s="13">
        <f>$B$7*(A771*E$71+B771*F$71+C771*G$71+D771*H$71)+F771/100*$B$7*J$71-$C$71</f>
        <v/>
      </c>
      <c r="I771" s="13">
        <f>$B$7*(A771*L$71+B771*M$71+C771*N$71+D771*O$71)+F771/100*$B$7*Q$71-$C$71</f>
        <v/>
      </c>
      <c r="J771" s="13">
        <f>$B$7*(A771*S$71+B771*T$71+C771*U$71+D771*V$71)+F771/100*$B$7*X$71-$C$71</f>
        <v/>
      </c>
      <c r="K771" s="13">
        <f>$B$7*(A771*Z$71+B771*AA$71+C771*AB$71+D771*AC$71)+F771/100*$B$7*AE$71-$C$71</f>
        <v/>
      </c>
      <c r="L771" s="13">
        <f>$B$7*(A771*AG$71+B771*AH$71+C771*AI$71+D771*AJ$71)+F771/100*$B$7*AL$71-$C$71</f>
        <v/>
      </c>
      <c r="M771" s="13">
        <f>$B$7*(A771*AN$71+B771*AO$71+C771*AP$71+D771*AQ$71)+F771/100*$B$7*AS$71-$C$71</f>
        <v/>
      </c>
      <c r="N771" s="13">
        <f>SUMPRODUCT($H$24:$M$24,H771:M771)</f>
        <v/>
      </c>
      <c r="O771" s="14">
        <f>SQRT(SUMPRODUCT($H$24:$M$24,(H771:M771-N771)^2))</f>
        <v/>
      </c>
      <c r="P771" s="13">
        <f>MIN(H771:M771)</f>
        <v/>
      </c>
      <c r="Q771" s="13">
        <f>MAX(H771:M771)</f>
        <v/>
      </c>
      <c r="R771" s="27">
        <f>IF(G771,SUMPRODUCT(($G$76:$G$1505)*($N$76:$N$1505&gt;=N771)*($O$76:$O$1505&lt;=O771))=1,FALSE)</f>
        <v/>
      </c>
      <c r="S771" s="16">
        <f>IF(R771,ABS((O771-$AC$76)/MAX(0.0001,$AC$77-$AC$76)-(N771-$AC$78)/MAX(0.0001,$AC$79-$AC$78)),-1)</f>
        <v/>
      </c>
      <c r="T771" s="14">
        <f>IF(G771,O771,NA())</f>
        <v/>
      </c>
      <c r="U771" s="13">
        <f>IF(G771,N771,NA())</f>
        <v/>
      </c>
      <c r="V771" s="14">
        <f>IF(R771,O771,NA())</f>
        <v/>
      </c>
      <c r="W771" s="13">
        <f>IF(R771,N771,NA())</f>
        <v/>
      </c>
      <c r="X771" s="27">
        <f>IF(G771,P771,"")</f>
        <v/>
      </c>
      <c r="Y771" s="27">
        <f>IF(G771,N771,"")</f>
        <v/>
      </c>
      <c r="Z771" s="27">
        <f>IF(R771,O771,"")</f>
        <v/>
      </c>
      <c r="AA771" s="27">
        <f>IF(R771,N771,"")</f>
        <v/>
      </c>
    </row>
    <row r="772">
      <c r="A772" s="31" t="n">
        <v>0.2</v>
      </c>
      <c r="B772" s="31" t="n">
        <v>0.2</v>
      </c>
      <c r="C772" s="31" t="n">
        <v>0.1</v>
      </c>
      <c r="D772" s="31" t="n">
        <v>0.5</v>
      </c>
      <c r="E772" s="27" t="inlineStr">
        <is>
          <t>ON 20%/1M 20%/2M 10%/3M 50%</t>
        </is>
      </c>
      <c r="F772" s="27" t="n">
        <v>25</v>
      </c>
      <c r="G772" s="27">
        <f>A772*$B$7&gt;=$B$9</f>
        <v/>
      </c>
      <c r="H772" s="13">
        <f>$B$7*(A772*E$71+B772*F$71+C772*G$71+D772*H$71)+F772/100*$B$7*J$71-$C$71</f>
        <v/>
      </c>
      <c r="I772" s="13">
        <f>$B$7*(A772*L$71+B772*M$71+C772*N$71+D772*O$71)+F772/100*$B$7*Q$71-$C$71</f>
        <v/>
      </c>
      <c r="J772" s="13">
        <f>$B$7*(A772*S$71+B772*T$71+C772*U$71+D772*V$71)+F772/100*$B$7*X$71-$C$71</f>
        <v/>
      </c>
      <c r="K772" s="13">
        <f>$B$7*(A772*Z$71+B772*AA$71+C772*AB$71+D772*AC$71)+F772/100*$B$7*AE$71-$C$71</f>
        <v/>
      </c>
      <c r="L772" s="13">
        <f>$B$7*(A772*AG$71+B772*AH$71+C772*AI$71+D772*AJ$71)+F772/100*$B$7*AL$71-$C$71</f>
        <v/>
      </c>
      <c r="M772" s="13">
        <f>$B$7*(A772*AN$71+B772*AO$71+C772*AP$71+D772*AQ$71)+F772/100*$B$7*AS$71-$C$71</f>
        <v/>
      </c>
      <c r="N772" s="13">
        <f>SUMPRODUCT($H$24:$M$24,H772:M772)</f>
        <v/>
      </c>
      <c r="O772" s="14">
        <f>SQRT(SUMPRODUCT($H$24:$M$24,(H772:M772-N772)^2))</f>
        <v/>
      </c>
      <c r="P772" s="13">
        <f>MIN(H772:M772)</f>
        <v/>
      </c>
      <c r="Q772" s="13">
        <f>MAX(H772:M772)</f>
        <v/>
      </c>
      <c r="R772" s="27">
        <f>IF(G772,SUMPRODUCT(($G$76:$G$1505)*($N$76:$N$1505&gt;=N772)*($O$76:$O$1505&lt;=O772))=1,FALSE)</f>
        <v/>
      </c>
      <c r="S772" s="16">
        <f>IF(R772,ABS((O772-$AC$76)/MAX(0.0001,$AC$77-$AC$76)-(N772-$AC$78)/MAX(0.0001,$AC$79-$AC$78)),-1)</f>
        <v/>
      </c>
      <c r="T772" s="14">
        <f>IF(G772,O772,NA())</f>
        <v/>
      </c>
      <c r="U772" s="13">
        <f>IF(G772,N772,NA())</f>
        <v/>
      </c>
      <c r="V772" s="14">
        <f>IF(R772,O772,NA())</f>
        <v/>
      </c>
      <c r="W772" s="13">
        <f>IF(R772,N772,NA())</f>
        <v/>
      </c>
      <c r="X772" s="27">
        <f>IF(G772,P772,"")</f>
        <v/>
      </c>
      <c r="Y772" s="27">
        <f>IF(G772,N772,"")</f>
        <v/>
      </c>
      <c r="Z772" s="27">
        <f>IF(R772,O772,"")</f>
        <v/>
      </c>
      <c r="AA772" s="27">
        <f>IF(R772,N772,"")</f>
        <v/>
      </c>
    </row>
    <row r="773">
      <c r="A773" s="31" t="n">
        <v>0.2</v>
      </c>
      <c r="B773" s="31" t="n">
        <v>0.2</v>
      </c>
      <c r="C773" s="31" t="n">
        <v>0.1</v>
      </c>
      <c r="D773" s="31" t="n">
        <v>0.5</v>
      </c>
      <c r="E773" s="27" t="inlineStr">
        <is>
          <t>ON 20%/1M 20%/2M 10%/3M 50%</t>
        </is>
      </c>
      <c r="F773" s="27" t="n">
        <v>50</v>
      </c>
      <c r="G773" s="27">
        <f>A773*$B$7&gt;=$B$9</f>
        <v/>
      </c>
      <c r="H773" s="13">
        <f>$B$7*(A773*E$71+B773*F$71+C773*G$71+D773*H$71)+F773/100*$B$7*J$71-$C$71</f>
        <v/>
      </c>
      <c r="I773" s="13">
        <f>$B$7*(A773*L$71+B773*M$71+C773*N$71+D773*O$71)+F773/100*$B$7*Q$71-$C$71</f>
        <v/>
      </c>
      <c r="J773" s="13">
        <f>$B$7*(A773*S$71+B773*T$71+C773*U$71+D773*V$71)+F773/100*$B$7*X$71-$C$71</f>
        <v/>
      </c>
      <c r="K773" s="13">
        <f>$B$7*(A773*Z$71+B773*AA$71+C773*AB$71+D773*AC$71)+F773/100*$B$7*AE$71-$C$71</f>
        <v/>
      </c>
      <c r="L773" s="13">
        <f>$B$7*(A773*AG$71+B773*AH$71+C773*AI$71+D773*AJ$71)+F773/100*$B$7*AL$71-$C$71</f>
        <v/>
      </c>
      <c r="M773" s="13">
        <f>$B$7*(A773*AN$71+B773*AO$71+C773*AP$71+D773*AQ$71)+F773/100*$B$7*AS$71-$C$71</f>
        <v/>
      </c>
      <c r="N773" s="13">
        <f>SUMPRODUCT($H$24:$M$24,H773:M773)</f>
        <v/>
      </c>
      <c r="O773" s="14">
        <f>SQRT(SUMPRODUCT($H$24:$M$24,(H773:M773-N773)^2))</f>
        <v/>
      </c>
      <c r="P773" s="13">
        <f>MIN(H773:M773)</f>
        <v/>
      </c>
      <c r="Q773" s="13">
        <f>MAX(H773:M773)</f>
        <v/>
      </c>
      <c r="R773" s="27">
        <f>IF(G773,SUMPRODUCT(($G$76:$G$1505)*($N$76:$N$1505&gt;=N773)*($O$76:$O$1505&lt;=O773))=1,FALSE)</f>
        <v/>
      </c>
      <c r="S773" s="16">
        <f>IF(R773,ABS((O773-$AC$76)/MAX(0.0001,$AC$77-$AC$76)-(N773-$AC$78)/MAX(0.0001,$AC$79-$AC$78)),-1)</f>
        <v/>
      </c>
      <c r="T773" s="14">
        <f>IF(G773,O773,NA())</f>
        <v/>
      </c>
      <c r="U773" s="13">
        <f>IF(G773,N773,NA())</f>
        <v/>
      </c>
      <c r="V773" s="14">
        <f>IF(R773,O773,NA())</f>
        <v/>
      </c>
      <c r="W773" s="13">
        <f>IF(R773,N773,NA())</f>
        <v/>
      </c>
      <c r="X773" s="27">
        <f>IF(G773,P773,"")</f>
        <v/>
      </c>
      <c r="Y773" s="27">
        <f>IF(G773,N773,"")</f>
        <v/>
      </c>
      <c r="Z773" s="27">
        <f>IF(R773,O773,"")</f>
        <v/>
      </c>
      <c r="AA773" s="27">
        <f>IF(R773,N773,"")</f>
        <v/>
      </c>
    </row>
    <row r="774">
      <c r="A774" s="31" t="n">
        <v>0.2</v>
      </c>
      <c r="B774" s="31" t="n">
        <v>0.2</v>
      </c>
      <c r="C774" s="31" t="n">
        <v>0.1</v>
      </c>
      <c r="D774" s="31" t="n">
        <v>0.5</v>
      </c>
      <c r="E774" s="27" t="inlineStr">
        <is>
          <t>ON 20%/1M 20%/2M 10%/3M 50%</t>
        </is>
      </c>
      <c r="F774" s="27" t="n">
        <v>75</v>
      </c>
      <c r="G774" s="27">
        <f>A774*$B$7&gt;=$B$9</f>
        <v/>
      </c>
      <c r="H774" s="13">
        <f>$B$7*(A774*E$71+B774*F$71+C774*G$71+D774*H$71)+F774/100*$B$7*J$71-$C$71</f>
        <v/>
      </c>
      <c r="I774" s="13">
        <f>$B$7*(A774*L$71+B774*M$71+C774*N$71+D774*O$71)+F774/100*$B$7*Q$71-$C$71</f>
        <v/>
      </c>
      <c r="J774" s="13">
        <f>$B$7*(A774*S$71+B774*T$71+C774*U$71+D774*V$71)+F774/100*$B$7*X$71-$C$71</f>
        <v/>
      </c>
      <c r="K774" s="13">
        <f>$B$7*(A774*Z$71+B774*AA$71+C774*AB$71+D774*AC$71)+F774/100*$B$7*AE$71-$C$71</f>
        <v/>
      </c>
      <c r="L774" s="13">
        <f>$B$7*(A774*AG$71+B774*AH$71+C774*AI$71+D774*AJ$71)+F774/100*$B$7*AL$71-$C$71</f>
        <v/>
      </c>
      <c r="M774" s="13">
        <f>$B$7*(A774*AN$71+B774*AO$71+C774*AP$71+D774*AQ$71)+F774/100*$B$7*AS$71-$C$71</f>
        <v/>
      </c>
      <c r="N774" s="13">
        <f>SUMPRODUCT($H$24:$M$24,H774:M774)</f>
        <v/>
      </c>
      <c r="O774" s="14">
        <f>SQRT(SUMPRODUCT($H$24:$M$24,(H774:M774-N774)^2))</f>
        <v/>
      </c>
      <c r="P774" s="13">
        <f>MIN(H774:M774)</f>
        <v/>
      </c>
      <c r="Q774" s="13">
        <f>MAX(H774:M774)</f>
        <v/>
      </c>
      <c r="R774" s="27">
        <f>IF(G774,SUMPRODUCT(($G$76:$G$1505)*($N$76:$N$1505&gt;=N774)*($O$76:$O$1505&lt;=O774))=1,FALSE)</f>
        <v/>
      </c>
      <c r="S774" s="16">
        <f>IF(R774,ABS((O774-$AC$76)/MAX(0.0001,$AC$77-$AC$76)-(N774-$AC$78)/MAX(0.0001,$AC$79-$AC$78)),-1)</f>
        <v/>
      </c>
      <c r="T774" s="14">
        <f>IF(G774,O774,NA())</f>
        <v/>
      </c>
      <c r="U774" s="13">
        <f>IF(G774,N774,NA())</f>
        <v/>
      </c>
      <c r="V774" s="14">
        <f>IF(R774,O774,NA())</f>
        <v/>
      </c>
      <c r="W774" s="13">
        <f>IF(R774,N774,NA())</f>
        <v/>
      </c>
      <c r="X774" s="27">
        <f>IF(G774,P774,"")</f>
        <v/>
      </c>
      <c r="Y774" s="27">
        <f>IF(G774,N774,"")</f>
        <v/>
      </c>
      <c r="Z774" s="27">
        <f>IF(R774,O774,"")</f>
        <v/>
      </c>
      <c r="AA774" s="27">
        <f>IF(R774,N774,"")</f>
        <v/>
      </c>
    </row>
    <row r="775">
      <c r="A775" s="31" t="n">
        <v>0.2</v>
      </c>
      <c r="B775" s="31" t="n">
        <v>0.2</v>
      </c>
      <c r="C775" s="31" t="n">
        <v>0.1</v>
      </c>
      <c r="D775" s="31" t="n">
        <v>0.5</v>
      </c>
      <c r="E775" s="27" t="inlineStr">
        <is>
          <t>ON 20%/1M 20%/2M 10%/3M 50%</t>
        </is>
      </c>
      <c r="F775" s="27" t="n">
        <v>100</v>
      </c>
      <c r="G775" s="27">
        <f>A775*$B$7&gt;=$B$9</f>
        <v/>
      </c>
      <c r="H775" s="13">
        <f>$B$7*(A775*E$71+B775*F$71+C775*G$71+D775*H$71)+F775/100*$B$7*J$71-$C$71</f>
        <v/>
      </c>
      <c r="I775" s="13">
        <f>$B$7*(A775*L$71+B775*M$71+C775*N$71+D775*O$71)+F775/100*$B$7*Q$71-$C$71</f>
        <v/>
      </c>
      <c r="J775" s="13">
        <f>$B$7*(A775*S$71+B775*T$71+C775*U$71+D775*V$71)+F775/100*$B$7*X$71-$C$71</f>
        <v/>
      </c>
      <c r="K775" s="13">
        <f>$B$7*(A775*Z$71+B775*AA$71+C775*AB$71+D775*AC$71)+F775/100*$B$7*AE$71-$C$71</f>
        <v/>
      </c>
      <c r="L775" s="13">
        <f>$B$7*(A775*AG$71+B775*AH$71+C775*AI$71+D775*AJ$71)+F775/100*$B$7*AL$71-$C$71</f>
        <v/>
      </c>
      <c r="M775" s="13">
        <f>$B$7*(A775*AN$71+B775*AO$71+C775*AP$71+D775*AQ$71)+F775/100*$B$7*AS$71-$C$71</f>
        <v/>
      </c>
      <c r="N775" s="13">
        <f>SUMPRODUCT($H$24:$M$24,H775:M775)</f>
        <v/>
      </c>
      <c r="O775" s="14">
        <f>SQRT(SUMPRODUCT($H$24:$M$24,(H775:M775-N775)^2))</f>
        <v/>
      </c>
      <c r="P775" s="13">
        <f>MIN(H775:M775)</f>
        <v/>
      </c>
      <c r="Q775" s="13">
        <f>MAX(H775:M775)</f>
        <v/>
      </c>
      <c r="R775" s="27">
        <f>IF(G775,SUMPRODUCT(($G$76:$G$1505)*($N$76:$N$1505&gt;=N775)*($O$76:$O$1505&lt;=O775))=1,FALSE)</f>
        <v/>
      </c>
      <c r="S775" s="16">
        <f>IF(R775,ABS((O775-$AC$76)/MAX(0.0001,$AC$77-$AC$76)-(N775-$AC$78)/MAX(0.0001,$AC$79-$AC$78)),-1)</f>
        <v/>
      </c>
      <c r="T775" s="14">
        <f>IF(G775,O775,NA())</f>
        <v/>
      </c>
      <c r="U775" s="13">
        <f>IF(G775,N775,NA())</f>
        <v/>
      </c>
      <c r="V775" s="14">
        <f>IF(R775,O775,NA())</f>
        <v/>
      </c>
      <c r="W775" s="13">
        <f>IF(R775,N775,NA())</f>
        <v/>
      </c>
      <c r="X775" s="27">
        <f>IF(G775,P775,"")</f>
        <v/>
      </c>
      <c r="Y775" s="27">
        <f>IF(G775,N775,"")</f>
        <v/>
      </c>
      <c r="Z775" s="27">
        <f>IF(R775,O775,"")</f>
        <v/>
      </c>
      <c r="AA775" s="27">
        <f>IF(R775,N775,"")</f>
        <v/>
      </c>
    </row>
    <row r="776">
      <c r="A776" s="31" t="n">
        <v>0.2</v>
      </c>
      <c r="B776" s="31" t="n">
        <v>0.2</v>
      </c>
      <c r="C776" s="31" t="n">
        <v>0.2</v>
      </c>
      <c r="D776" s="31" t="n">
        <v>0.4</v>
      </c>
      <c r="E776" s="27" t="inlineStr">
        <is>
          <t>ON 20%/1M 20%/2M 20%/3M 40%</t>
        </is>
      </c>
      <c r="F776" s="27" t="n">
        <v>0</v>
      </c>
      <c r="G776" s="27">
        <f>A776*$B$7&gt;=$B$9</f>
        <v/>
      </c>
      <c r="H776" s="13">
        <f>$B$7*(A776*E$71+B776*F$71+C776*G$71+D776*H$71)+F776/100*$B$7*J$71-$C$71</f>
        <v/>
      </c>
      <c r="I776" s="13">
        <f>$B$7*(A776*L$71+B776*M$71+C776*N$71+D776*O$71)+F776/100*$B$7*Q$71-$C$71</f>
        <v/>
      </c>
      <c r="J776" s="13">
        <f>$B$7*(A776*S$71+B776*T$71+C776*U$71+D776*V$71)+F776/100*$B$7*X$71-$C$71</f>
        <v/>
      </c>
      <c r="K776" s="13">
        <f>$B$7*(A776*Z$71+B776*AA$71+C776*AB$71+D776*AC$71)+F776/100*$B$7*AE$71-$C$71</f>
        <v/>
      </c>
      <c r="L776" s="13">
        <f>$B$7*(A776*AG$71+B776*AH$71+C776*AI$71+D776*AJ$71)+F776/100*$B$7*AL$71-$C$71</f>
        <v/>
      </c>
      <c r="M776" s="13">
        <f>$B$7*(A776*AN$71+B776*AO$71+C776*AP$71+D776*AQ$71)+F776/100*$B$7*AS$71-$C$71</f>
        <v/>
      </c>
      <c r="N776" s="13">
        <f>SUMPRODUCT($H$24:$M$24,H776:M776)</f>
        <v/>
      </c>
      <c r="O776" s="14">
        <f>SQRT(SUMPRODUCT($H$24:$M$24,(H776:M776-N776)^2))</f>
        <v/>
      </c>
      <c r="P776" s="13">
        <f>MIN(H776:M776)</f>
        <v/>
      </c>
      <c r="Q776" s="13">
        <f>MAX(H776:M776)</f>
        <v/>
      </c>
      <c r="R776" s="27">
        <f>IF(G776,SUMPRODUCT(($G$76:$G$1505)*($N$76:$N$1505&gt;=N776)*($O$76:$O$1505&lt;=O776))=1,FALSE)</f>
        <v/>
      </c>
      <c r="S776" s="16">
        <f>IF(R776,ABS((O776-$AC$76)/MAX(0.0001,$AC$77-$AC$76)-(N776-$AC$78)/MAX(0.0001,$AC$79-$AC$78)),-1)</f>
        <v/>
      </c>
      <c r="T776" s="14">
        <f>IF(G776,O776,NA())</f>
        <v/>
      </c>
      <c r="U776" s="13">
        <f>IF(G776,N776,NA())</f>
        <v/>
      </c>
      <c r="V776" s="14">
        <f>IF(R776,O776,NA())</f>
        <v/>
      </c>
      <c r="W776" s="13">
        <f>IF(R776,N776,NA())</f>
        <v/>
      </c>
      <c r="X776" s="27">
        <f>IF(G776,P776,"")</f>
        <v/>
      </c>
      <c r="Y776" s="27">
        <f>IF(G776,N776,"")</f>
        <v/>
      </c>
      <c r="Z776" s="27">
        <f>IF(R776,O776,"")</f>
        <v/>
      </c>
      <c r="AA776" s="27">
        <f>IF(R776,N776,"")</f>
        <v/>
      </c>
    </row>
    <row r="777">
      <c r="A777" s="31" t="n">
        <v>0.2</v>
      </c>
      <c r="B777" s="31" t="n">
        <v>0.2</v>
      </c>
      <c r="C777" s="31" t="n">
        <v>0.2</v>
      </c>
      <c r="D777" s="31" t="n">
        <v>0.4</v>
      </c>
      <c r="E777" s="27" t="inlineStr">
        <is>
          <t>ON 20%/1M 20%/2M 20%/3M 40%</t>
        </is>
      </c>
      <c r="F777" s="27" t="n">
        <v>25</v>
      </c>
      <c r="G777" s="27">
        <f>A777*$B$7&gt;=$B$9</f>
        <v/>
      </c>
      <c r="H777" s="13">
        <f>$B$7*(A777*E$71+B777*F$71+C777*G$71+D777*H$71)+F777/100*$B$7*J$71-$C$71</f>
        <v/>
      </c>
      <c r="I777" s="13">
        <f>$B$7*(A777*L$71+B777*M$71+C777*N$71+D777*O$71)+F777/100*$B$7*Q$71-$C$71</f>
        <v/>
      </c>
      <c r="J777" s="13">
        <f>$B$7*(A777*S$71+B777*T$71+C777*U$71+D777*V$71)+F777/100*$B$7*X$71-$C$71</f>
        <v/>
      </c>
      <c r="K777" s="13">
        <f>$B$7*(A777*Z$71+B777*AA$71+C777*AB$71+D777*AC$71)+F777/100*$B$7*AE$71-$C$71</f>
        <v/>
      </c>
      <c r="L777" s="13">
        <f>$B$7*(A777*AG$71+B777*AH$71+C777*AI$71+D777*AJ$71)+F777/100*$B$7*AL$71-$C$71</f>
        <v/>
      </c>
      <c r="M777" s="13">
        <f>$B$7*(A777*AN$71+B777*AO$71+C777*AP$71+D777*AQ$71)+F777/100*$B$7*AS$71-$C$71</f>
        <v/>
      </c>
      <c r="N777" s="13">
        <f>SUMPRODUCT($H$24:$M$24,H777:M777)</f>
        <v/>
      </c>
      <c r="O777" s="14">
        <f>SQRT(SUMPRODUCT($H$24:$M$24,(H777:M777-N777)^2))</f>
        <v/>
      </c>
      <c r="P777" s="13">
        <f>MIN(H777:M777)</f>
        <v/>
      </c>
      <c r="Q777" s="13">
        <f>MAX(H777:M777)</f>
        <v/>
      </c>
      <c r="R777" s="27">
        <f>IF(G777,SUMPRODUCT(($G$76:$G$1505)*($N$76:$N$1505&gt;=N777)*($O$76:$O$1505&lt;=O777))=1,FALSE)</f>
        <v/>
      </c>
      <c r="S777" s="16">
        <f>IF(R777,ABS((O777-$AC$76)/MAX(0.0001,$AC$77-$AC$76)-(N777-$AC$78)/MAX(0.0001,$AC$79-$AC$78)),-1)</f>
        <v/>
      </c>
      <c r="T777" s="14">
        <f>IF(G777,O777,NA())</f>
        <v/>
      </c>
      <c r="U777" s="13">
        <f>IF(G777,N777,NA())</f>
        <v/>
      </c>
      <c r="V777" s="14">
        <f>IF(R777,O777,NA())</f>
        <v/>
      </c>
      <c r="W777" s="13">
        <f>IF(R777,N777,NA())</f>
        <v/>
      </c>
      <c r="X777" s="27">
        <f>IF(G777,P777,"")</f>
        <v/>
      </c>
      <c r="Y777" s="27">
        <f>IF(G777,N777,"")</f>
        <v/>
      </c>
      <c r="Z777" s="27">
        <f>IF(R777,O777,"")</f>
        <v/>
      </c>
      <c r="AA777" s="27">
        <f>IF(R777,N777,"")</f>
        <v/>
      </c>
    </row>
    <row r="778">
      <c r="A778" s="31" t="n">
        <v>0.2</v>
      </c>
      <c r="B778" s="31" t="n">
        <v>0.2</v>
      </c>
      <c r="C778" s="31" t="n">
        <v>0.2</v>
      </c>
      <c r="D778" s="31" t="n">
        <v>0.4</v>
      </c>
      <c r="E778" s="27" t="inlineStr">
        <is>
          <t>ON 20%/1M 20%/2M 20%/3M 40%</t>
        </is>
      </c>
      <c r="F778" s="27" t="n">
        <v>50</v>
      </c>
      <c r="G778" s="27">
        <f>A778*$B$7&gt;=$B$9</f>
        <v/>
      </c>
      <c r="H778" s="13">
        <f>$B$7*(A778*E$71+B778*F$71+C778*G$71+D778*H$71)+F778/100*$B$7*J$71-$C$71</f>
        <v/>
      </c>
      <c r="I778" s="13">
        <f>$B$7*(A778*L$71+B778*M$71+C778*N$71+D778*O$71)+F778/100*$B$7*Q$71-$C$71</f>
        <v/>
      </c>
      <c r="J778" s="13">
        <f>$B$7*(A778*S$71+B778*T$71+C778*U$71+D778*V$71)+F778/100*$B$7*X$71-$C$71</f>
        <v/>
      </c>
      <c r="K778" s="13">
        <f>$B$7*(A778*Z$71+B778*AA$71+C778*AB$71+D778*AC$71)+F778/100*$B$7*AE$71-$C$71</f>
        <v/>
      </c>
      <c r="L778" s="13">
        <f>$B$7*(A778*AG$71+B778*AH$71+C778*AI$71+D778*AJ$71)+F778/100*$B$7*AL$71-$C$71</f>
        <v/>
      </c>
      <c r="M778" s="13">
        <f>$B$7*(A778*AN$71+B778*AO$71+C778*AP$71+D778*AQ$71)+F778/100*$B$7*AS$71-$C$71</f>
        <v/>
      </c>
      <c r="N778" s="13">
        <f>SUMPRODUCT($H$24:$M$24,H778:M778)</f>
        <v/>
      </c>
      <c r="O778" s="14">
        <f>SQRT(SUMPRODUCT($H$24:$M$24,(H778:M778-N778)^2))</f>
        <v/>
      </c>
      <c r="P778" s="13">
        <f>MIN(H778:M778)</f>
        <v/>
      </c>
      <c r="Q778" s="13">
        <f>MAX(H778:M778)</f>
        <v/>
      </c>
      <c r="R778" s="27">
        <f>IF(G778,SUMPRODUCT(($G$76:$G$1505)*($N$76:$N$1505&gt;=N778)*($O$76:$O$1505&lt;=O778))=1,FALSE)</f>
        <v/>
      </c>
      <c r="S778" s="16">
        <f>IF(R778,ABS((O778-$AC$76)/MAX(0.0001,$AC$77-$AC$76)-(N778-$AC$78)/MAX(0.0001,$AC$79-$AC$78)),-1)</f>
        <v/>
      </c>
      <c r="T778" s="14">
        <f>IF(G778,O778,NA())</f>
        <v/>
      </c>
      <c r="U778" s="13">
        <f>IF(G778,N778,NA())</f>
        <v/>
      </c>
      <c r="V778" s="14">
        <f>IF(R778,O778,NA())</f>
        <v/>
      </c>
      <c r="W778" s="13">
        <f>IF(R778,N778,NA())</f>
        <v/>
      </c>
      <c r="X778" s="27">
        <f>IF(G778,P778,"")</f>
        <v/>
      </c>
      <c r="Y778" s="27">
        <f>IF(G778,N778,"")</f>
        <v/>
      </c>
      <c r="Z778" s="27">
        <f>IF(R778,O778,"")</f>
        <v/>
      </c>
      <c r="AA778" s="27">
        <f>IF(R778,N778,"")</f>
        <v/>
      </c>
    </row>
    <row r="779">
      <c r="A779" s="31" t="n">
        <v>0.2</v>
      </c>
      <c r="B779" s="31" t="n">
        <v>0.2</v>
      </c>
      <c r="C779" s="31" t="n">
        <v>0.2</v>
      </c>
      <c r="D779" s="31" t="n">
        <v>0.4</v>
      </c>
      <c r="E779" s="27" t="inlineStr">
        <is>
          <t>ON 20%/1M 20%/2M 20%/3M 40%</t>
        </is>
      </c>
      <c r="F779" s="27" t="n">
        <v>75</v>
      </c>
      <c r="G779" s="27">
        <f>A779*$B$7&gt;=$B$9</f>
        <v/>
      </c>
      <c r="H779" s="13">
        <f>$B$7*(A779*E$71+B779*F$71+C779*G$71+D779*H$71)+F779/100*$B$7*J$71-$C$71</f>
        <v/>
      </c>
      <c r="I779" s="13">
        <f>$B$7*(A779*L$71+B779*M$71+C779*N$71+D779*O$71)+F779/100*$B$7*Q$71-$C$71</f>
        <v/>
      </c>
      <c r="J779" s="13">
        <f>$B$7*(A779*S$71+B779*T$71+C779*U$71+D779*V$71)+F779/100*$B$7*X$71-$C$71</f>
        <v/>
      </c>
      <c r="K779" s="13">
        <f>$B$7*(A779*Z$71+B779*AA$71+C779*AB$71+D779*AC$71)+F779/100*$B$7*AE$71-$C$71</f>
        <v/>
      </c>
      <c r="L779" s="13">
        <f>$B$7*(A779*AG$71+B779*AH$71+C779*AI$71+D779*AJ$71)+F779/100*$B$7*AL$71-$C$71</f>
        <v/>
      </c>
      <c r="M779" s="13">
        <f>$B$7*(A779*AN$71+B779*AO$71+C779*AP$71+D779*AQ$71)+F779/100*$B$7*AS$71-$C$71</f>
        <v/>
      </c>
      <c r="N779" s="13">
        <f>SUMPRODUCT($H$24:$M$24,H779:M779)</f>
        <v/>
      </c>
      <c r="O779" s="14">
        <f>SQRT(SUMPRODUCT($H$24:$M$24,(H779:M779-N779)^2))</f>
        <v/>
      </c>
      <c r="P779" s="13">
        <f>MIN(H779:M779)</f>
        <v/>
      </c>
      <c r="Q779" s="13">
        <f>MAX(H779:M779)</f>
        <v/>
      </c>
      <c r="R779" s="27">
        <f>IF(G779,SUMPRODUCT(($G$76:$G$1505)*($N$76:$N$1505&gt;=N779)*($O$76:$O$1505&lt;=O779))=1,FALSE)</f>
        <v/>
      </c>
      <c r="S779" s="16">
        <f>IF(R779,ABS((O779-$AC$76)/MAX(0.0001,$AC$77-$AC$76)-(N779-$AC$78)/MAX(0.0001,$AC$79-$AC$78)),-1)</f>
        <v/>
      </c>
      <c r="T779" s="14">
        <f>IF(G779,O779,NA())</f>
        <v/>
      </c>
      <c r="U779" s="13">
        <f>IF(G779,N779,NA())</f>
        <v/>
      </c>
      <c r="V779" s="14">
        <f>IF(R779,O779,NA())</f>
        <v/>
      </c>
      <c r="W779" s="13">
        <f>IF(R779,N779,NA())</f>
        <v/>
      </c>
      <c r="X779" s="27">
        <f>IF(G779,P779,"")</f>
        <v/>
      </c>
      <c r="Y779" s="27">
        <f>IF(G779,N779,"")</f>
        <v/>
      </c>
      <c r="Z779" s="27">
        <f>IF(R779,O779,"")</f>
        <v/>
      </c>
      <c r="AA779" s="27">
        <f>IF(R779,N779,"")</f>
        <v/>
      </c>
    </row>
    <row r="780">
      <c r="A780" s="31" t="n">
        <v>0.2</v>
      </c>
      <c r="B780" s="31" t="n">
        <v>0.2</v>
      </c>
      <c r="C780" s="31" t="n">
        <v>0.2</v>
      </c>
      <c r="D780" s="31" t="n">
        <v>0.4</v>
      </c>
      <c r="E780" s="27" t="inlineStr">
        <is>
          <t>ON 20%/1M 20%/2M 20%/3M 40%</t>
        </is>
      </c>
      <c r="F780" s="27" t="n">
        <v>100</v>
      </c>
      <c r="G780" s="27">
        <f>A780*$B$7&gt;=$B$9</f>
        <v/>
      </c>
      <c r="H780" s="13">
        <f>$B$7*(A780*E$71+B780*F$71+C780*G$71+D780*H$71)+F780/100*$B$7*J$71-$C$71</f>
        <v/>
      </c>
      <c r="I780" s="13">
        <f>$B$7*(A780*L$71+B780*M$71+C780*N$71+D780*O$71)+F780/100*$B$7*Q$71-$C$71</f>
        <v/>
      </c>
      <c r="J780" s="13">
        <f>$B$7*(A780*S$71+B780*T$71+C780*U$71+D780*V$71)+F780/100*$B$7*X$71-$C$71</f>
        <v/>
      </c>
      <c r="K780" s="13">
        <f>$B$7*(A780*Z$71+B780*AA$71+C780*AB$71+D780*AC$71)+F780/100*$B$7*AE$71-$C$71</f>
        <v/>
      </c>
      <c r="L780" s="13">
        <f>$B$7*(A780*AG$71+B780*AH$71+C780*AI$71+D780*AJ$71)+F780/100*$B$7*AL$71-$C$71</f>
        <v/>
      </c>
      <c r="M780" s="13">
        <f>$B$7*(A780*AN$71+B780*AO$71+C780*AP$71+D780*AQ$71)+F780/100*$B$7*AS$71-$C$71</f>
        <v/>
      </c>
      <c r="N780" s="13">
        <f>SUMPRODUCT($H$24:$M$24,H780:M780)</f>
        <v/>
      </c>
      <c r="O780" s="14">
        <f>SQRT(SUMPRODUCT($H$24:$M$24,(H780:M780-N780)^2))</f>
        <v/>
      </c>
      <c r="P780" s="13">
        <f>MIN(H780:M780)</f>
        <v/>
      </c>
      <c r="Q780" s="13">
        <f>MAX(H780:M780)</f>
        <v/>
      </c>
      <c r="R780" s="27">
        <f>IF(G780,SUMPRODUCT(($G$76:$G$1505)*($N$76:$N$1505&gt;=N780)*($O$76:$O$1505&lt;=O780))=1,FALSE)</f>
        <v/>
      </c>
      <c r="S780" s="16">
        <f>IF(R780,ABS((O780-$AC$76)/MAX(0.0001,$AC$77-$AC$76)-(N780-$AC$78)/MAX(0.0001,$AC$79-$AC$78)),-1)</f>
        <v/>
      </c>
      <c r="T780" s="14">
        <f>IF(G780,O780,NA())</f>
        <v/>
      </c>
      <c r="U780" s="13">
        <f>IF(G780,N780,NA())</f>
        <v/>
      </c>
      <c r="V780" s="14">
        <f>IF(R780,O780,NA())</f>
        <v/>
      </c>
      <c r="W780" s="13">
        <f>IF(R780,N780,NA())</f>
        <v/>
      </c>
      <c r="X780" s="27">
        <f>IF(G780,P780,"")</f>
        <v/>
      </c>
      <c r="Y780" s="27">
        <f>IF(G780,N780,"")</f>
        <v/>
      </c>
      <c r="Z780" s="27">
        <f>IF(R780,O780,"")</f>
        <v/>
      </c>
      <c r="AA780" s="27">
        <f>IF(R780,N780,"")</f>
        <v/>
      </c>
    </row>
    <row r="781">
      <c r="A781" s="31" t="n">
        <v>0.2</v>
      </c>
      <c r="B781" s="31" t="n">
        <v>0.2</v>
      </c>
      <c r="C781" s="31" t="n">
        <v>0.3</v>
      </c>
      <c r="D781" s="31" t="n">
        <v>0.3</v>
      </c>
      <c r="E781" s="27" t="inlineStr">
        <is>
          <t>ON 20%/1M 20%/2M 30%/3M 30%</t>
        </is>
      </c>
      <c r="F781" s="27" t="n">
        <v>0</v>
      </c>
      <c r="G781" s="27">
        <f>A781*$B$7&gt;=$B$9</f>
        <v/>
      </c>
      <c r="H781" s="13">
        <f>$B$7*(A781*E$71+B781*F$71+C781*G$71+D781*H$71)+F781/100*$B$7*J$71-$C$71</f>
        <v/>
      </c>
      <c r="I781" s="13">
        <f>$B$7*(A781*L$71+B781*M$71+C781*N$71+D781*O$71)+F781/100*$B$7*Q$71-$C$71</f>
        <v/>
      </c>
      <c r="J781" s="13">
        <f>$B$7*(A781*S$71+B781*T$71+C781*U$71+D781*V$71)+F781/100*$B$7*X$71-$C$71</f>
        <v/>
      </c>
      <c r="K781" s="13">
        <f>$B$7*(A781*Z$71+B781*AA$71+C781*AB$71+D781*AC$71)+F781/100*$B$7*AE$71-$C$71</f>
        <v/>
      </c>
      <c r="L781" s="13">
        <f>$B$7*(A781*AG$71+B781*AH$71+C781*AI$71+D781*AJ$71)+F781/100*$B$7*AL$71-$C$71</f>
        <v/>
      </c>
      <c r="M781" s="13">
        <f>$B$7*(A781*AN$71+B781*AO$71+C781*AP$71+D781*AQ$71)+F781/100*$B$7*AS$71-$C$71</f>
        <v/>
      </c>
      <c r="N781" s="13">
        <f>SUMPRODUCT($H$24:$M$24,H781:M781)</f>
        <v/>
      </c>
      <c r="O781" s="14">
        <f>SQRT(SUMPRODUCT($H$24:$M$24,(H781:M781-N781)^2))</f>
        <v/>
      </c>
      <c r="P781" s="13">
        <f>MIN(H781:M781)</f>
        <v/>
      </c>
      <c r="Q781" s="13">
        <f>MAX(H781:M781)</f>
        <v/>
      </c>
      <c r="R781" s="27">
        <f>IF(G781,SUMPRODUCT(($G$76:$G$1505)*($N$76:$N$1505&gt;=N781)*($O$76:$O$1505&lt;=O781))=1,FALSE)</f>
        <v/>
      </c>
      <c r="S781" s="16">
        <f>IF(R781,ABS((O781-$AC$76)/MAX(0.0001,$AC$77-$AC$76)-(N781-$AC$78)/MAX(0.0001,$AC$79-$AC$78)),-1)</f>
        <v/>
      </c>
      <c r="T781" s="14">
        <f>IF(G781,O781,NA())</f>
        <v/>
      </c>
      <c r="U781" s="13">
        <f>IF(G781,N781,NA())</f>
        <v/>
      </c>
      <c r="V781" s="14">
        <f>IF(R781,O781,NA())</f>
        <v/>
      </c>
      <c r="W781" s="13">
        <f>IF(R781,N781,NA())</f>
        <v/>
      </c>
      <c r="X781" s="27">
        <f>IF(G781,P781,"")</f>
        <v/>
      </c>
      <c r="Y781" s="27">
        <f>IF(G781,N781,"")</f>
        <v/>
      </c>
      <c r="Z781" s="27">
        <f>IF(R781,O781,"")</f>
        <v/>
      </c>
      <c r="AA781" s="27">
        <f>IF(R781,N781,"")</f>
        <v/>
      </c>
    </row>
    <row r="782">
      <c r="A782" s="31" t="n">
        <v>0.2</v>
      </c>
      <c r="B782" s="31" t="n">
        <v>0.2</v>
      </c>
      <c r="C782" s="31" t="n">
        <v>0.3</v>
      </c>
      <c r="D782" s="31" t="n">
        <v>0.3</v>
      </c>
      <c r="E782" s="27" t="inlineStr">
        <is>
          <t>ON 20%/1M 20%/2M 30%/3M 30%</t>
        </is>
      </c>
      <c r="F782" s="27" t="n">
        <v>25</v>
      </c>
      <c r="G782" s="27">
        <f>A782*$B$7&gt;=$B$9</f>
        <v/>
      </c>
      <c r="H782" s="13">
        <f>$B$7*(A782*E$71+B782*F$71+C782*G$71+D782*H$71)+F782/100*$B$7*J$71-$C$71</f>
        <v/>
      </c>
      <c r="I782" s="13">
        <f>$B$7*(A782*L$71+B782*M$71+C782*N$71+D782*O$71)+F782/100*$B$7*Q$71-$C$71</f>
        <v/>
      </c>
      <c r="J782" s="13">
        <f>$B$7*(A782*S$71+B782*T$71+C782*U$71+D782*V$71)+F782/100*$B$7*X$71-$C$71</f>
        <v/>
      </c>
      <c r="K782" s="13">
        <f>$B$7*(A782*Z$71+B782*AA$71+C782*AB$71+D782*AC$71)+F782/100*$B$7*AE$71-$C$71</f>
        <v/>
      </c>
      <c r="L782" s="13">
        <f>$B$7*(A782*AG$71+B782*AH$71+C782*AI$71+D782*AJ$71)+F782/100*$B$7*AL$71-$C$71</f>
        <v/>
      </c>
      <c r="M782" s="13">
        <f>$B$7*(A782*AN$71+B782*AO$71+C782*AP$71+D782*AQ$71)+F782/100*$B$7*AS$71-$C$71</f>
        <v/>
      </c>
      <c r="N782" s="13">
        <f>SUMPRODUCT($H$24:$M$24,H782:M782)</f>
        <v/>
      </c>
      <c r="O782" s="14">
        <f>SQRT(SUMPRODUCT($H$24:$M$24,(H782:M782-N782)^2))</f>
        <v/>
      </c>
      <c r="P782" s="13">
        <f>MIN(H782:M782)</f>
        <v/>
      </c>
      <c r="Q782" s="13">
        <f>MAX(H782:M782)</f>
        <v/>
      </c>
      <c r="R782" s="27">
        <f>IF(G782,SUMPRODUCT(($G$76:$G$1505)*($N$76:$N$1505&gt;=N782)*($O$76:$O$1505&lt;=O782))=1,FALSE)</f>
        <v/>
      </c>
      <c r="S782" s="16">
        <f>IF(R782,ABS((O782-$AC$76)/MAX(0.0001,$AC$77-$AC$76)-(N782-$AC$78)/MAX(0.0001,$AC$79-$AC$78)),-1)</f>
        <v/>
      </c>
      <c r="T782" s="14">
        <f>IF(G782,O782,NA())</f>
        <v/>
      </c>
      <c r="U782" s="13">
        <f>IF(G782,N782,NA())</f>
        <v/>
      </c>
      <c r="V782" s="14">
        <f>IF(R782,O782,NA())</f>
        <v/>
      </c>
      <c r="W782" s="13">
        <f>IF(R782,N782,NA())</f>
        <v/>
      </c>
      <c r="X782" s="27">
        <f>IF(G782,P782,"")</f>
        <v/>
      </c>
      <c r="Y782" s="27">
        <f>IF(G782,N782,"")</f>
        <v/>
      </c>
      <c r="Z782" s="27">
        <f>IF(R782,O782,"")</f>
        <v/>
      </c>
      <c r="AA782" s="27">
        <f>IF(R782,N782,"")</f>
        <v/>
      </c>
    </row>
    <row r="783">
      <c r="A783" s="31" t="n">
        <v>0.2</v>
      </c>
      <c r="B783" s="31" t="n">
        <v>0.2</v>
      </c>
      <c r="C783" s="31" t="n">
        <v>0.3</v>
      </c>
      <c r="D783" s="31" t="n">
        <v>0.3</v>
      </c>
      <c r="E783" s="27" t="inlineStr">
        <is>
          <t>ON 20%/1M 20%/2M 30%/3M 30%</t>
        </is>
      </c>
      <c r="F783" s="27" t="n">
        <v>50</v>
      </c>
      <c r="G783" s="27">
        <f>A783*$B$7&gt;=$B$9</f>
        <v/>
      </c>
      <c r="H783" s="13">
        <f>$B$7*(A783*E$71+B783*F$71+C783*G$71+D783*H$71)+F783/100*$B$7*J$71-$C$71</f>
        <v/>
      </c>
      <c r="I783" s="13">
        <f>$B$7*(A783*L$71+B783*M$71+C783*N$71+D783*O$71)+F783/100*$B$7*Q$71-$C$71</f>
        <v/>
      </c>
      <c r="J783" s="13">
        <f>$B$7*(A783*S$71+B783*T$71+C783*U$71+D783*V$71)+F783/100*$B$7*X$71-$C$71</f>
        <v/>
      </c>
      <c r="K783" s="13">
        <f>$B$7*(A783*Z$71+B783*AA$71+C783*AB$71+D783*AC$71)+F783/100*$B$7*AE$71-$C$71</f>
        <v/>
      </c>
      <c r="L783" s="13">
        <f>$B$7*(A783*AG$71+B783*AH$71+C783*AI$71+D783*AJ$71)+F783/100*$B$7*AL$71-$C$71</f>
        <v/>
      </c>
      <c r="M783" s="13">
        <f>$B$7*(A783*AN$71+B783*AO$71+C783*AP$71+D783*AQ$71)+F783/100*$B$7*AS$71-$C$71</f>
        <v/>
      </c>
      <c r="N783" s="13">
        <f>SUMPRODUCT($H$24:$M$24,H783:M783)</f>
        <v/>
      </c>
      <c r="O783" s="14">
        <f>SQRT(SUMPRODUCT($H$24:$M$24,(H783:M783-N783)^2))</f>
        <v/>
      </c>
      <c r="P783" s="13">
        <f>MIN(H783:M783)</f>
        <v/>
      </c>
      <c r="Q783" s="13">
        <f>MAX(H783:M783)</f>
        <v/>
      </c>
      <c r="R783" s="27">
        <f>IF(G783,SUMPRODUCT(($G$76:$G$1505)*($N$76:$N$1505&gt;=N783)*($O$76:$O$1505&lt;=O783))=1,FALSE)</f>
        <v/>
      </c>
      <c r="S783" s="16">
        <f>IF(R783,ABS((O783-$AC$76)/MAX(0.0001,$AC$77-$AC$76)-(N783-$AC$78)/MAX(0.0001,$AC$79-$AC$78)),-1)</f>
        <v/>
      </c>
      <c r="T783" s="14">
        <f>IF(G783,O783,NA())</f>
        <v/>
      </c>
      <c r="U783" s="13">
        <f>IF(G783,N783,NA())</f>
        <v/>
      </c>
      <c r="V783" s="14">
        <f>IF(R783,O783,NA())</f>
        <v/>
      </c>
      <c r="W783" s="13">
        <f>IF(R783,N783,NA())</f>
        <v/>
      </c>
      <c r="X783" s="27">
        <f>IF(G783,P783,"")</f>
        <v/>
      </c>
      <c r="Y783" s="27">
        <f>IF(G783,N783,"")</f>
        <v/>
      </c>
      <c r="Z783" s="27">
        <f>IF(R783,O783,"")</f>
        <v/>
      </c>
      <c r="AA783" s="27">
        <f>IF(R783,N783,"")</f>
        <v/>
      </c>
    </row>
    <row r="784">
      <c r="A784" s="31" t="n">
        <v>0.2</v>
      </c>
      <c r="B784" s="31" t="n">
        <v>0.2</v>
      </c>
      <c r="C784" s="31" t="n">
        <v>0.3</v>
      </c>
      <c r="D784" s="31" t="n">
        <v>0.3</v>
      </c>
      <c r="E784" s="27" t="inlineStr">
        <is>
          <t>ON 20%/1M 20%/2M 30%/3M 30%</t>
        </is>
      </c>
      <c r="F784" s="27" t="n">
        <v>75</v>
      </c>
      <c r="G784" s="27">
        <f>A784*$B$7&gt;=$B$9</f>
        <v/>
      </c>
      <c r="H784" s="13">
        <f>$B$7*(A784*E$71+B784*F$71+C784*G$71+D784*H$71)+F784/100*$B$7*J$71-$C$71</f>
        <v/>
      </c>
      <c r="I784" s="13">
        <f>$B$7*(A784*L$71+B784*M$71+C784*N$71+D784*O$71)+F784/100*$B$7*Q$71-$C$71</f>
        <v/>
      </c>
      <c r="J784" s="13">
        <f>$B$7*(A784*S$71+B784*T$71+C784*U$71+D784*V$71)+F784/100*$B$7*X$71-$C$71</f>
        <v/>
      </c>
      <c r="K784" s="13">
        <f>$B$7*(A784*Z$71+B784*AA$71+C784*AB$71+D784*AC$71)+F784/100*$B$7*AE$71-$C$71</f>
        <v/>
      </c>
      <c r="L784" s="13">
        <f>$B$7*(A784*AG$71+B784*AH$71+C784*AI$71+D784*AJ$71)+F784/100*$B$7*AL$71-$C$71</f>
        <v/>
      </c>
      <c r="M784" s="13">
        <f>$B$7*(A784*AN$71+B784*AO$71+C784*AP$71+D784*AQ$71)+F784/100*$B$7*AS$71-$C$71</f>
        <v/>
      </c>
      <c r="N784" s="13">
        <f>SUMPRODUCT($H$24:$M$24,H784:M784)</f>
        <v/>
      </c>
      <c r="O784" s="14">
        <f>SQRT(SUMPRODUCT($H$24:$M$24,(H784:M784-N784)^2))</f>
        <v/>
      </c>
      <c r="P784" s="13">
        <f>MIN(H784:M784)</f>
        <v/>
      </c>
      <c r="Q784" s="13">
        <f>MAX(H784:M784)</f>
        <v/>
      </c>
      <c r="R784" s="27">
        <f>IF(G784,SUMPRODUCT(($G$76:$G$1505)*($N$76:$N$1505&gt;=N784)*($O$76:$O$1505&lt;=O784))=1,FALSE)</f>
        <v/>
      </c>
      <c r="S784" s="16">
        <f>IF(R784,ABS((O784-$AC$76)/MAX(0.0001,$AC$77-$AC$76)-(N784-$AC$78)/MAX(0.0001,$AC$79-$AC$78)),-1)</f>
        <v/>
      </c>
      <c r="T784" s="14">
        <f>IF(G784,O784,NA())</f>
        <v/>
      </c>
      <c r="U784" s="13">
        <f>IF(G784,N784,NA())</f>
        <v/>
      </c>
      <c r="V784" s="14">
        <f>IF(R784,O784,NA())</f>
        <v/>
      </c>
      <c r="W784" s="13">
        <f>IF(R784,N784,NA())</f>
        <v/>
      </c>
      <c r="X784" s="27">
        <f>IF(G784,P784,"")</f>
        <v/>
      </c>
      <c r="Y784" s="27">
        <f>IF(G784,N784,"")</f>
        <v/>
      </c>
      <c r="Z784" s="27">
        <f>IF(R784,O784,"")</f>
        <v/>
      </c>
      <c r="AA784" s="27">
        <f>IF(R784,N784,"")</f>
        <v/>
      </c>
    </row>
    <row r="785">
      <c r="A785" s="31" t="n">
        <v>0.2</v>
      </c>
      <c r="B785" s="31" t="n">
        <v>0.2</v>
      </c>
      <c r="C785" s="31" t="n">
        <v>0.3</v>
      </c>
      <c r="D785" s="31" t="n">
        <v>0.3</v>
      </c>
      <c r="E785" s="27" t="inlineStr">
        <is>
          <t>ON 20%/1M 20%/2M 30%/3M 30%</t>
        </is>
      </c>
      <c r="F785" s="27" t="n">
        <v>100</v>
      </c>
      <c r="G785" s="27">
        <f>A785*$B$7&gt;=$B$9</f>
        <v/>
      </c>
      <c r="H785" s="13">
        <f>$B$7*(A785*E$71+B785*F$71+C785*G$71+D785*H$71)+F785/100*$B$7*J$71-$C$71</f>
        <v/>
      </c>
      <c r="I785" s="13">
        <f>$B$7*(A785*L$71+B785*M$71+C785*N$71+D785*O$71)+F785/100*$B$7*Q$71-$C$71</f>
        <v/>
      </c>
      <c r="J785" s="13">
        <f>$B$7*(A785*S$71+B785*T$71+C785*U$71+D785*V$71)+F785/100*$B$7*X$71-$C$71</f>
        <v/>
      </c>
      <c r="K785" s="13">
        <f>$B$7*(A785*Z$71+B785*AA$71+C785*AB$71+D785*AC$71)+F785/100*$B$7*AE$71-$C$71</f>
        <v/>
      </c>
      <c r="L785" s="13">
        <f>$B$7*(A785*AG$71+B785*AH$71+C785*AI$71+D785*AJ$71)+F785/100*$B$7*AL$71-$C$71</f>
        <v/>
      </c>
      <c r="M785" s="13">
        <f>$B$7*(A785*AN$71+B785*AO$71+C785*AP$71+D785*AQ$71)+F785/100*$B$7*AS$71-$C$71</f>
        <v/>
      </c>
      <c r="N785" s="13">
        <f>SUMPRODUCT($H$24:$M$24,H785:M785)</f>
        <v/>
      </c>
      <c r="O785" s="14">
        <f>SQRT(SUMPRODUCT($H$24:$M$24,(H785:M785-N785)^2))</f>
        <v/>
      </c>
      <c r="P785" s="13">
        <f>MIN(H785:M785)</f>
        <v/>
      </c>
      <c r="Q785" s="13">
        <f>MAX(H785:M785)</f>
        <v/>
      </c>
      <c r="R785" s="27">
        <f>IF(G785,SUMPRODUCT(($G$76:$G$1505)*($N$76:$N$1505&gt;=N785)*($O$76:$O$1505&lt;=O785))=1,FALSE)</f>
        <v/>
      </c>
      <c r="S785" s="16">
        <f>IF(R785,ABS((O785-$AC$76)/MAX(0.0001,$AC$77-$AC$76)-(N785-$AC$78)/MAX(0.0001,$AC$79-$AC$78)),-1)</f>
        <v/>
      </c>
      <c r="T785" s="14">
        <f>IF(G785,O785,NA())</f>
        <v/>
      </c>
      <c r="U785" s="13">
        <f>IF(G785,N785,NA())</f>
        <v/>
      </c>
      <c r="V785" s="14">
        <f>IF(R785,O785,NA())</f>
        <v/>
      </c>
      <c r="W785" s="13">
        <f>IF(R785,N785,NA())</f>
        <v/>
      </c>
      <c r="X785" s="27">
        <f>IF(G785,P785,"")</f>
        <v/>
      </c>
      <c r="Y785" s="27">
        <f>IF(G785,N785,"")</f>
        <v/>
      </c>
      <c r="Z785" s="27">
        <f>IF(R785,O785,"")</f>
        <v/>
      </c>
      <c r="AA785" s="27">
        <f>IF(R785,N785,"")</f>
        <v/>
      </c>
    </row>
    <row r="786">
      <c r="A786" s="31" t="n">
        <v>0.2</v>
      </c>
      <c r="B786" s="31" t="n">
        <v>0.2</v>
      </c>
      <c r="C786" s="31" t="n">
        <v>0.4</v>
      </c>
      <c r="D786" s="31" t="n">
        <v>0.2</v>
      </c>
      <c r="E786" s="27" t="inlineStr">
        <is>
          <t>ON 20%/1M 20%/2M 40%/3M 20%</t>
        </is>
      </c>
      <c r="F786" s="27" t="n">
        <v>0</v>
      </c>
      <c r="G786" s="27">
        <f>A786*$B$7&gt;=$B$9</f>
        <v/>
      </c>
      <c r="H786" s="13">
        <f>$B$7*(A786*E$71+B786*F$71+C786*G$71+D786*H$71)+F786/100*$B$7*J$71-$C$71</f>
        <v/>
      </c>
      <c r="I786" s="13">
        <f>$B$7*(A786*L$71+B786*M$71+C786*N$71+D786*O$71)+F786/100*$B$7*Q$71-$C$71</f>
        <v/>
      </c>
      <c r="J786" s="13">
        <f>$B$7*(A786*S$71+B786*T$71+C786*U$71+D786*V$71)+F786/100*$B$7*X$71-$C$71</f>
        <v/>
      </c>
      <c r="K786" s="13">
        <f>$B$7*(A786*Z$71+B786*AA$71+C786*AB$71+D786*AC$71)+F786/100*$B$7*AE$71-$C$71</f>
        <v/>
      </c>
      <c r="L786" s="13">
        <f>$B$7*(A786*AG$71+B786*AH$71+C786*AI$71+D786*AJ$71)+F786/100*$B$7*AL$71-$C$71</f>
        <v/>
      </c>
      <c r="M786" s="13">
        <f>$B$7*(A786*AN$71+B786*AO$71+C786*AP$71+D786*AQ$71)+F786/100*$B$7*AS$71-$C$71</f>
        <v/>
      </c>
      <c r="N786" s="13">
        <f>SUMPRODUCT($H$24:$M$24,H786:M786)</f>
        <v/>
      </c>
      <c r="O786" s="14">
        <f>SQRT(SUMPRODUCT($H$24:$M$24,(H786:M786-N786)^2))</f>
        <v/>
      </c>
      <c r="P786" s="13">
        <f>MIN(H786:M786)</f>
        <v/>
      </c>
      <c r="Q786" s="13">
        <f>MAX(H786:M786)</f>
        <v/>
      </c>
      <c r="R786" s="27">
        <f>IF(G786,SUMPRODUCT(($G$76:$G$1505)*($N$76:$N$1505&gt;=N786)*($O$76:$O$1505&lt;=O786))=1,FALSE)</f>
        <v/>
      </c>
      <c r="S786" s="16">
        <f>IF(R786,ABS((O786-$AC$76)/MAX(0.0001,$AC$77-$AC$76)-(N786-$AC$78)/MAX(0.0001,$AC$79-$AC$78)),-1)</f>
        <v/>
      </c>
      <c r="T786" s="14">
        <f>IF(G786,O786,NA())</f>
        <v/>
      </c>
      <c r="U786" s="13">
        <f>IF(G786,N786,NA())</f>
        <v/>
      </c>
      <c r="V786" s="14">
        <f>IF(R786,O786,NA())</f>
        <v/>
      </c>
      <c r="W786" s="13">
        <f>IF(R786,N786,NA())</f>
        <v/>
      </c>
      <c r="X786" s="27">
        <f>IF(G786,P786,"")</f>
        <v/>
      </c>
      <c r="Y786" s="27">
        <f>IF(G786,N786,"")</f>
        <v/>
      </c>
      <c r="Z786" s="27">
        <f>IF(R786,O786,"")</f>
        <v/>
      </c>
      <c r="AA786" s="27">
        <f>IF(R786,N786,"")</f>
        <v/>
      </c>
    </row>
    <row r="787">
      <c r="A787" s="31" t="n">
        <v>0.2</v>
      </c>
      <c r="B787" s="31" t="n">
        <v>0.2</v>
      </c>
      <c r="C787" s="31" t="n">
        <v>0.4</v>
      </c>
      <c r="D787" s="31" t="n">
        <v>0.2</v>
      </c>
      <c r="E787" s="27" t="inlineStr">
        <is>
          <t>ON 20%/1M 20%/2M 40%/3M 20%</t>
        </is>
      </c>
      <c r="F787" s="27" t="n">
        <v>25</v>
      </c>
      <c r="G787" s="27">
        <f>A787*$B$7&gt;=$B$9</f>
        <v/>
      </c>
      <c r="H787" s="13">
        <f>$B$7*(A787*E$71+B787*F$71+C787*G$71+D787*H$71)+F787/100*$B$7*J$71-$C$71</f>
        <v/>
      </c>
      <c r="I787" s="13">
        <f>$B$7*(A787*L$71+B787*M$71+C787*N$71+D787*O$71)+F787/100*$B$7*Q$71-$C$71</f>
        <v/>
      </c>
      <c r="J787" s="13">
        <f>$B$7*(A787*S$71+B787*T$71+C787*U$71+D787*V$71)+F787/100*$B$7*X$71-$C$71</f>
        <v/>
      </c>
      <c r="K787" s="13">
        <f>$B$7*(A787*Z$71+B787*AA$71+C787*AB$71+D787*AC$71)+F787/100*$B$7*AE$71-$C$71</f>
        <v/>
      </c>
      <c r="L787" s="13">
        <f>$B$7*(A787*AG$71+B787*AH$71+C787*AI$71+D787*AJ$71)+F787/100*$B$7*AL$71-$C$71</f>
        <v/>
      </c>
      <c r="M787" s="13">
        <f>$B$7*(A787*AN$71+B787*AO$71+C787*AP$71+D787*AQ$71)+F787/100*$B$7*AS$71-$C$71</f>
        <v/>
      </c>
      <c r="N787" s="13">
        <f>SUMPRODUCT($H$24:$M$24,H787:M787)</f>
        <v/>
      </c>
      <c r="O787" s="14">
        <f>SQRT(SUMPRODUCT($H$24:$M$24,(H787:M787-N787)^2))</f>
        <v/>
      </c>
      <c r="P787" s="13">
        <f>MIN(H787:M787)</f>
        <v/>
      </c>
      <c r="Q787" s="13">
        <f>MAX(H787:M787)</f>
        <v/>
      </c>
      <c r="R787" s="27">
        <f>IF(G787,SUMPRODUCT(($G$76:$G$1505)*($N$76:$N$1505&gt;=N787)*($O$76:$O$1505&lt;=O787))=1,FALSE)</f>
        <v/>
      </c>
      <c r="S787" s="16">
        <f>IF(R787,ABS((O787-$AC$76)/MAX(0.0001,$AC$77-$AC$76)-(N787-$AC$78)/MAX(0.0001,$AC$79-$AC$78)),-1)</f>
        <v/>
      </c>
      <c r="T787" s="14">
        <f>IF(G787,O787,NA())</f>
        <v/>
      </c>
      <c r="U787" s="13">
        <f>IF(G787,N787,NA())</f>
        <v/>
      </c>
      <c r="V787" s="14">
        <f>IF(R787,O787,NA())</f>
        <v/>
      </c>
      <c r="W787" s="13">
        <f>IF(R787,N787,NA())</f>
        <v/>
      </c>
      <c r="X787" s="27">
        <f>IF(G787,P787,"")</f>
        <v/>
      </c>
      <c r="Y787" s="27">
        <f>IF(G787,N787,"")</f>
        <v/>
      </c>
      <c r="Z787" s="27">
        <f>IF(R787,O787,"")</f>
        <v/>
      </c>
      <c r="AA787" s="27">
        <f>IF(R787,N787,"")</f>
        <v/>
      </c>
    </row>
    <row r="788">
      <c r="A788" s="31" t="n">
        <v>0.2</v>
      </c>
      <c r="B788" s="31" t="n">
        <v>0.2</v>
      </c>
      <c r="C788" s="31" t="n">
        <v>0.4</v>
      </c>
      <c r="D788" s="31" t="n">
        <v>0.2</v>
      </c>
      <c r="E788" s="27" t="inlineStr">
        <is>
          <t>ON 20%/1M 20%/2M 40%/3M 20%</t>
        </is>
      </c>
      <c r="F788" s="27" t="n">
        <v>50</v>
      </c>
      <c r="G788" s="27">
        <f>A788*$B$7&gt;=$B$9</f>
        <v/>
      </c>
      <c r="H788" s="13">
        <f>$B$7*(A788*E$71+B788*F$71+C788*G$71+D788*H$71)+F788/100*$B$7*J$71-$C$71</f>
        <v/>
      </c>
      <c r="I788" s="13">
        <f>$B$7*(A788*L$71+B788*M$71+C788*N$71+D788*O$71)+F788/100*$B$7*Q$71-$C$71</f>
        <v/>
      </c>
      <c r="J788" s="13">
        <f>$B$7*(A788*S$71+B788*T$71+C788*U$71+D788*V$71)+F788/100*$B$7*X$71-$C$71</f>
        <v/>
      </c>
      <c r="K788" s="13">
        <f>$B$7*(A788*Z$71+B788*AA$71+C788*AB$71+D788*AC$71)+F788/100*$B$7*AE$71-$C$71</f>
        <v/>
      </c>
      <c r="L788" s="13">
        <f>$B$7*(A788*AG$71+B788*AH$71+C788*AI$71+D788*AJ$71)+F788/100*$B$7*AL$71-$C$71</f>
        <v/>
      </c>
      <c r="M788" s="13">
        <f>$B$7*(A788*AN$71+B788*AO$71+C788*AP$71+D788*AQ$71)+F788/100*$B$7*AS$71-$C$71</f>
        <v/>
      </c>
      <c r="N788" s="13">
        <f>SUMPRODUCT($H$24:$M$24,H788:M788)</f>
        <v/>
      </c>
      <c r="O788" s="14">
        <f>SQRT(SUMPRODUCT($H$24:$M$24,(H788:M788-N788)^2))</f>
        <v/>
      </c>
      <c r="P788" s="13">
        <f>MIN(H788:M788)</f>
        <v/>
      </c>
      <c r="Q788" s="13">
        <f>MAX(H788:M788)</f>
        <v/>
      </c>
      <c r="R788" s="27">
        <f>IF(G788,SUMPRODUCT(($G$76:$G$1505)*($N$76:$N$1505&gt;=N788)*($O$76:$O$1505&lt;=O788))=1,FALSE)</f>
        <v/>
      </c>
      <c r="S788" s="16">
        <f>IF(R788,ABS((O788-$AC$76)/MAX(0.0001,$AC$77-$AC$76)-(N788-$AC$78)/MAX(0.0001,$AC$79-$AC$78)),-1)</f>
        <v/>
      </c>
      <c r="T788" s="14">
        <f>IF(G788,O788,NA())</f>
        <v/>
      </c>
      <c r="U788" s="13">
        <f>IF(G788,N788,NA())</f>
        <v/>
      </c>
      <c r="V788" s="14">
        <f>IF(R788,O788,NA())</f>
        <v/>
      </c>
      <c r="W788" s="13">
        <f>IF(R788,N788,NA())</f>
        <v/>
      </c>
      <c r="X788" s="27">
        <f>IF(G788,P788,"")</f>
        <v/>
      </c>
      <c r="Y788" s="27">
        <f>IF(G788,N788,"")</f>
        <v/>
      </c>
      <c r="Z788" s="27">
        <f>IF(R788,O788,"")</f>
        <v/>
      </c>
      <c r="AA788" s="27">
        <f>IF(R788,N788,"")</f>
        <v/>
      </c>
    </row>
    <row r="789">
      <c r="A789" s="31" t="n">
        <v>0.2</v>
      </c>
      <c r="B789" s="31" t="n">
        <v>0.2</v>
      </c>
      <c r="C789" s="31" t="n">
        <v>0.4</v>
      </c>
      <c r="D789" s="31" t="n">
        <v>0.2</v>
      </c>
      <c r="E789" s="27" t="inlineStr">
        <is>
          <t>ON 20%/1M 20%/2M 40%/3M 20%</t>
        </is>
      </c>
      <c r="F789" s="27" t="n">
        <v>75</v>
      </c>
      <c r="G789" s="27">
        <f>A789*$B$7&gt;=$B$9</f>
        <v/>
      </c>
      <c r="H789" s="13">
        <f>$B$7*(A789*E$71+B789*F$71+C789*G$71+D789*H$71)+F789/100*$B$7*J$71-$C$71</f>
        <v/>
      </c>
      <c r="I789" s="13">
        <f>$B$7*(A789*L$71+B789*M$71+C789*N$71+D789*O$71)+F789/100*$B$7*Q$71-$C$71</f>
        <v/>
      </c>
      <c r="J789" s="13">
        <f>$B$7*(A789*S$71+B789*T$71+C789*U$71+D789*V$71)+F789/100*$B$7*X$71-$C$71</f>
        <v/>
      </c>
      <c r="K789" s="13">
        <f>$B$7*(A789*Z$71+B789*AA$71+C789*AB$71+D789*AC$71)+F789/100*$B$7*AE$71-$C$71</f>
        <v/>
      </c>
      <c r="L789" s="13">
        <f>$B$7*(A789*AG$71+B789*AH$71+C789*AI$71+D789*AJ$71)+F789/100*$B$7*AL$71-$C$71</f>
        <v/>
      </c>
      <c r="M789" s="13">
        <f>$B$7*(A789*AN$71+B789*AO$71+C789*AP$71+D789*AQ$71)+F789/100*$B$7*AS$71-$C$71</f>
        <v/>
      </c>
      <c r="N789" s="13">
        <f>SUMPRODUCT($H$24:$M$24,H789:M789)</f>
        <v/>
      </c>
      <c r="O789" s="14">
        <f>SQRT(SUMPRODUCT($H$24:$M$24,(H789:M789-N789)^2))</f>
        <v/>
      </c>
      <c r="P789" s="13">
        <f>MIN(H789:M789)</f>
        <v/>
      </c>
      <c r="Q789" s="13">
        <f>MAX(H789:M789)</f>
        <v/>
      </c>
      <c r="R789" s="27">
        <f>IF(G789,SUMPRODUCT(($G$76:$G$1505)*($N$76:$N$1505&gt;=N789)*($O$76:$O$1505&lt;=O789))=1,FALSE)</f>
        <v/>
      </c>
      <c r="S789" s="16">
        <f>IF(R789,ABS((O789-$AC$76)/MAX(0.0001,$AC$77-$AC$76)-(N789-$AC$78)/MAX(0.0001,$AC$79-$AC$78)),-1)</f>
        <v/>
      </c>
      <c r="T789" s="14">
        <f>IF(G789,O789,NA())</f>
        <v/>
      </c>
      <c r="U789" s="13">
        <f>IF(G789,N789,NA())</f>
        <v/>
      </c>
      <c r="V789" s="14">
        <f>IF(R789,O789,NA())</f>
        <v/>
      </c>
      <c r="W789" s="13">
        <f>IF(R789,N789,NA())</f>
        <v/>
      </c>
      <c r="X789" s="27">
        <f>IF(G789,P789,"")</f>
        <v/>
      </c>
      <c r="Y789" s="27">
        <f>IF(G789,N789,"")</f>
        <v/>
      </c>
      <c r="Z789" s="27">
        <f>IF(R789,O789,"")</f>
        <v/>
      </c>
      <c r="AA789" s="27">
        <f>IF(R789,N789,"")</f>
        <v/>
      </c>
    </row>
    <row r="790">
      <c r="A790" s="31" t="n">
        <v>0.2</v>
      </c>
      <c r="B790" s="31" t="n">
        <v>0.2</v>
      </c>
      <c r="C790" s="31" t="n">
        <v>0.4</v>
      </c>
      <c r="D790" s="31" t="n">
        <v>0.2</v>
      </c>
      <c r="E790" s="27" t="inlineStr">
        <is>
          <t>ON 20%/1M 20%/2M 40%/3M 20%</t>
        </is>
      </c>
      <c r="F790" s="27" t="n">
        <v>100</v>
      </c>
      <c r="G790" s="27">
        <f>A790*$B$7&gt;=$B$9</f>
        <v/>
      </c>
      <c r="H790" s="13">
        <f>$B$7*(A790*E$71+B790*F$71+C790*G$71+D790*H$71)+F790/100*$B$7*J$71-$C$71</f>
        <v/>
      </c>
      <c r="I790" s="13">
        <f>$B$7*(A790*L$71+B790*M$71+C790*N$71+D790*O$71)+F790/100*$B$7*Q$71-$C$71</f>
        <v/>
      </c>
      <c r="J790" s="13">
        <f>$B$7*(A790*S$71+B790*T$71+C790*U$71+D790*V$71)+F790/100*$B$7*X$71-$C$71</f>
        <v/>
      </c>
      <c r="K790" s="13">
        <f>$B$7*(A790*Z$71+B790*AA$71+C790*AB$71+D790*AC$71)+F790/100*$B$7*AE$71-$C$71</f>
        <v/>
      </c>
      <c r="L790" s="13">
        <f>$B$7*(A790*AG$71+B790*AH$71+C790*AI$71+D790*AJ$71)+F790/100*$B$7*AL$71-$C$71</f>
        <v/>
      </c>
      <c r="M790" s="13">
        <f>$B$7*(A790*AN$71+B790*AO$71+C790*AP$71+D790*AQ$71)+F790/100*$B$7*AS$71-$C$71</f>
        <v/>
      </c>
      <c r="N790" s="13">
        <f>SUMPRODUCT($H$24:$M$24,H790:M790)</f>
        <v/>
      </c>
      <c r="O790" s="14">
        <f>SQRT(SUMPRODUCT($H$24:$M$24,(H790:M790-N790)^2))</f>
        <v/>
      </c>
      <c r="P790" s="13">
        <f>MIN(H790:M790)</f>
        <v/>
      </c>
      <c r="Q790" s="13">
        <f>MAX(H790:M790)</f>
        <v/>
      </c>
      <c r="R790" s="27">
        <f>IF(G790,SUMPRODUCT(($G$76:$G$1505)*($N$76:$N$1505&gt;=N790)*($O$76:$O$1505&lt;=O790))=1,FALSE)</f>
        <v/>
      </c>
      <c r="S790" s="16">
        <f>IF(R790,ABS((O790-$AC$76)/MAX(0.0001,$AC$77-$AC$76)-(N790-$AC$78)/MAX(0.0001,$AC$79-$AC$78)),-1)</f>
        <v/>
      </c>
      <c r="T790" s="14">
        <f>IF(G790,O790,NA())</f>
        <v/>
      </c>
      <c r="U790" s="13">
        <f>IF(G790,N790,NA())</f>
        <v/>
      </c>
      <c r="V790" s="14">
        <f>IF(R790,O790,NA())</f>
        <v/>
      </c>
      <c r="W790" s="13">
        <f>IF(R790,N790,NA())</f>
        <v/>
      </c>
      <c r="X790" s="27">
        <f>IF(G790,P790,"")</f>
        <v/>
      </c>
      <c r="Y790" s="27">
        <f>IF(G790,N790,"")</f>
        <v/>
      </c>
      <c r="Z790" s="27">
        <f>IF(R790,O790,"")</f>
        <v/>
      </c>
      <c r="AA790" s="27">
        <f>IF(R790,N790,"")</f>
        <v/>
      </c>
    </row>
    <row r="791">
      <c r="A791" s="31" t="n">
        <v>0.2</v>
      </c>
      <c r="B791" s="31" t="n">
        <v>0.2</v>
      </c>
      <c r="C791" s="31" t="n">
        <v>0.5</v>
      </c>
      <c r="D791" s="31" t="n">
        <v>0.1</v>
      </c>
      <c r="E791" s="27" t="inlineStr">
        <is>
          <t>ON 20%/1M 20%/2M 50%/3M 10%</t>
        </is>
      </c>
      <c r="F791" s="27" t="n">
        <v>0</v>
      </c>
      <c r="G791" s="27">
        <f>A791*$B$7&gt;=$B$9</f>
        <v/>
      </c>
      <c r="H791" s="13">
        <f>$B$7*(A791*E$71+B791*F$71+C791*G$71+D791*H$71)+F791/100*$B$7*J$71-$C$71</f>
        <v/>
      </c>
      <c r="I791" s="13">
        <f>$B$7*(A791*L$71+B791*M$71+C791*N$71+D791*O$71)+F791/100*$B$7*Q$71-$C$71</f>
        <v/>
      </c>
      <c r="J791" s="13">
        <f>$B$7*(A791*S$71+B791*T$71+C791*U$71+D791*V$71)+F791/100*$B$7*X$71-$C$71</f>
        <v/>
      </c>
      <c r="K791" s="13">
        <f>$B$7*(A791*Z$71+B791*AA$71+C791*AB$71+D791*AC$71)+F791/100*$B$7*AE$71-$C$71</f>
        <v/>
      </c>
      <c r="L791" s="13">
        <f>$B$7*(A791*AG$71+B791*AH$71+C791*AI$71+D791*AJ$71)+F791/100*$B$7*AL$71-$C$71</f>
        <v/>
      </c>
      <c r="M791" s="13">
        <f>$B$7*(A791*AN$71+B791*AO$71+C791*AP$71+D791*AQ$71)+F791/100*$B$7*AS$71-$C$71</f>
        <v/>
      </c>
      <c r="N791" s="13">
        <f>SUMPRODUCT($H$24:$M$24,H791:M791)</f>
        <v/>
      </c>
      <c r="O791" s="14">
        <f>SQRT(SUMPRODUCT($H$24:$M$24,(H791:M791-N791)^2))</f>
        <v/>
      </c>
      <c r="P791" s="13">
        <f>MIN(H791:M791)</f>
        <v/>
      </c>
      <c r="Q791" s="13">
        <f>MAX(H791:M791)</f>
        <v/>
      </c>
      <c r="R791" s="27">
        <f>IF(G791,SUMPRODUCT(($G$76:$G$1505)*($N$76:$N$1505&gt;=N791)*($O$76:$O$1505&lt;=O791))=1,FALSE)</f>
        <v/>
      </c>
      <c r="S791" s="16">
        <f>IF(R791,ABS((O791-$AC$76)/MAX(0.0001,$AC$77-$AC$76)-(N791-$AC$78)/MAX(0.0001,$AC$79-$AC$78)),-1)</f>
        <v/>
      </c>
      <c r="T791" s="14">
        <f>IF(G791,O791,NA())</f>
        <v/>
      </c>
      <c r="U791" s="13">
        <f>IF(G791,N791,NA())</f>
        <v/>
      </c>
      <c r="V791" s="14">
        <f>IF(R791,O791,NA())</f>
        <v/>
      </c>
      <c r="W791" s="13">
        <f>IF(R791,N791,NA())</f>
        <v/>
      </c>
      <c r="X791" s="27">
        <f>IF(G791,P791,"")</f>
        <v/>
      </c>
      <c r="Y791" s="27">
        <f>IF(G791,N791,"")</f>
        <v/>
      </c>
      <c r="Z791" s="27">
        <f>IF(R791,O791,"")</f>
        <v/>
      </c>
      <c r="AA791" s="27">
        <f>IF(R791,N791,"")</f>
        <v/>
      </c>
    </row>
    <row r="792">
      <c r="A792" s="31" t="n">
        <v>0.2</v>
      </c>
      <c r="B792" s="31" t="n">
        <v>0.2</v>
      </c>
      <c r="C792" s="31" t="n">
        <v>0.5</v>
      </c>
      <c r="D792" s="31" t="n">
        <v>0.1</v>
      </c>
      <c r="E792" s="27" t="inlineStr">
        <is>
          <t>ON 20%/1M 20%/2M 50%/3M 10%</t>
        </is>
      </c>
      <c r="F792" s="27" t="n">
        <v>25</v>
      </c>
      <c r="G792" s="27">
        <f>A792*$B$7&gt;=$B$9</f>
        <v/>
      </c>
      <c r="H792" s="13">
        <f>$B$7*(A792*E$71+B792*F$71+C792*G$71+D792*H$71)+F792/100*$B$7*J$71-$C$71</f>
        <v/>
      </c>
      <c r="I792" s="13">
        <f>$B$7*(A792*L$71+B792*M$71+C792*N$71+D792*O$71)+F792/100*$B$7*Q$71-$C$71</f>
        <v/>
      </c>
      <c r="J792" s="13">
        <f>$B$7*(A792*S$71+B792*T$71+C792*U$71+D792*V$71)+F792/100*$B$7*X$71-$C$71</f>
        <v/>
      </c>
      <c r="K792" s="13">
        <f>$B$7*(A792*Z$71+B792*AA$71+C792*AB$71+D792*AC$71)+F792/100*$B$7*AE$71-$C$71</f>
        <v/>
      </c>
      <c r="L792" s="13">
        <f>$B$7*(A792*AG$71+B792*AH$71+C792*AI$71+D792*AJ$71)+F792/100*$B$7*AL$71-$C$71</f>
        <v/>
      </c>
      <c r="M792" s="13">
        <f>$B$7*(A792*AN$71+B792*AO$71+C792*AP$71+D792*AQ$71)+F792/100*$B$7*AS$71-$C$71</f>
        <v/>
      </c>
      <c r="N792" s="13">
        <f>SUMPRODUCT($H$24:$M$24,H792:M792)</f>
        <v/>
      </c>
      <c r="O792" s="14">
        <f>SQRT(SUMPRODUCT($H$24:$M$24,(H792:M792-N792)^2))</f>
        <v/>
      </c>
      <c r="P792" s="13">
        <f>MIN(H792:M792)</f>
        <v/>
      </c>
      <c r="Q792" s="13">
        <f>MAX(H792:M792)</f>
        <v/>
      </c>
      <c r="R792" s="27">
        <f>IF(G792,SUMPRODUCT(($G$76:$G$1505)*($N$76:$N$1505&gt;=N792)*($O$76:$O$1505&lt;=O792))=1,FALSE)</f>
        <v/>
      </c>
      <c r="S792" s="16">
        <f>IF(R792,ABS((O792-$AC$76)/MAX(0.0001,$AC$77-$AC$76)-(N792-$AC$78)/MAX(0.0001,$AC$79-$AC$78)),-1)</f>
        <v/>
      </c>
      <c r="T792" s="14">
        <f>IF(G792,O792,NA())</f>
        <v/>
      </c>
      <c r="U792" s="13">
        <f>IF(G792,N792,NA())</f>
        <v/>
      </c>
      <c r="V792" s="14">
        <f>IF(R792,O792,NA())</f>
        <v/>
      </c>
      <c r="W792" s="13">
        <f>IF(R792,N792,NA())</f>
        <v/>
      </c>
      <c r="X792" s="27">
        <f>IF(G792,P792,"")</f>
        <v/>
      </c>
      <c r="Y792" s="27">
        <f>IF(G792,N792,"")</f>
        <v/>
      </c>
      <c r="Z792" s="27">
        <f>IF(R792,O792,"")</f>
        <v/>
      </c>
      <c r="AA792" s="27">
        <f>IF(R792,N792,"")</f>
        <v/>
      </c>
    </row>
    <row r="793">
      <c r="A793" s="31" t="n">
        <v>0.2</v>
      </c>
      <c r="B793" s="31" t="n">
        <v>0.2</v>
      </c>
      <c r="C793" s="31" t="n">
        <v>0.5</v>
      </c>
      <c r="D793" s="31" t="n">
        <v>0.1</v>
      </c>
      <c r="E793" s="27" t="inlineStr">
        <is>
          <t>ON 20%/1M 20%/2M 50%/3M 10%</t>
        </is>
      </c>
      <c r="F793" s="27" t="n">
        <v>50</v>
      </c>
      <c r="G793" s="27">
        <f>A793*$B$7&gt;=$B$9</f>
        <v/>
      </c>
      <c r="H793" s="13">
        <f>$B$7*(A793*E$71+B793*F$71+C793*G$71+D793*H$71)+F793/100*$B$7*J$71-$C$71</f>
        <v/>
      </c>
      <c r="I793" s="13">
        <f>$B$7*(A793*L$71+B793*M$71+C793*N$71+D793*O$71)+F793/100*$B$7*Q$71-$C$71</f>
        <v/>
      </c>
      <c r="J793" s="13">
        <f>$B$7*(A793*S$71+B793*T$71+C793*U$71+D793*V$71)+F793/100*$B$7*X$71-$C$71</f>
        <v/>
      </c>
      <c r="K793" s="13">
        <f>$B$7*(A793*Z$71+B793*AA$71+C793*AB$71+D793*AC$71)+F793/100*$B$7*AE$71-$C$71</f>
        <v/>
      </c>
      <c r="L793" s="13">
        <f>$B$7*(A793*AG$71+B793*AH$71+C793*AI$71+D793*AJ$71)+F793/100*$B$7*AL$71-$C$71</f>
        <v/>
      </c>
      <c r="M793" s="13">
        <f>$B$7*(A793*AN$71+B793*AO$71+C793*AP$71+D793*AQ$71)+F793/100*$B$7*AS$71-$C$71</f>
        <v/>
      </c>
      <c r="N793" s="13">
        <f>SUMPRODUCT($H$24:$M$24,H793:M793)</f>
        <v/>
      </c>
      <c r="O793" s="14">
        <f>SQRT(SUMPRODUCT($H$24:$M$24,(H793:M793-N793)^2))</f>
        <v/>
      </c>
      <c r="P793" s="13">
        <f>MIN(H793:M793)</f>
        <v/>
      </c>
      <c r="Q793" s="13">
        <f>MAX(H793:M793)</f>
        <v/>
      </c>
      <c r="R793" s="27">
        <f>IF(G793,SUMPRODUCT(($G$76:$G$1505)*($N$76:$N$1505&gt;=N793)*($O$76:$O$1505&lt;=O793))=1,FALSE)</f>
        <v/>
      </c>
      <c r="S793" s="16">
        <f>IF(R793,ABS((O793-$AC$76)/MAX(0.0001,$AC$77-$AC$76)-(N793-$AC$78)/MAX(0.0001,$AC$79-$AC$78)),-1)</f>
        <v/>
      </c>
      <c r="T793" s="14">
        <f>IF(G793,O793,NA())</f>
        <v/>
      </c>
      <c r="U793" s="13">
        <f>IF(G793,N793,NA())</f>
        <v/>
      </c>
      <c r="V793" s="14">
        <f>IF(R793,O793,NA())</f>
        <v/>
      </c>
      <c r="W793" s="13">
        <f>IF(R793,N793,NA())</f>
        <v/>
      </c>
      <c r="X793" s="27">
        <f>IF(G793,P793,"")</f>
        <v/>
      </c>
      <c r="Y793" s="27">
        <f>IF(G793,N793,"")</f>
        <v/>
      </c>
      <c r="Z793" s="27">
        <f>IF(R793,O793,"")</f>
        <v/>
      </c>
      <c r="AA793" s="27">
        <f>IF(R793,N793,"")</f>
        <v/>
      </c>
    </row>
    <row r="794">
      <c r="A794" s="31" t="n">
        <v>0.2</v>
      </c>
      <c r="B794" s="31" t="n">
        <v>0.2</v>
      </c>
      <c r="C794" s="31" t="n">
        <v>0.5</v>
      </c>
      <c r="D794" s="31" t="n">
        <v>0.1</v>
      </c>
      <c r="E794" s="27" t="inlineStr">
        <is>
          <t>ON 20%/1M 20%/2M 50%/3M 10%</t>
        </is>
      </c>
      <c r="F794" s="27" t="n">
        <v>75</v>
      </c>
      <c r="G794" s="27">
        <f>A794*$B$7&gt;=$B$9</f>
        <v/>
      </c>
      <c r="H794" s="13">
        <f>$B$7*(A794*E$71+B794*F$71+C794*G$71+D794*H$71)+F794/100*$B$7*J$71-$C$71</f>
        <v/>
      </c>
      <c r="I794" s="13">
        <f>$B$7*(A794*L$71+B794*M$71+C794*N$71+D794*O$71)+F794/100*$B$7*Q$71-$C$71</f>
        <v/>
      </c>
      <c r="J794" s="13">
        <f>$B$7*(A794*S$71+B794*T$71+C794*U$71+D794*V$71)+F794/100*$B$7*X$71-$C$71</f>
        <v/>
      </c>
      <c r="K794" s="13">
        <f>$B$7*(A794*Z$71+B794*AA$71+C794*AB$71+D794*AC$71)+F794/100*$B$7*AE$71-$C$71</f>
        <v/>
      </c>
      <c r="L794" s="13">
        <f>$B$7*(A794*AG$71+B794*AH$71+C794*AI$71+D794*AJ$71)+F794/100*$B$7*AL$71-$C$71</f>
        <v/>
      </c>
      <c r="M794" s="13">
        <f>$B$7*(A794*AN$71+B794*AO$71+C794*AP$71+D794*AQ$71)+F794/100*$B$7*AS$71-$C$71</f>
        <v/>
      </c>
      <c r="N794" s="13">
        <f>SUMPRODUCT($H$24:$M$24,H794:M794)</f>
        <v/>
      </c>
      <c r="O794" s="14">
        <f>SQRT(SUMPRODUCT($H$24:$M$24,(H794:M794-N794)^2))</f>
        <v/>
      </c>
      <c r="P794" s="13">
        <f>MIN(H794:M794)</f>
        <v/>
      </c>
      <c r="Q794" s="13">
        <f>MAX(H794:M794)</f>
        <v/>
      </c>
      <c r="R794" s="27">
        <f>IF(G794,SUMPRODUCT(($G$76:$G$1505)*($N$76:$N$1505&gt;=N794)*($O$76:$O$1505&lt;=O794))=1,FALSE)</f>
        <v/>
      </c>
      <c r="S794" s="16">
        <f>IF(R794,ABS((O794-$AC$76)/MAX(0.0001,$AC$77-$AC$76)-(N794-$AC$78)/MAX(0.0001,$AC$79-$AC$78)),-1)</f>
        <v/>
      </c>
      <c r="T794" s="14">
        <f>IF(G794,O794,NA())</f>
        <v/>
      </c>
      <c r="U794" s="13">
        <f>IF(G794,N794,NA())</f>
        <v/>
      </c>
      <c r="V794" s="14">
        <f>IF(R794,O794,NA())</f>
        <v/>
      </c>
      <c r="W794" s="13">
        <f>IF(R794,N794,NA())</f>
        <v/>
      </c>
      <c r="X794" s="27">
        <f>IF(G794,P794,"")</f>
        <v/>
      </c>
      <c r="Y794" s="27">
        <f>IF(G794,N794,"")</f>
        <v/>
      </c>
      <c r="Z794" s="27">
        <f>IF(R794,O794,"")</f>
        <v/>
      </c>
      <c r="AA794" s="27">
        <f>IF(R794,N794,"")</f>
        <v/>
      </c>
    </row>
    <row r="795">
      <c r="A795" s="31" t="n">
        <v>0.2</v>
      </c>
      <c r="B795" s="31" t="n">
        <v>0.2</v>
      </c>
      <c r="C795" s="31" t="n">
        <v>0.5</v>
      </c>
      <c r="D795" s="31" t="n">
        <v>0.1</v>
      </c>
      <c r="E795" s="27" t="inlineStr">
        <is>
          <t>ON 20%/1M 20%/2M 50%/3M 10%</t>
        </is>
      </c>
      <c r="F795" s="27" t="n">
        <v>100</v>
      </c>
      <c r="G795" s="27">
        <f>A795*$B$7&gt;=$B$9</f>
        <v/>
      </c>
      <c r="H795" s="13">
        <f>$B$7*(A795*E$71+B795*F$71+C795*G$71+D795*H$71)+F795/100*$B$7*J$71-$C$71</f>
        <v/>
      </c>
      <c r="I795" s="13">
        <f>$B$7*(A795*L$71+B795*M$71+C795*N$71+D795*O$71)+F795/100*$B$7*Q$71-$C$71</f>
        <v/>
      </c>
      <c r="J795" s="13">
        <f>$B$7*(A795*S$71+B795*T$71+C795*U$71+D795*V$71)+F795/100*$B$7*X$71-$C$71</f>
        <v/>
      </c>
      <c r="K795" s="13">
        <f>$B$7*(A795*Z$71+B795*AA$71+C795*AB$71+D795*AC$71)+F795/100*$B$7*AE$71-$C$71</f>
        <v/>
      </c>
      <c r="L795" s="13">
        <f>$B$7*(A795*AG$71+B795*AH$71+C795*AI$71+D795*AJ$71)+F795/100*$B$7*AL$71-$C$71</f>
        <v/>
      </c>
      <c r="M795" s="13">
        <f>$B$7*(A795*AN$71+B795*AO$71+C795*AP$71+D795*AQ$71)+F795/100*$B$7*AS$71-$C$71</f>
        <v/>
      </c>
      <c r="N795" s="13">
        <f>SUMPRODUCT($H$24:$M$24,H795:M795)</f>
        <v/>
      </c>
      <c r="O795" s="14">
        <f>SQRT(SUMPRODUCT($H$24:$M$24,(H795:M795-N795)^2))</f>
        <v/>
      </c>
      <c r="P795" s="13">
        <f>MIN(H795:M795)</f>
        <v/>
      </c>
      <c r="Q795" s="13">
        <f>MAX(H795:M795)</f>
        <v/>
      </c>
      <c r="R795" s="27">
        <f>IF(G795,SUMPRODUCT(($G$76:$G$1505)*($N$76:$N$1505&gt;=N795)*($O$76:$O$1505&lt;=O795))=1,FALSE)</f>
        <v/>
      </c>
      <c r="S795" s="16">
        <f>IF(R795,ABS((O795-$AC$76)/MAX(0.0001,$AC$77-$AC$76)-(N795-$AC$78)/MAX(0.0001,$AC$79-$AC$78)),-1)</f>
        <v/>
      </c>
      <c r="T795" s="14">
        <f>IF(G795,O795,NA())</f>
        <v/>
      </c>
      <c r="U795" s="13">
        <f>IF(G795,N795,NA())</f>
        <v/>
      </c>
      <c r="V795" s="14">
        <f>IF(R795,O795,NA())</f>
        <v/>
      </c>
      <c r="W795" s="13">
        <f>IF(R795,N795,NA())</f>
        <v/>
      </c>
      <c r="X795" s="27">
        <f>IF(G795,P795,"")</f>
        <v/>
      </c>
      <c r="Y795" s="27">
        <f>IF(G795,N795,"")</f>
        <v/>
      </c>
      <c r="Z795" s="27">
        <f>IF(R795,O795,"")</f>
        <v/>
      </c>
      <c r="AA795" s="27">
        <f>IF(R795,N795,"")</f>
        <v/>
      </c>
    </row>
    <row r="796">
      <c r="A796" s="31" t="n">
        <v>0.2</v>
      </c>
      <c r="B796" s="31" t="n">
        <v>0.2</v>
      </c>
      <c r="C796" s="31" t="n">
        <v>0.6</v>
      </c>
      <c r="D796" s="31" t="n">
        <v>0</v>
      </c>
      <c r="E796" s="27" t="inlineStr">
        <is>
          <t>ON 20%/1M 20%/2M 60%</t>
        </is>
      </c>
      <c r="F796" s="27" t="n">
        <v>0</v>
      </c>
      <c r="G796" s="27">
        <f>A796*$B$7&gt;=$B$9</f>
        <v/>
      </c>
      <c r="H796" s="13">
        <f>$B$7*(A796*E$71+B796*F$71+C796*G$71+D796*H$71)+F796/100*$B$7*J$71-$C$71</f>
        <v/>
      </c>
      <c r="I796" s="13">
        <f>$B$7*(A796*L$71+B796*M$71+C796*N$71+D796*O$71)+F796/100*$B$7*Q$71-$C$71</f>
        <v/>
      </c>
      <c r="J796" s="13">
        <f>$B$7*(A796*S$71+B796*T$71+C796*U$71+D796*V$71)+F796/100*$B$7*X$71-$C$71</f>
        <v/>
      </c>
      <c r="K796" s="13">
        <f>$B$7*(A796*Z$71+B796*AA$71+C796*AB$71+D796*AC$71)+F796/100*$B$7*AE$71-$C$71</f>
        <v/>
      </c>
      <c r="L796" s="13">
        <f>$B$7*(A796*AG$71+B796*AH$71+C796*AI$71+D796*AJ$71)+F796/100*$B$7*AL$71-$C$71</f>
        <v/>
      </c>
      <c r="M796" s="13">
        <f>$B$7*(A796*AN$71+B796*AO$71+C796*AP$71+D796*AQ$71)+F796/100*$B$7*AS$71-$C$71</f>
        <v/>
      </c>
      <c r="N796" s="13">
        <f>SUMPRODUCT($H$24:$M$24,H796:M796)</f>
        <v/>
      </c>
      <c r="O796" s="14">
        <f>SQRT(SUMPRODUCT($H$24:$M$24,(H796:M796-N796)^2))</f>
        <v/>
      </c>
      <c r="P796" s="13">
        <f>MIN(H796:M796)</f>
        <v/>
      </c>
      <c r="Q796" s="13">
        <f>MAX(H796:M796)</f>
        <v/>
      </c>
      <c r="R796" s="27">
        <f>IF(G796,SUMPRODUCT(($G$76:$G$1505)*($N$76:$N$1505&gt;=N796)*($O$76:$O$1505&lt;=O796))=1,FALSE)</f>
        <v/>
      </c>
      <c r="S796" s="16">
        <f>IF(R796,ABS((O796-$AC$76)/MAX(0.0001,$AC$77-$AC$76)-(N796-$AC$78)/MAX(0.0001,$AC$79-$AC$78)),-1)</f>
        <v/>
      </c>
      <c r="T796" s="14">
        <f>IF(G796,O796,NA())</f>
        <v/>
      </c>
      <c r="U796" s="13">
        <f>IF(G796,N796,NA())</f>
        <v/>
      </c>
      <c r="V796" s="14">
        <f>IF(R796,O796,NA())</f>
        <v/>
      </c>
      <c r="W796" s="13">
        <f>IF(R796,N796,NA())</f>
        <v/>
      </c>
      <c r="X796" s="27">
        <f>IF(G796,P796,"")</f>
        <v/>
      </c>
      <c r="Y796" s="27">
        <f>IF(G796,N796,"")</f>
        <v/>
      </c>
      <c r="Z796" s="27">
        <f>IF(R796,O796,"")</f>
        <v/>
      </c>
      <c r="AA796" s="27">
        <f>IF(R796,N796,"")</f>
        <v/>
      </c>
    </row>
    <row r="797">
      <c r="A797" s="31" t="n">
        <v>0.2</v>
      </c>
      <c r="B797" s="31" t="n">
        <v>0.2</v>
      </c>
      <c r="C797" s="31" t="n">
        <v>0.6</v>
      </c>
      <c r="D797" s="31" t="n">
        <v>0</v>
      </c>
      <c r="E797" s="27" t="inlineStr">
        <is>
          <t>ON 20%/1M 20%/2M 60%</t>
        </is>
      </c>
      <c r="F797" s="27" t="n">
        <v>25</v>
      </c>
      <c r="G797" s="27">
        <f>A797*$B$7&gt;=$B$9</f>
        <v/>
      </c>
      <c r="H797" s="13">
        <f>$B$7*(A797*E$71+B797*F$71+C797*G$71+D797*H$71)+F797/100*$B$7*J$71-$C$71</f>
        <v/>
      </c>
      <c r="I797" s="13">
        <f>$B$7*(A797*L$71+B797*M$71+C797*N$71+D797*O$71)+F797/100*$B$7*Q$71-$C$71</f>
        <v/>
      </c>
      <c r="J797" s="13">
        <f>$B$7*(A797*S$71+B797*T$71+C797*U$71+D797*V$71)+F797/100*$B$7*X$71-$C$71</f>
        <v/>
      </c>
      <c r="K797" s="13">
        <f>$B$7*(A797*Z$71+B797*AA$71+C797*AB$71+D797*AC$71)+F797/100*$B$7*AE$71-$C$71</f>
        <v/>
      </c>
      <c r="L797" s="13">
        <f>$B$7*(A797*AG$71+B797*AH$71+C797*AI$71+D797*AJ$71)+F797/100*$B$7*AL$71-$C$71</f>
        <v/>
      </c>
      <c r="M797" s="13">
        <f>$B$7*(A797*AN$71+B797*AO$71+C797*AP$71+D797*AQ$71)+F797/100*$B$7*AS$71-$C$71</f>
        <v/>
      </c>
      <c r="N797" s="13">
        <f>SUMPRODUCT($H$24:$M$24,H797:M797)</f>
        <v/>
      </c>
      <c r="O797" s="14">
        <f>SQRT(SUMPRODUCT($H$24:$M$24,(H797:M797-N797)^2))</f>
        <v/>
      </c>
      <c r="P797" s="13">
        <f>MIN(H797:M797)</f>
        <v/>
      </c>
      <c r="Q797" s="13">
        <f>MAX(H797:M797)</f>
        <v/>
      </c>
      <c r="R797" s="27">
        <f>IF(G797,SUMPRODUCT(($G$76:$G$1505)*($N$76:$N$1505&gt;=N797)*($O$76:$O$1505&lt;=O797))=1,FALSE)</f>
        <v/>
      </c>
      <c r="S797" s="16">
        <f>IF(R797,ABS((O797-$AC$76)/MAX(0.0001,$AC$77-$AC$76)-(N797-$AC$78)/MAX(0.0001,$AC$79-$AC$78)),-1)</f>
        <v/>
      </c>
      <c r="T797" s="14">
        <f>IF(G797,O797,NA())</f>
        <v/>
      </c>
      <c r="U797" s="13">
        <f>IF(G797,N797,NA())</f>
        <v/>
      </c>
      <c r="V797" s="14">
        <f>IF(R797,O797,NA())</f>
        <v/>
      </c>
      <c r="W797" s="13">
        <f>IF(R797,N797,NA())</f>
        <v/>
      </c>
      <c r="X797" s="27">
        <f>IF(G797,P797,"")</f>
        <v/>
      </c>
      <c r="Y797" s="27">
        <f>IF(G797,N797,"")</f>
        <v/>
      </c>
      <c r="Z797" s="27">
        <f>IF(R797,O797,"")</f>
        <v/>
      </c>
      <c r="AA797" s="27">
        <f>IF(R797,N797,"")</f>
        <v/>
      </c>
    </row>
    <row r="798">
      <c r="A798" s="31" t="n">
        <v>0.2</v>
      </c>
      <c r="B798" s="31" t="n">
        <v>0.2</v>
      </c>
      <c r="C798" s="31" t="n">
        <v>0.6</v>
      </c>
      <c r="D798" s="31" t="n">
        <v>0</v>
      </c>
      <c r="E798" s="27" t="inlineStr">
        <is>
          <t>ON 20%/1M 20%/2M 60%</t>
        </is>
      </c>
      <c r="F798" s="27" t="n">
        <v>50</v>
      </c>
      <c r="G798" s="27">
        <f>A798*$B$7&gt;=$B$9</f>
        <v/>
      </c>
      <c r="H798" s="13">
        <f>$B$7*(A798*E$71+B798*F$71+C798*G$71+D798*H$71)+F798/100*$B$7*J$71-$C$71</f>
        <v/>
      </c>
      <c r="I798" s="13">
        <f>$B$7*(A798*L$71+B798*M$71+C798*N$71+D798*O$71)+F798/100*$B$7*Q$71-$C$71</f>
        <v/>
      </c>
      <c r="J798" s="13">
        <f>$B$7*(A798*S$71+B798*T$71+C798*U$71+D798*V$71)+F798/100*$B$7*X$71-$C$71</f>
        <v/>
      </c>
      <c r="K798" s="13">
        <f>$B$7*(A798*Z$71+B798*AA$71+C798*AB$71+D798*AC$71)+F798/100*$B$7*AE$71-$C$71</f>
        <v/>
      </c>
      <c r="L798" s="13">
        <f>$B$7*(A798*AG$71+B798*AH$71+C798*AI$71+D798*AJ$71)+F798/100*$B$7*AL$71-$C$71</f>
        <v/>
      </c>
      <c r="M798" s="13">
        <f>$B$7*(A798*AN$71+B798*AO$71+C798*AP$71+D798*AQ$71)+F798/100*$B$7*AS$71-$C$71</f>
        <v/>
      </c>
      <c r="N798" s="13">
        <f>SUMPRODUCT($H$24:$M$24,H798:M798)</f>
        <v/>
      </c>
      <c r="O798" s="14">
        <f>SQRT(SUMPRODUCT($H$24:$M$24,(H798:M798-N798)^2))</f>
        <v/>
      </c>
      <c r="P798" s="13">
        <f>MIN(H798:M798)</f>
        <v/>
      </c>
      <c r="Q798" s="13">
        <f>MAX(H798:M798)</f>
        <v/>
      </c>
      <c r="R798" s="27">
        <f>IF(G798,SUMPRODUCT(($G$76:$G$1505)*($N$76:$N$1505&gt;=N798)*($O$76:$O$1505&lt;=O798))=1,FALSE)</f>
        <v/>
      </c>
      <c r="S798" s="16">
        <f>IF(R798,ABS((O798-$AC$76)/MAX(0.0001,$AC$77-$AC$76)-(N798-$AC$78)/MAX(0.0001,$AC$79-$AC$78)),-1)</f>
        <v/>
      </c>
      <c r="T798" s="14">
        <f>IF(G798,O798,NA())</f>
        <v/>
      </c>
      <c r="U798" s="13">
        <f>IF(G798,N798,NA())</f>
        <v/>
      </c>
      <c r="V798" s="14">
        <f>IF(R798,O798,NA())</f>
        <v/>
      </c>
      <c r="W798" s="13">
        <f>IF(R798,N798,NA())</f>
        <v/>
      </c>
      <c r="X798" s="27">
        <f>IF(G798,P798,"")</f>
        <v/>
      </c>
      <c r="Y798" s="27">
        <f>IF(G798,N798,"")</f>
        <v/>
      </c>
      <c r="Z798" s="27">
        <f>IF(R798,O798,"")</f>
        <v/>
      </c>
      <c r="AA798" s="27">
        <f>IF(R798,N798,"")</f>
        <v/>
      </c>
    </row>
    <row r="799">
      <c r="A799" s="31" t="n">
        <v>0.2</v>
      </c>
      <c r="B799" s="31" t="n">
        <v>0.2</v>
      </c>
      <c r="C799" s="31" t="n">
        <v>0.6</v>
      </c>
      <c r="D799" s="31" t="n">
        <v>0</v>
      </c>
      <c r="E799" s="27" t="inlineStr">
        <is>
          <t>ON 20%/1M 20%/2M 60%</t>
        </is>
      </c>
      <c r="F799" s="27" t="n">
        <v>75</v>
      </c>
      <c r="G799" s="27">
        <f>A799*$B$7&gt;=$B$9</f>
        <v/>
      </c>
      <c r="H799" s="13">
        <f>$B$7*(A799*E$71+B799*F$71+C799*G$71+D799*H$71)+F799/100*$B$7*J$71-$C$71</f>
        <v/>
      </c>
      <c r="I799" s="13">
        <f>$B$7*(A799*L$71+B799*M$71+C799*N$71+D799*O$71)+F799/100*$B$7*Q$71-$C$71</f>
        <v/>
      </c>
      <c r="J799" s="13">
        <f>$B$7*(A799*S$71+B799*T$71+C799*U$71+D799*V$71)+F799/100*$B$7*X$71-$C$71</f>
        <v/>
      </c>
      <c r="K799" s="13">
        <f>$B$7*(A799*Z$71+B799*AA$71+C799*AB$71+D799*AC$71)+F799/100*$B$7*AE$71-$C$71</f>
        <v/>
      </c>
      <c r="L799" s="13">
        <f>$B$7*(A799*AG$71+B799*AH$71+C799*AI$71+D799*AJ$71)+F799/100*$B$7*AL$71-$C$71</f>
        <v/>
      </c>
      <c r="M799" s="13">
        <f>$B$7*(A799*AN$71+B799*AO$71+C799*AP$71+D799*AQ$71)+F799/100*$B$7*AS$71-$C$71</f>
        <v/>
      </c>
      <c r="N799" s="13">
        <f>SUMPRODUCT($H$24:$M$24,H799:M799)</f>
        <v/>
      </c>
      <c r="O799" s="14">
        <f>SQRT(SUMPRODUCT($H$24:$M$24,(H799:M799-N799)^2))</f>
        <v/>
      </c>
      <c r="P799" s="13">
        <f>MIN(H799:M799)</f>
        <v/>
      </c>
      <c r="Q799" s="13">
        <f>MAX(H799:M799)</f>
        <v/>
      </c>
      <c r="R799" s="27">
        <f>IF(G799,SUMPRODUCT(($G$76:$G$1505)*($N$76:$N$1505&gt;=N799)*($O$76:$O$1505&lt;=O799))=1,FALSE)</f>
        <v/>
      </c>
      <c r="S799" s="16">
        <f>IF(R799,ABS((O799-$AC$76)/MAX(0.0001,$AC$77-$AC$76)-(N799-$AC$78)/MAX(0.0001,$AC$79-$AC$78)),-1)</f>
        <v/>
      </c>
      <c r="T799" s="14">
        <f>IF(G799,O799,NA())</f>
        <v/>
      </c>
      <c r="U799" s="13">
        <f>IF(G799,N799,NA())</f>
        <v/>
      </c>
      <c r="V799" s="14">
        <f>IF(R799,O799,NA())</f>
        <v/>
      </c>
      <c r="W799" s="13">
        <f>IF(R799,N799,NA())</f>
        <v/>
      </c>
      <c r="X799" s="27">
        <f>IF(G799,P799,"")</f>
        <v/>
      </c>
      <c r="Y799" s="27">
        <f>IF(G799,N799,"")</f>
        <v/>
      </c>
      <c r="Z799" s="27">
        <f>IF(R799,O799,"")</f>
        <v/>
      </c>
      <c r="AA799" s="27">
        <f>IF(R799,N799,"")</f>
        <v/>
      </c>
    </row>
    <row r="800">
      <c r="A800" s="31" t="n">
        <v>0.2</v>
      </c>
      <c r="B800" s="31" t="n">
        <v>0.2</v>
      </c>
      <c r="C800" s="31" t="n">
        <v>0.6</v>
      </c>
      <c r="D800" s="31" t="n">
        <v>0</v>
      </c>
      <c r="E800" s="27" t="inlineStr">
        <is>
          <t>ON 20%/1M 20%/2M 60%</t>
        </is>
      </c>
      <c r="F800" s="27" t="n">
        <v>100</v>
      </c>
      <c r="G800" s="27">
        <f>A800*$B$7&gt;=$B$9</f>
        <v/>
      </c>
      <c r="H800" s="13">
        <f>$B$7*(A800*E$71+B800*F$71+C800*G$71+D800*H$71)+F800/100*$B$7*J$71-$C$71</f>
        <v/>
      </c>
      <c r="I800" s="13">
        <f>$B$7*(A800*L$71+B800*M$71+C800*N$71+D800*O$71)+F800/100*$B$7*Q$71-$C$71</f>
        <v/>
      </c>
      <c r="J800" s="13">
        <f>$B$7*(A800*S$71+B800*T$71+C800*U$71+D800*V$71)+F800/100*$B$7*X$71-$C$71</f>
        <v/>
      </c>
      <c r="K800" s="13">
        <f>$B$7*(A800*Z$71+B800*AA$71+C800*AB$71+D800*AC$71)+F800/100*$B$7*AE$71-$C$71</f>
        <v/>
      </c>
      <c r="L800" s="13">
        <f>$B$7*(A800*AG$71+B800*AH$71+C800*AI$71+D800*AJ$71)+F800/100*$B$7*AL$71-$C$71</f>
        <v/>
      </c>
      <c r="M800" s="13">
        <f>$B$7*(A800*AN$71+B800*AO$71+C800*AP$71+D800*AQ$71)+F800/100*$B$7*AS$71-$C$71</f>
        <v/>
      </c>
      <c r="N800" s="13">
        <f>SUMPRODUCT($H$24:$M$24,H800:M800)</f>
        <v/>
      </c>
      <c r="O800" s="14">
        <f>SQRT(SUMPRODUCT($H$24:$M$24,(H800:M800-N800)^2))</f>
        <v/>
      </c>
      <c r="P800" s="13">
        <f>MIN(H800:M800)</f>
        <v/>
      </c>
      <c r="Q800" s="13">
        <f>MAX(H800:M800)</f>
        <v/>
      </c>
      <c r="R800" s="27">
        <f>IF(G800,SUMPRODUCT(($G$76:$G$1505)*($N$76:$N$1505&gt;=N800)*($O$76:$O$1505&lt;=O800))=1,FALSE)</f>
        <v/>
      </c>
      <c r="S800" s="16">
        <f>IF(R800,ABS((O800-$AC$76)/MAX(0.0001,$AC$77-$AC$76)-(N800-$AC$78)/MAX(0.0001,$AC$79-$AC$78)),-1)</f>
        <v/>
      </c>
      <c r="T800" s="14">
        <f>IF(G800,O800,NA())</f>
        <v/>
      </c>
      <c r="U800" s="13">
        <f>IF(G800,N800,NA())</f>
        <v/>
      </c>
      <c r="V800" s="14">
        <f>IF(R800,O800,NA())</f>
        <v/>
      </c>
      <c r="W800" s="13">
        <f>IF(R800,N800,NA())</f>
        <v/>
      </c>
      <c r="X800" s="27">
        <f>IF(G800,P800,"")</f>
        <v/>
      </c>
      <c r="Y800" s="27">
        <f>IF(G800,N800,"")</f>
        <v/>
      </c>
      <c r="Z800" s="27">
        <f>IF(R800,O800,"")</f>
        <v/>
      </c>
      <c r="AA800" s="27">
        <f>IF(R800,N800,"")</f>
        <v/>
      </c>
    </row>
    <row r="801">
      <c r="A801" s="31" t="n">
        <v>0.2</v>
      </c>
      <c r="B801" s="31" t="n">
        <v>0.3</v>
      </c>
      <c r="C801" s="31" t="n">
        <v>0</v>
      </c>
      <c r="D801" s="31" t="n">
        <v>0.5</v>
      </c>
      <c r="E801" s="27" t="inlineStr">
        <is>
          <t>ON 20%/1M 30%/3M 50%</t>
        </is>
      </c>
      <c r="F801" s="27" t="n">
        <v>0</v>
      </c>
      <c r="G801" s="27">
        <f>A801*$B$7&gt;=$B$9</f>
        <v/>
      </c>
      <c r="H801" s="13">
        <f>$B$7*(A801*E$71+B801*F$71+C801*G$71+D801*H$71)+F801/100*$B$7*J$71-$C$71</f>
        <v/>
      </c>
      <c r="I801" s="13">
        <f>$B$7*(A801*L$71+B801*M$71+C801*N$71+D801*O$71)+F801/100*$B$7*Q$71-$C$71</f>
        <v/>
      </c>
      <c r="J801" s="13">
        <f>$B$7*(A801*S$71+B801*T$71+C801*U$71+D801*V$71)+F801/100*$B$7*X$71-$C$71</f>
        <v/>
      </c>
      <c r="K801" s="13">
        <f>$B$7*(A801*Z$71+B801*AA$71+C801*AB$71+D801*AC$71)+F801/100*$B$7*AE$71-$C$71</f>
        <v/>
      </c>
      <c r="L801" s="13">
        <f>$B$7*(A801*AG$71+B801*AH$71+C801*AI$71+D801*AJ$71)+F801/100*$B$7*AL$71-$C$71</f>
        <v/>
      </c>
      <c r="M801" s="13">
        <f>$B$7*(A801*AN$71+B801*AO$71+C801*AP$71+D801*AQ$71)+F801/100*$B$7*AS$71-$C$71</f>
        <v/>
      </c>
      <c r="N801" s="13">
        <f>SUMPRODUCT($H$24:$M$24,H801:M801)</f>
        <v/>
      </c>
      <c r="O801" s="14">
        <f>SQRT(SUMPRODUCT($H$24:$M$24,(H801:M801-N801)^2))</f>
        <v/>
      </c>
      <c r="P801" s="13">
        <f>MIN(H801:M801)</f>
        <v/>
      </c>
      <c r="Q801" s="13">
        <f>MAX(H801:M801)</f>
        <v/>
      </c>
      <c r="R801" s="27">
        <f>IF(G801,SUMPRODUCT(($G$76:$G$1505)*($N$76:$N$1505&gt;=N801)*($O$76:$O$1505&lt;=O801))=1,FALSE)</f>
        <v/>
      </c>
      <c r="S801" s="16">
        <f>IF(R801,ABS((O801-$AC$76)/MAX(0.0001,$AC$77-$AC$76)-(N801-$AC$78)/MAX(0.0001,$AC$79-$AC$78)),-1)</f>
        <v/>
      </c>
      <c r="T801" s="14">
        <f>IF(G801,O801,NA())</f>
        <v/>
      </c>
      <c r="U801" s="13">
        <f>IF(G801,N801,NA())</f>
        <v/>
      </c>
      <c r="V801" s="14">
        <f>IF(R801,O801,NA())</f>
        <v/>
      </c>
      <c r="W801" s="13">
        <f>IF(R801,N801,NA())</f>
        <v/>
      </c>
      <c r="X801" s="27">
        <f>IF(G801,P801,"")</f>
        <v/>
      </c>
      <c r="Y801" s="27">
        <f>IF(G801,N801,"")</f>
        <v/>
      </c>
      <c r="Z801" s="27">
        <f>IF(R801,O801,"")</f>
        <v/>
      </c>
      <c r="AA801" s="27">
        <f>IF(R801,N801,"")</f>
        <v/>
      </c>
    </row>
    <row r="802">
      <c r="A802" s="31" t="n">
        <v>0.2</v>
      </c>
      <c r="B802" s="31" t="n">
        <v>0.3</v>
      </c>
      <c r="C802" s="31" t="n">
        <v>0</v>
      </c>
      <c r="D802" s="31" t="n">
        <v>0.5</v>
      </c>
      <c r="E802" s="27" t="inlineStr">
        <is>
          <t>ON 20%/1M 30%/3M 50%</t>
        </is>
      </c>
      <c r="F802" s="27" t="n">
        <v>25</v>
      </c>
      <c r="G802" s="27">
        <f>A802*$B$7&gt;=$B$9</f>
        <v/>
      </c>
      <c r="H802" s="13">
        <f>$B$7*(A802*E$71+B802*F$71+C802*G$71+D802*H$71)+F802/100*$B$7*J$71-$C$71</f>
        <v/>
      </c>
      <c r="I802" s="13">
        <f>$B$7*(A802*L$71+B802*M$71+C802*N$71+D802*O$71)+F802/100*$B$7*Q$71-$C$71</f>
        <v/>
      </c>
      <c r="J802" s="13">
        <f>$B$7*(A802*S$71+B802*T$71+C802*U$71+D802*V$71)+F802/100*$B$7*X$71-$C$71</f>
        <v/>
      </c>
      <c r="K802" s="13">
        <f>$B$7*(A802*Z$71+B802*AA$71+C802*AB$71+D802*AC$71)+F802/100*$B$7*AE$71-$C$71</f>
        <v/>
      </c>
      <c r="L802" s="13">
        <f>$B$7*(A802*AG$71+B802*AH$71+C802*AI$71+D802*AJ$71)+F802/100*$B$7*AL$71-$C$71</f>
        <v/>
      </c>
      <c r="M802" s="13">
        <f>$B$7*(A802*AN$71+B802*AO$71+C802*AP$71+D802*AQ$71)+F802/100*$B$7*AS$71-$C$71</f>
        <v/>
      </c>
      <c r="N802" s="13">
        <f>SUMPRODUCT($H$24:$M$24,H802:M802)</f>
        <v/>
      </c>
      <c r="O802" s="14">
        <f>SQRT(SUMPRODUCT($H$24:$M$24,(H802:M802-N802)^2))</f>
        <v/>
      </c>
      <c r="P802" s="13">
        <f>MIN(H802:M802)</f>
        <v/>
      </c>
      <c r="Q802" s="13">
        <f>MAX(H802:M802)</f>
        <v/>
      </c>
      <c r="R802" s="27">
        <f>IF(G802,SUMPRODUCT(($G$76:$G$1505)*($N$76:$N$1505&gt;=N802)*($O$76:$O$1505&lt;=O802))=1,FALSE)</f>
        <v/>
      </c>
      <c r="S802" s="16">
        <f>IF(R802,ABS((O802-$AC$76)/MAX(0.0001,$AC$77-$AC$76)-(N802-$AC$78)/MAX(0.0001,$AC$79-$AC$78)),-1)</f>
        <v/>
      </c>
      <c r="T802" s="14">
        <f>IF(G802,O802,NA())</f>
        <v/>
      </c>
      <c r="U802" s="13">
        <f>IF(G802,N802,NA())</f>
        <v/>
      </c>
      <c r="V802" s="14">
        <f>IF(R802,O802,NA())</f>
        <v/>
      </c>
      <c r="W802" s="13">
        <f>IF(R802,N802,NA())</f>
        <v/>
      </c>
      <c r="X802" s="27">
        <f>IF(G802,P802,"")</f>
        <v/>
      </c>
      <c r="Y802" s="27">
        <f>IF(G802,N802,"")</f>
        <v/>
      </c>
      <c r="Z802" s="27">
        <f>IF(R802,O802,"")</f>
        <v/>
      </c>
      <c r="AA802" s="27">
        <f>IF(R802,N802,"")</f>
        <v/>
      </c>
    </row>
    <row r="803">
      <c r="A803" s="31" t="n">
        <v>0.2</v>
      </c>
      <c r="B803" s="31" t="n">
        <v>0.3</v>
      </c>
      <c r="C803" s="31" t="n">
        <v>0</v>
      </c>
      <c r="D803" s="31" t="n">
        <v>0.5</v>
      </c>
      <c r="E803" s="27" t="inlineStr">
        <is>
          <t>ON 20%/1M 30%/3M 50%</t>
        </is>
      </c>
      <c r="F803" s="27" t="n">
        <v>50</v>
      </c>
      <c r="G803" s="27">
        <f>A803*$B$7&gt;=$B$9</f>
        <v/>
      </c>
      <c r="H803" s="13">
        <f>$B$7*(A803*E$71+B803*F$71+C803*G$71+D803*H$71)+F803/100*$B$7*J$71-$C$71</f>
        <v/>
      </c>
      <c r="I803" s="13">
        <f>$B$7*(A803*L$71+B803*M$71+C803*N$71+D803*O$71)+F803/100*$B$7*Q$71-$C$71</f>
        <v/>
      </c>
      <c r="J803" s="13">
        <f>$B$7*(A803*S$71+B803*T$71+C803*U$71+D803*V$71)+F803/100*$B$7*X$71-$C$71</f>
        <v/>
      </c>
      <c r="K803" s="13">
        <f>$B$7*(A803*Z$71+B803*AA$71+C803*AB$71+D803*AC$71)+F803/100*$B$7*AE$71-$C$71</f>
        <v/>
      </c>
      <c r="L803" s="13">
        <f>$B$7*(A803*AG$71+B803*AH$71+C803*AI$71+D803*AJ$71)+F803/100*$B$7*AL$71-$C$71</f>
        <v/>
      </c>
      <c r="M803" s="13">
        <f>$B$7*(A803*AN$71+B803*AO$71+C803*AP$71+D803*AQ$71)+F803/100*$B$7*AS$71-$C$71</f>
        <v/>
      </c>
      <c r="N803" s="13">
        <f>SUMPRODUCT($H$24:$M$24,H803:M803)</f>
        <v/>
      </c>
      <c r="O803" s="14">
        <f>SQRT(SUMPRODUCT($H$24:$M$24,(H803:M803-N803)^2))</f>
        <v/>
      </c>
      <c r="P803" s="13">
        <f>MIN(H803:M803)</f>
        <v/>
      </c>
      <c r="Q803" s="13">
        <f>MAX(H803:M803)</f>
        <v/>
      </c>
      <c r="R803" s="27">
        <f>IF(G803,SUMPRODUCT(($G$76:$G$1505)*($N$76:$N$1505&gt;=N803)*($O$76:$O$1505&lt;=O803))=1,FALSE)</f>
        <v/>
      </c>
      <c r="S803" s="16">
        <f>IF(R803,ABS((O803-$AC$76)/MAX(0.0001,$AC$77-$AC$76)-(N803-$AC$78)/MAX(0.0001,$AC$79-$AC$78)),-1)</f>
        <v/>
      </c>
      <c r="T803" s="14">
        <f>IF(G803,O803,NA())</f>
        <v/>
      </c>
      <c r="U803" s="13">
        <f>IF(G803,N803,NA())</f>
        <v/>
      </c>
      <c r="V803" s="14">
        <f>IF(R803,O803,NA())</f>
        <v/>
      </c>
      <c r="W803" s="13">
        <f>IF(R803,N803,NA())</f>
        <v/>
      </c>
      <c r="X803" s="27">
        <f>IF(G803,P803,"")</f>
        <v/>
      </c>
      <c r="Y803" s="27">
        <f>IF(G803,N803,"")</f>
        <v/>
      </c>
      <c r="Z803" s="27">
        <f>IF(R803,O803,"")</f>
        <v/>
      </c>
      <c r="AA803" s="27">
        <f>IF(R803,N803,"")</f>
        <v/>
      </c>
    </row>
    <row r="804">
      <c r="A804" s="31" t="n">
        <v>0.2</v>
      </c>
      <c r="B804" s="31" t="n">
        <v>0.3</v>
      </c>
      <c r="C804" s="31" t="n">
        <v>0</v>
      </c>
      <c r="D804" s="31" t="n">
        <v>0.5</v>
      </c>
      <c r="E804" s="27" t="inlineStr">
        <is>
          <t>ON 20%/1M 30%/3M 50%</t>
        </is>
      </c>
      <c r="F804" s="27" t="n">
        <v>75</v>
      </c>
      <c r="G804" s="27">
        <f>A804*$B$7&gt;=$B$9</f>
        <v/>
      </c>
      <c r="H804" s="13">
        <f>$B$7*(A804*E$71+B804*F$71+C804*G$71+D804*H$71)+F804/100*$B$7*J$71-$C$71</f>
        <v/>
      </c>
      <c r="I804" s="13">
        <f>$B$7*(A804*L$71+B804*M$71+C804*N$71+D804*O$71)+F804/100*$B$7*Q$71-$C$71</f>
        <v/>
      </c>
      <c r="J804" s="13">
        <f>$B$7*(A804*S$71+B804*T$71+C804*U$71+D804*V$71)+F804/100*$B$7*X$71-$C$71</f>
        <v/>
      </c>
      <c r="K804" s="13">
        <f>$B$7*(A804*Z$71+B804*AA$71+C804*AB$71+D804*AC$71)+F804/100*$B$7*AE$71-$C$71</f>
        <v/>
      </c>
      <c r="L804" s="13">
        <f>$B$7*(A804*AG$71+B804*AH$71+C804*AI$71+D804*AJ$71)+F804/100*$B$7*AL$71-$C$71</f>
        <v/>
      </c>
      <c r="M804" s="13">
        <f>$B$7*(A804*AN$71+B804*AO$71+C804*AP$71+D804*AQ$71)+F804/100*$B$7*AS$71-$C$71</f>
        <v/>
      </c>
      <c r="N804" s="13">
        <f>SUMPRODUCT($H$24:$M$24,H804:M804)</f>
        <v/>
      </c>
      <c r="O804" s="14">
        <f>SQRT(SUMPRODUCT($H$24:$M$24,(H804:M804-N804)^2))</f>
        <v/>
      </c>
      <c r="P804" s="13">
        <f>MIN(H804:M804)</f>
        <v/>
      </c>
      <c r="Q804" s="13">
        <f>MAX(H804:M804)</f>
        <v/>
      </c>
      <c r="R804" s="27">
        <f>IF(G804,SUMPRODUCT(($G$76:$G$1505)*($N$76:$N$1505&gt;=N804)*($O$76:$O$1505&lt;=O804))=1,FALSE)</f>
        <v/>
      </c>
      <c r="S804" s="16">
        <f>IF(R804,ABS((O804-$AC$76)/MAX(0.0001,$AC$77-$AC$76)-(N804-$AC$78)/MAX(0.0001,$AC$79-$AC$78)),-1)</f>
        <v/>
      </c>
      <c r="T804" s="14">
        <f>IF(G804,O804,NA())</f>
        <v/>
      </c>
      <c r="U804" s="13">
        <f>IF(G804,N804,NA())</f>
        <v/>
      </c>
      <c r="V804" s="14">
        <f>IF(R804,O804,NA())</f>
        <v/>
      </c>
      <c r="W804" s="13">
        <f>IF(R804,N804,NA())</f>
        <v/>
      </c>
      <c r="X804" s="27">
        <f>IF(G804,P804,"")</f>
        <v/>
      </c>
      <c r="Y804" s="27">
        <f>IF(G804,N804,"")</f>
        <v/>
      </c>
      <c r="Z804" s="27">
        <f>IF(R804,O804,"")</f>
        <v/>
      </c>
      <c r="AA804" s="27">
        <f>IF(R804,N804,"")</f>
        <v/>
      </c>
    </row>
    <row r="805">
      <c r="A805" s="31" t="n">
        <v>0.2</v>
      </c>
      <c r="B805" s="31" t="n">
        <v>0.3</v>
      </c>
      <c r="C805" s="31" t="n">
        <v>0</v>
      </c>
      <c r="D805" s="31" t="n">
        <v>0.5</v>
      </c>
      <c r="E805" s="27" t="inlineStr">
        <is>
          <t>ON 20%/1M 30%/3M 50%</t>
        </is>
      </c>
      <c r="F805" s="27" t="n">
        <v>100</v>
      </c>
      <c r="G805" s="27">
        <f>A805*$B$7&gt;=$B$9</f>
        <v/>
      </c>
      <c r="H805" s="13">
        <f>$B$7*(A805*E$71+B805*F$71+C805*G$71+D805*H$71)+F805/100*$B$7*J$71-$C$71</f>
        <v/>
      </c>
      <c r="I805" s="13">
        <f>$B$7*(A805*L$71+B805*M$71+C805*N$71+D805*O$71)+F805/100*$B$7*Q$71-$C$71</f>
        <v/>
      </c>
      <c r="J805" s="13">
        <f>$B$7*(A805*S$71+B805*T$71+C805*U$71+D805*V$71)+F805/100*$B$7*X$71-$C$71</f>
        <v/>
      </c>
      <c r="K805" s="13">
        <f>$B$7*(A805*Z$71+B805*AA$71+C805*AB$71+D805*AC$71)+F805/100*$B$7*AE$71-$C$71</f>
        <v/>
      </c>
      <c r="L805" s="13">
        <f>$B$7*(A805*AG$71+B805*AH$71+C805*AI$71+D805*AJ$71)+F805/100*$B$7*AL$71-$C$71</f>
        <v/>
      </c>
      <c r="M805" s="13">
        <f>$B$7*(A805*AN$71+B805*AO$71+C805*AP$71+D805*AQ$71)+F805/100*$B$7*AS$71-$C$71</f>
        <v/>
      </c>
      <c r="N805" s="13">
        <f>SUMPRODUCT($H$24:$M$24,H805:M805)</f>
        <v/>
      </c>
      <c r="O805" s="14">
        <f>SQRT(SUMPRODUCT($H$24:$M$24,(H805:M805-N805)^2))</f>
        <v/>
      </c>
      <c r="P805" s="13">
        <f>MIN(H805:M805)</f>
        <v/>
      </c>
      <c r="Q805" s="13">
        <f>MAX(H805:M805)</f>
        <v/>
      </c>
      <c r="R805" s="27">
        <f>IF(G805,SUMPRODUCT(($G$76:$G$1505)*($N$76:$N$1505&gt;=N805)*($O$76:$O$1505&lt;=O805))=1,FALSE)</f>
        <v/>
      </c>
      <c r="S805" s="16">
        <f>IF(R805,ABS((O805-$AC$76)/MAX(0.0001,$AC$77-$AC$76)-(N805-$AC$78)/MAX(0.0001,$AC$79-$AC$78)),-1)</f>
        <v/>
      </c>
      <c r="T805" s="14">
        <f>IF(G805,O805,NA())</f>
        <v/>
      </c>
      <c r="U805" s="13">
        <f>IF(G805,N805,NA())</f>
        <v/>
      </c>
      <c r="V805" s="14">
        <f>IF(R805,O805,NA())</f>
        <v/>
      </c>
      <c r="W805" s="13">
        <f>IF(R805,N805,NA())</f>
        <v/>
      </c>
      <c r="X805" s="27">
        <f>IF(G805,P805,"")</f>
        <v/>
      </c>
      <c r="Y805" s="27">
        <f>IF(G805,N805,"")</f>
        <v/>
      </c>
      <c r="Z805" s="27">
        <f>IF(R805,O805,"")</f>
        <v/>
      </c>
      <c r="AA805" s="27">
        <f>IF(R805,N805,"")</f>
        <v/>
      </c>
    </row>
    <row r="806">
      <c r="A806" s="31" t="n">
        <v>0.2</v>
      </c>
      <c r="B806" s="31" t="n">
        <v>0.3</v>
      </c>
      <c r="C806" s="31" t="n">
        <v>0.1</v>
      </c>
      <c r="D806" s="31" t="n">
        <v>0.4</v>
      </c>
      <c r="E806" s="27" t="inlineStr">
        <is>
          <t>ON 20%/1M 30%/2M 10%/3M 40%</t>
        </is>
      </c>
      <c r="F806" s="27" t="n">
        <v>0</v>
      </c>
      <c r="G806" s="27">
        <f>A806*$B$7&gt;=$B$9</f>
        <v/>
      </c>
      <c r="H806" s="13">
        <f>$B$7*(A806*E$71+B806*F$71+C806*G$71+D806*H$71)+F806/100*$B$7*J$71-$C$71</f>
        <v/>
      </c>
      <c r="I806" s="13">
        <f>$B$7*(A806*L$71+B806*M$71+C806*N$71+D806*O$71)+F806/100*$B$7*Q$71-$C$71</f>
        <v/>
      </c>
      <c r="J806" s="13">
        <f>$B$7*(A806*S$71+B806*T$71+C806*U$71+D806*V$71)+F806/100*$B$7*X$71-$C$71</f>
        <v/>
      </c>
      <c r="K806" s="13">
        <f>$B$7*(A806*Z$71+B806*AA$71+C806*AB$71+D806*AC$71)+F806/100*$B$7*AE$71-$C$71</f>
        <v/>
      </c>
      <c r="L806" s="13">
        <f>$B$7*(A806*AG$71+B806*AH$71+C806*AI$71+D806*AJ$71)+F806/100*$B$7*AL$71-$C$71</f>
        <v/>
      </c>
      <c r="M806" s="13">
        <f>$B$7*(A806*AN$71+B806*AO$71+C806*AP$71+D806*AQ$71)+F806/100*$B$7*AS$71-$C$71</f>
        <v/>
      </c>
      <c r="N806" s="13">
        <f>SUMPRODUCT($H$24:$M$24,H806:M806)</f>
        <v/>
      </c>
      <c r="O806" s="14">
        <f>SQRT(SUMPRODUCT($H$24:$M$24,(H806:M806-N806)^2))</f>
        <v/>
      </c>
      <c r="P806" s="13">
        <f>MIN(H806:M806)</f>
        <v/>
      </c>
      <c r="Q806" s="13">
        <f>MAX(H806:M806)</f>
        <v/>
      </c>
      <c r="R806" s="27">
        <f>IF(G806,SUMPRODUCT(($G$76:$G$1505)*($N$76:$N$1505&gt;=N806)*($O$76:$O$1505&lt;=O806))=1,FALSE)</f>
        <v/>
      </c>
      <c r="S806" s="16">
        <f>IF(R806,ABS((O806-$AC$76)/MAX(0.0001,$AC$77-$AC$76)-(N806-$AC$78)/MAX(0.0001,$AC$79-$AC$78)),-1)</f>
        <v/>
      </c>
      <c r="T806" s="14">
        <f>IF(G806,O806,NA())</f>
        <v/>
      </c>
      <c r="U806" s="13">
        <f>IF(G806,N806,NA())</f>
        <v/>
      </c>
      <c r="V806" s="14">
        <f>IF(R806,O806,NA())</f>
        <v/>
      </c>
      <c r="W806" s="13">
        <f>IF(R806,N806,NA())</f>
        <v/>
      </c>
      <c r="X806" s="27">
        <f>IF(G806,P806,"")</f>
        <v/>
      </c>
      <c r="Y806" s="27">
        <f>IF(G806,N806,"")</f>
        <v/>
      </c>
      <c r="Z806" s="27">
        <f>IF(R806,O806,"")</f>
        <v/>
      </c>
      <c r="AA806" s="27">
        <f>IF(R806,N806,"")</f>
        <v/>
      </c>
    </row>
    <row r="807">
      <c r="A807" s="31" t="n">
        <v>0.2</v>
      </c>
      <c r="B807" s="31" t="n">
        <v>0.3</v>
      </c>
      <c r="C807" s="31" t="n">
        <v>0.1</v>
      </c>
      <c r="D807" s="31" t="n">
        <v>0.4</v>
      </c>
      <c r="E807" s="27" t="inlineStr">
        <is>
          <t>ON 20%/1M 30%/2M 10%/3M 40%</t>
        </is>
      </c>
      <c r="F807" s="27" t="n">
        <v>25</v>
      </c>
      <c r="G807" s="27">
        <f>A807*$B$7&gt;=$B$9</f>
        <v/>
      </c>
      <c r="H807" s="13">
        <f>$B$7*(A807*E$71+B807*F$71+C807*G$71+D807*H$71)+F807/100*$B$7*J$71-$C$71</f>
        <v/>
      </c>
      <c r="I807" s="13">
        <f>$B$7*(A807*L$71+B807*M$71+C807*N$71+D807*O$71)+F807/100*$B$7*Q$71-$C$71</f>
        <v/>
      </c>
      <c r="J807" s="13">
        <f>$B$7*(A807*S$71+B807*T$71+C807*U$71+D807*V$71)+F807/100*$B$7*X$71-$C$71</f>
        <v/>
      </c>
      <c r="K807" s="13">
        <f>$B$7*(A807*Z$71+B807*AA$71+C807*AB$71+D807*AC$71)+F807/100*$B$7*AE$71-$C$71</f>
        <v/>
      </c>
      <c r="L807" s="13">
        <f>$B$7*(A807*AG$71+B807*AH$71+C807*AI$71+D807*AJ$71)+F807/100*$B$7*AL$71-$C$71</f>
        <v/>
      </c>
      <c r="M807" s="13">
        <f>$B$7*(A807*AN$71+B807*AO$71+C807*AP$71+D807*AQ$71)+F807/100*$B$7*AS$71-$C$71</f>
        <v/>
      </c>
      <c r="N807" s="13">
        <f>SUMPRODUCT($H$24:$M$24,H807:M807)</f>
        <v/>
      </c>
      <c r="O807" s="14">
        <f>SQRT(SUMPRODUCT($H$24:$M$24,(H807:M807-N807)^2))</f>
        <v/>
      </c>
      <c r="P807" s="13">
        <f>MIN(H807:M807)</f>
        <v/>
      </c>
      <c r="Q807" s="13">
        <f>MAX(H807:M807)</f>
        <v/>
      </c>
      <c r="R807" s="27">
        <f>IF(G807,SUMPRODUCT(($G$76:$G$1505)*($N$76:$N$1505&gt;=N807)*($O$76:$O$1505&lt;=O807))=1,FALSE)</f>
        <v/>
      </c>
      <c r="S807" s="16">
        <f>IF(R807,ABS((O807-$AC$76)/MAX(0.0001,$AC$77-$AC$76)-(N807-$AC$78)/MAX(0.0001,$AC$79-$AC$78)),-1)</f>
        <v/>
      </c>
      <c r="T807" s="14">
        <f>IF(G807,O807,NA())</f>
        <v/>
      </c>
      <c r="U807" s="13">
        <f>IF(G807,N807,NA())</f>
        <v/>
      </c>
      <c r="V807" s="14">
        <f>IF(R807,O807,NA())</f>
        <v/>
      </c>
      <c r="W807" s="13">
        <f>IF(R807,N807,NA())</f>
        <v/>
      </c>
      <c r="X807" s="27">
        <f>IF(G807,P807,"")</f>
        <v/>
      </c>
      <c r="Y807" s="27">
        <f>IF(G807,N807,"")</f>
        <v/>
      </c>
      <c r="Z807" s="27">
        <f>IF(R807,O807,"")</f>
        <v/>
      </c>
      <c r="AA807" s="27">
        <f>IF(R807,N807,"")</f>
        <v/>
      </c>
    </row>
    <row r="808">
      <c r="A808" s="31" t="n">
        <v>0.2</v>
      </c>
      <c r="B808" s="31" t="n">
        <v>0.3</v>
      </c>
      <c r="C808" s="31" t="n">
        <v>0.1</v>
      </c>
      <c r="D808" s="31" t="n">
        <v>0.4</v>
      </c>
      <c r="E808" s="27" t="inlineStr">
        <is>
          <t>ON 20%/1M 30%/2M 10%/3M 40%</t>
        </is>
      </c>
      <c r="F808" s="27" t="n">
        <v>50</v>
      </c>
      <c r="G808" s="27">
        <f>A808*$B$7&gt;=$B$9</f>
        <v/>
      </c>
      <c r="H808" s="13">
        <f>$B$7*(A808*E$71+B808*F$71+C808*G$71+D808*H$71)+F808/100*$B$7*J$71-$C$71</f>
        <v/>
      </c>
      <c r="I808" s="13">
        <f>$B$7*(A808*L$71+B808*M$71+C808*N$71+D808*O$71)+F808/100*$B$7*Q$71-$C$71</f>
        <v/>
      </c>
      <c r="J808" s="13">
        <f>$B$7*(A808*S$71+B808*T$71+C808*U$71+D808*V$71)+F808/100*$B$7*X$71-$C$71</f>
        <v/>
      </c>
      <c r="K808" s="13">
        <f>$B$7*(A808*Z$71+B808*AA$71+C808*AB$71+D808*AC$71)+F808/100*$B$7*AE$71-$C$71</f>
        <v/>
      </c>
      <c r="L808" s="13">
        <f>$B$7*(A808*AG$71+B808*AH$71+C808*AI$71+D808*AJ$71)+F808/100*$B$7*AL$71-$C$71</f>
        <v/>
      </c>
      <c r="M808" s="13">
        <f>$B$7*(A808*AN$71+B808*AO$71+C808*AP$71+D808*AQ$71)+F808/100*$B$7*AS$71-$C$71</f>
        <v/>
      </c>
      <c r="N808" s="13">
        <f>SUMPRODUCT($H$24:$M$24,H808:M808)</f>
        <v/>
      </c>
      <c r="O808" s="14">
        <f>SQRT(SUMPRODUCT($H$24:$M$24,(H808:M808-N808)^2))</f>
        <v/>
      </c>
      <c r="P808" s="13">
        <f>MIN(H808:M808)</f>
        <v/>
      </c>
      <c r="Q808" s="13">
        <f>MAX(H808:M808)</f>
        <v/>
      </c>
      <c r="R808" s="27">
        <f>IF(G808,SUMPRODUCT(($G$76:$G$1505)*($N$76:$N$1505&gt;=N808)*($O$76:$O$1505&lt;=O808))=1,FALSE)</f>
        <v/>
      </c>
      <c r="S808" s="16">
        <f>IF(R808,ABS((O808-$AC$76)/MAX(0.0001,$AC$77-$AC$76)-(N808-$AC$78)/MAX(0.0001,$AC$79-$AC$78)),-1)</f>
        <v/>
      </c>
      <c r="T808" s="14">
        <f>IF(G808,O808,NA())</f>
        <v/>
      </c>
      <c r="U808" s="13">
        <f>IF(G808,N808,NA())</f>
        <v/>
      </c>
      <c r="V808" s="14">
        <f>IF(R808,O808,NA())</f>
        <v/>
      </c>
      <c r="W808" s="13">
        <f>IF(R808,N808,NA())</f>
        <v/>
      </c>
      <c r="X808" s="27">
        <f>IF(G808,P808,"")</f>
        <v/>
      </c>
      <c r="Y808" s="27">
        <f>IF(G808,N808,"")</f>
        <v/>
      </c>
      <c r="Z808" s="27">
        <f>IF(R808,O808,"")</f>
        <v/>
      </c>
      <c r="AA808" s="27">
        <f>IF(R808,N808,"")</f>
        <v/>
      </c>
    </row>
    <row r="809">
      <c r="A809" s="31" t="n">
        <v>0.2</v>
      </c>
      <c r="B809" s="31" t="n">
        <v>0.3</v>
      </c>
      <c r="C809" s="31" t="n">
        <v>0.1</v>
      </c>
      <c r="D809" s="31" t="n">
        <v>0.4</v>
      </c>
      <c r="E809" s="27" t="inlineStr">
        <is>
          <t>ON 20%/1M 30%/2M 10%/3M 40%</t>
        </is>
      </c>
      <c r="F809" s="27" t="n">
        <v>75</v>
      </c>
      <c r="G809" s="27">
        <f>A809*$B$7&gt;=$B$9</f>
        <v/>
      </c>
      <c r="H809" s="13">
        <f>$B$7*(A809*E$71+B809*F$71+C809*G$71+D809*H$71)+F809/100*$B$7*J$71-$C$71</f>
        <v/>
      </c>
      <c r="I809" s="13">
        <f>$B$7*(A809*L$71+B809*M$71+C809*N$71+D809*O$71)+F809/100*$B$7*Q$71-$C$71</f>
        <v/>
      </c>
      <c r="J809" s="13">
        <f>$B$7*(A809*S$71+B809*T$71+C809*U$71+D809*V$71)+F809/100*$B$7*X$71-$C$71</f>
        <v/>
      </c>
      <c r="K809" s="13">
        <f>$B$7*(A809*Z$71+B809*AA$71+C809*AB$71+D809*AC$71)+F809/100*$B$7*AE$71-$C$71</f>
        <v/>
      </c>
      <c r="L809" s="13">
        <f>$B$7*(A809*AG$71+B809*AH$71+C809*AI$71+D809*AJ$71)+F809/100*$B$7*AL$71-$C$71</f>
        <v/>
      </c>
      <c r="M809" s="13">
        <f>$B$7*(A809*AN$71+B809*AO$71+C809*AP$71+D809*AQ$71)+F809/100*$B$7*AS$71-$C$71</f>
        <v/>
      </c>
      <c r="N809" s="13">
        <f>SUMPRODUCT($H$24:$M$24,H809:M809)</f>
        <v/>
      </c>
      <c r="O809" s="14">
        <f>SQRT(SUMPRODUCT($H$24:$M$24,(H809:M809-N809)^2))</f>
        <v/>
      </c>
      <c r="P809" s="13">
        <f>MIN(H809:M809)</f>
        <v/>
      </c>
      <c r="Q809" s="13">
        <f>MAX(H809:M809)</f>
        <v/>
      </c>
      <c r="R809" s="27">
        <f>IF(G809,SUMPRODUCT(($G$76:$G$1505)*($N$76:$N$1505&gt;=N809)*($O$76:$O$1505&lt;=O809))=1,FALSE)</f>
        <v/>
      </c>
      <c r="S809" s="16">
        <f>IF(R809,ABS((O809-$AC$76)/MAX(0.0001,$AC$77-$AC$76)-(N809-$AC$78)/MAX(0.0001,$AC$79-$AC$78)),-1)</f>
        <v/>
      </c>
      <c r="T809" s="14">
        <f>IF(G809,O809,NA())</f>
        <v/>
      </c>
      <c r="U809" s="13">
        <f>IF(G809,N809,NA())</f>
        <v/>
      </c>
      <c r="V809" s="14">
        <f>IF(R809,O809,NA())</f>
        <v/>
      </c>
      <c r="W809" s="13">
        <f>IF(R809,N809,NA())</f>
        <v/>
      </c>
      <c r="X809" s="27">
        <f>IF(G809,P809,"")</f>
        <v/>
      </c>
      <c r="Y809" s="27">
        <f>IF(G809,N809,"")</f>
        <v/>
      </c>
      <c r="Z809" s="27">
        <f>IF(R809,O809,"")</f>
        <v/>
      </c>
      <c r="AA809" s="27">
        <f>IF(R809,N809,"")</f>
        <v/>
      </c>
    </row>
    <row r="810">
      <c r="A810" s="31" t="n">
        <v>0.2</v>
      </c>
      <c r="B810" s="31" t="n">
        <v>0.3</v>
      </c>
      <c r="C810" s="31" t="n">
        <v>0.1</v>
      </c>
      <c r="D810" s="31" t="n">
        <v>0.4</v>
      </c>
      <c r="E810" s="27" t="inlineStr">
        <is>
          <t>ON 20%/1M 30%/2M 10%/3M 40%</t>
        </is>
      </c>
      <c r="F810" s="27" t="n">
        <v>100</v>
      </c>
      <c r="G810" s="27">
        <f>A810*$B$7&gt;=$B$9</f>
        <v/>
      </c>
      <c r="H810" s="13">
        <f>$B$7*(A810*E$71+B810*F$71+C810*G$71+D810*H$71)+F810/100*$B$7*J$71-$C$71</f>
        <v/>
      </c>
      <c r="I810" s="13">
        <f>$B$7*(A810*L$71+B810*M$71+C810*N$71+D810*O$71)+F810/100*$B$7*Q$71-$C$71</f>
        <v/>
      </c>
      <c r="J810" s="13">
        <f>$B$7*(A810*S$71+B810*T$71+C810*U$71+D810*V$71)+F810/100*$B$7*X$71-$C$71</f>
        <v/>
      </c>
      <c r="K810" s="13">
        <f>$B$7*(A810*Z$71+B810*AA$71+C810*AB$71+D810*AC$71)+F810/100*$B$7*AE$71-$C$71</f>
        <v/>
      </c>
      <c r="L810" s="13">
        <f>$B$7*(A810*AG$71+B810*AH$71+C810*AI$71+D810*AJ$71)+F810/100*$B$7*AL$71-$C$71</f>
        <v/>
      </c>
      <c r="M810" s="13">
        <f>$B$7*(A810*AN$71+B810*AO$71+C810*AP$71+D810*AQ$71)+F810/100*$B$7*AS$71-$C$71</f>
        <v/>
      </c>
      <c r="N810" s="13">
        <f>SUMPRODUCT($H$24:$M$24,H810:M810)</f>
        <v/>
      </c>
      <c r="O810" s="14">
        <f>SQRT(SUMPRODUCT($H$24:$M$24,(H810:M810-N810)^2))</f>
        <v/>
      </c>
      <c r="P810" s="13">
        <f>MIN(H810:M810)</f>
        <v/>
      </c>
      <c r="Q810" s="13">
        <f>MAX(H810:M810)</f>
        <v/>
      </c>
      <c r="R810" s="27">
        <f>IF(G810,SUMPRODUCT(($G$76:$G$1505)*($N$76:$N$1505&gt;=N810)*($O$76:$O$1505&lt;=O810))=1,FALSE)</f>
        <v/>
      </c>
      <c r="S810" s="16">
        <f>IF(R810,ABS((O810-$AC$76)/MAX(0.0001,$AC$77-$AC$76)-(N810-$AC$78)/MAX(0.0001,$AC$79-$AC$78)),-1)</f>
        <v/>
      </c>
      <c r="T810" s="14">
        <f>IF(G810,O810,NA())</f>
        <v/>
      </c>
      <c r="U810" s="13">
        <f>IF(G810,N810,NA())</f>
        <v/>
      </c>
      <c r="V810" s="14">
        <f>IF(R810,O810,NA())</f>
        <v/>
      </c>
      <c r="W810" s="13">
        <f>IF(R810,N810,NA())</f>
        <v/>
      </c>
      <c r="X810" s="27">
        <f>IF(G810,P810,"")</f>
        <v/>
      </c>
      <c r="Y810" s="27">
        <f>IF(G810,N810,"")</f>
        <v/>
      </c>
      <c r="Z810" s="27">
        <f>IF(R810,O810,"")</f>
        <v/>
      </c>
      <c r="AA810" s="27">
        <f>IF(R810,N810,"")</f>
        <v/>
      </c>
    </row>
    <row r="811">
      <c r="A811" s="31" t="n">
        <v>0.2</v>
      </c>
      <c r="B811" s="31" t="n">
        <v>0.3</v>
      </c>
      <c r="C811" s="31" t="n">
        <v>0.2</v>
      </c>
      <c r="D811" s="31" t="n">
        <v>0.3</v>
      </c>
      <c r="E811" s="27" t="inlineStr">
        <is>
          <t>ON 20%/1M 30%/2M 20%/3M 30%</t>
        </is>
      </c>
      <c r="F811" s="27" t="n">
        <v>0</v>
      </c>
      <c r="G811" s="27">
        <f>A811*$B$7&gt;=$B$9</f>
        <v/>
      </c>
      <c r="H811" s="13">
        <f>$B$7*(A811*E$71+B811*F$71+C811*G$71+D811*H$71)+F811/100*$B$7*J$71-$C$71</f>
        <v/>
      </c>
      <c r="I811" s="13">
        <f>$B$7*(A811*L$71+B811*M$71+C811*N$71+D811*O$71)+F811/100*$B$7*Q$71-$C$71</f>
        <v/>
      </c>
      <c r="J811" s="13">
        <f>$B$7*(A811*S$71+B811*T$71+C811*U$71+D811*V$71)+F811/100*$B$7*X$71-$C$71</f>
        <v/>
      </c>
      <c r="K811" s="13">
        <f>$B$7*(A811*Z$71+B811*AA$71+C811*AB$71+D811*AC$71)+F811/100*$B$7*AE$71-$C$71</f>
        <v/>
      </c>
      <c r="L811" s="13">
        <f>$B$7*(A811*AG$71+B811*AH$71+C811*AI$71+D811*AJ$71)+F811/100*$B$7*AL$71-$C$71</f>
        <v/>
      </c>
      <c r="M811" s="13">
        <f>$B$7*(A811*AN$71+B811*AO$71+C811*AP$71+D811*AQ$71)+F811/100*$B$7*AS$71-$C$71</f>
        <v/>
      </c>
      <c r="N811" s="13">
        <f>SUMPRODUCT($H$24:$M$24,H811:M811)</f>
        <v/>
      </c>
      <c r="O811" s="14">
        <f>SQRT(SUMPRODUCT($H$24:$M$24,(H811:M811-N811)^2))</f>
        <v/>
      </c>
      <c r="P811" s="13">
        <f>MIN(H811:M811)</f>
        <v/>
      </c>
      <c r="Q811" s="13">
        <f>MAX(H811:M811)</f>
        <v/>
      </c>
      <c r="R811" s="27">
        <f>IF(G811,SUMPRODUCT(($G$76:$G$1505)*($N$76:$N$1505&gt;=N811)*($O$76:$O$1505&lt;=O811))=1,FALSE)</f>
        <v/>
      </c>
      <c r="S811" s="16">
        <f>IF(R811,ABS((O811-$AC$76)/MAX(0.0001,$AC$77-$AC$76)-(N811-$AC$78)/MAX(0.0001,$AC$79-$AC$78)),-1)</f>
        <v/>
      </c>
      <c r="T811" s="14">
        <f>IF(G811,O811,NA())</f>
        <v/>
      </c>
      <c r="U811" s="13">
        <f>IF(G811,N811,NA())</f>
        <v/>
      </c>
      <c r="V811" s="14">
        <f>IF(R811,O811,NA())</f>
        <v/>
      </c>
      <c r="W811" s="13">
        <f>IF(R811,N811,NA())</f>
        <v/>
      </c>
      <c r="X811" s="27">
        <f>IF(G811,P811,"")</f>
        <v/>
      </c>
      <c r="Y811" s="27">
        <f>IF(G811,N811,"")</f>
        <v/>
      </c>
      <c r="Z811" s="27">
        <f>IF(R811,O811,"")</f>
        <v/>
      </c>
      <c r="AA811" s="27">
        <f>IF(R811,N811,"")</f>
        <v/>
      </c>
    </row>
    <row r="812">
      <c r="A812" s="31" t="n">
        <v>0.2</v>
      </c>
      <c r="B812" s="31" t="n">
        <v>0.3</v>
      </c>
      <c r="C812" s="31" t="n">
        <v>0.2</v>
      </c>
      <c r="D812" s="31" t="n">
        <v>0.3</v>
      </c>
      <c r="E812" s="27" t="inlineStr">
        <is>
          <t>ON 20%/1M 30%/2M 20%/3M 30%</t>
        </is>
      </c>
      <c r="F812" s="27" t="n">
        <v>25</v>
      </c>
      <c r="G812" s="27">
        <f>A812*$B$7&gt;=$B$9</f>
        <v/>
      </c>
      <c r="H812" s="13">
        <f>$B$7*(A812*E$71+B812*F$71+C812*G$71+D812*H$71)+F812/100*$B$7*J$71-$C$71</f>
        <v/>
      </c>
      <c r="I812" s="13">
        <f>$B$7*(A812*L$71+B812*M$71+C812*N$71+D812*O$71)+F812/100*$B$7*Q$71-$C$71</f>
        <v/>
      </c>
      <c r="J812" s="13">
        <f>$B$7*(A812*S$71+B812*T$71+C812*U$71+D812*V$71)+F812/100*$B$7*X$71-$C$71</f>
        <v/>
      </c>
      <c r="K812" s="13">
        <f>$B$7*(A812*Z$71+B812*AA$71+C812*AB$71+D812*AC$71)+F812/100*$B$7*AE$71-$C$71</f>
        <v/>
      </c>
      <c r="L812" s="13">
        <f>$B$7*(A812*AG$71+B812*AH$71+C812*AI$71+D812*AJ$71)+F812/100*$B$7*AL$71-$C$71</f>
        <v/>
      </c>
      <c r="M812" s="13">
        <f>$B$7*(A812*AN$71+B812*AO$71+C812*AP$71+D812*AQ$71)+F812/100*$B$7*AS$71-$C$71</f>
        <v/>
      </c>
      <c r="N812" s="13">
        <f>SUMPRODUCT($H$24:$M$24,H812:M812)</f>
        <v/>
      </c>
      <c r="O812" s="14">
        <f>SQRT(SUMPRODUCT($H$24:$M$24,(H812:M812-N812)^2))</f>
        <v/>
      </c>
      <c r="P812" s="13">
        <f>MIN(H812:M812)</f>
        <v/>
      </c>
      <c r="Q812" s="13">
        <f>MAX(H812:M812)</f>
        <v/>
      </c>
      <c r="R812" s="27">
        <f>IF(G812,SUMPRODUCT(($G$76:$G$1505)*($N$76:$N$1505&gt;=N812)*($O$76:$O$1505&lt;=O812))=1,FALSE)</f>
        <v/>
      </c>
      <c r="S812" s="16">
        <f>IF(R812,ABS((O812-$AC$76)/MAX(0.0001,$AC$77-$AC$76)-(N812-$AC$78)/MAX(0.0001,$AC$79-$AC$78)),-1)</f>
        <v/>
      </c>
      <c r="T812" s="14">
        <f>IF(G812,O812,NA())</f>
        <v/>
      </c>
      <c r="U812" s="13">
        <f>IF(G812,N812,NA())</f>
        <v/>
      </c>
      <c r="V812" s="14">
        <f>IF(R812,O812,NA())</f>
        <v/>
      </c>
      <c r="W812" s="13">
        <f>IF(R812,N812,NA())</f>
        <v/>
      </c>
      <c r="X812" s="27">
        <f>IF(G812,P812,"")</f>
        <v/>
      </c>
      <c r="Y812" s="27">
        <f>IF(G812,N812,"")</f>
        <v/>
      </c>
      <c r="Z812" s="27">
        <f>IF(R812,O812,"")</f>
        <v/>
      </c>
      <c r="AA812" s="27">
        <f>IF(R812,N812,"")</f>
        <v/>
      </c>
    </row>
    <row r="813">
      <c r="A813" s="31" t="n">
        <v>0.2</v>
      </c>
      <c r="B813" s="31" t="n">
        <v>0.3</v>
      </c>
      <c r="C813" s="31" t="n">
        <v>0.2</v>
      </c>
      <c r="D813" s="31" t="n">
        <v>0.3</v>
      </c>
      <c r="E813" s="27" t="inlineStr">
        <is>
          <t>ON 20%/1M 30%/2M 20%/3M 30%</t>
        </is>
      </c>
      <c r="F813" s="27" t="n">
        <v>50</v>
      </c>
      <c r="G813" s="27">
        <f>A813*$B$7&gt;=$B$9</f>
        <v/>
      </c>
      <c r="H813" s="13">
        <f>$B$7*(A813*E$71+B813*F$71+C813*G$71+D813*H$71)+F813/100*$B$7*J$71-$C$71</f>
        <v/>
      </c>
      <c r="I813" s="13">
        <f>$B$7*(A813*L$71+B813*M$71+C813*N$71+D813*O$71)+F813/100*$B$7*Q$71-$C$71</f>
        <v/>
      </c>
      <c r="J813" s="13">
        <f>$B$7*(A813*S$71+B813*T$71+C813*U$71+D813*V$71)+F813/100*$B$7*X$71-$C$71</f>
        <v/>
      </c>
      <c r="K813" s="13">
        <f>$B$7*(A813*Z$71+B813*AA$71+C813*AB$71+D813*AC$71)+F813/100*$B$7*AE$71-$C$71</f>
        <v/>
      </c>
      <c r="L813" s="13">
        <f>$B$7*(A813*AG$71+B813*AH$71+C813*AI$71+D813*AJ$71)+F813/100*$B$7*AL$71-$C$71</f>
        <v/>
      </c>
      <c r="M813" s="13">
        <f>$B$7*(A813*AN$71+B813*AO$71+C813*AP$71+D813*AQ$71)+F813/100*$B$7*AS$71-$C$71</f>
        <v/>
      </c>
      <c r="N813" s="13">
        <f>SUMPRODUCT($H$24:$M$24,H813:M813)</f>
        <v/>
      </c>
      <c r="O813" s="14">
        <f>SQRT(SUMPRODUCT($H$24:$M$24,(H813:M813-N813)^2))</f>
        <v/>
      </c>
      <c r="P813" s="13">
        <f>MIN(H813:M813)</f>
        <v/>
      </c>
      <c r="Q813" s="13">
        <f>MAX(H813:M813)</f>
        <v/>
      </c>
      <c r="R813" s="27">
        <f>IF(G813,SUMPRODUCT(($G$76:$G$1505)*($N$76:$N$1505&gt;=N813)*($O$76:$O$1505&lt;=O813))=1,FALSE)</f>
        <v/>
      </c>
      <c r="S813" s="16">
        <f>IF(R813,ABS((O813-$AC$76)/MAX(0.0001,$AC$77-$AC$76)-(N813-$AC$78)/MAX(0.0001,$AC$79-$AC$78)),-1)</f>
        <v/>
      </c>
      <c r="T813" s="14">
        <f>IF(G813,O813,NA())</f>
        <v/>
      </c>
      <c r="U813" s="13">
        <f>IF(G813,N813,NA())</f>
        <v/>
      </c>
      <c r="V813" s="14">
        <f>IF(R813,O813,NA())</f>
        <v/>
      </c>
      <c r="W813" s="13">
        <f>IF(R813,N813,NA())</f>
        <v/>
      </c>
      <c r="X813" s="27">
        <f>IF(G813,P813,"")</f>
        <v/>
      </c>
      <c r="Y813" s="27">
        <f>IF(G813,N813,"")</f>
        <v/>
      </c>
      <c r="Z813" s="27">
        <f>IF(R813,O813,"")</f>
        <v/>
      </c>
      <c r="AA813" s="27">
        <f>IF(R813,N813,"")</f>
        <v/>
      </c>
    </row>
    <row r="814">
      <c r="A814" s="31" t="n">
        <v>0.2</v>
      </c>
      <c r="B814" s="31" t="n">
        <v>0.3</v>
      </c>
      <c r="C814" s="31" t="n">
        <v>0.2</v>
      </c>
      <c r="D814" s="31" t="n">
        <v>0.3</v>
      </c>
      <c r="E814" s="27" t="inlineStr">
        <is>
          <t>ON 20%/1M 30%/2M 20%/3M 30%</t>
        </is>
      </c>
      <c r="F814" s="27" t="n">
        <v>75</v>
      </c>
      <c r="G814" s="27">
        <f>A814*$B$7&gt;=$B$9</f>
        <v/>
      </c>
      <c r="H814" s="13">
        <f>$B$7*(A814*E$71+B814*F$71+C814*G$71+D814*H$71)+F814/100*$B$7*J$71-$C$71</f>
        <v/>
      </c>
      <c r="I814" s="13">
        <f>$B$7*(A814*L$71+B814*M$71+C814*N$71+D814*O$71)+F814/100*$B$7*Q$71-$C$71</f>
        <v/>
      </c>
      <c r="J814" s="13">
        <f>$B$7*(A814*S$71+B814*T$71+C814*U$71+D814*V$71)+F814/100*$B$7*X$71-$C$71</f>
        <v/>
      </c>
      <c r="K814" s="13">
        <f>$B$7*(A814*Z$71+B814*AA$71+C814*AB$71+D814*AC$71)+F814/100*$B$7*AE$71-$C$71</f>
        <v/>
      </c>
      <c r="L814" s="13">
        <f>$B$7*(A814*AG$71+B814*AH$71+C814*AI$71+D814*AJ$71)+F814/100*$B$7*AL$71-$C$71</f>
        <v/>
      </c>
      <c r="M814" s="13">
        <f>$B$7*(A814*AN$71+B814*AO$71+C814*AP$71+D814*AQ$71)+F814/100*$B$7*AS$71-$C$71</f>
        <v/>
      </c>
      <c r="N814" s="13">
        <f>SUMPRODUCT($H$24:$M$24,H814:M814)</f>
        <v/>
      </c>
      <c r="O814" s="14">
        <f>SQRT(SUMPRODUCT($H$24:$M$24,(H814:M814-N814)^2))</f>
        <v/>
      </c>
      <c r="P814" s="13">
        <f>MIN(H814:M814)</f>
        <v/>
      </c>
      <c r="Q814" s="13">
        <f>MAX(H814:M814)</f>
        <v/>
      </c>
      <c r="R814" s="27">
        <f>IF(G814,SUMPRODUCT(($G$76:$G$1505)*($N$76:$N$1505&gt;=N814)*($O$76:$O$1505&lt;=O814))=1,FALSE)</f>
        <v/>
      </c>
      <c r="S814" s="16">
        <f>IF(R814,ABS((O814-$AC$76)/MAX(0.0001,$AC$77-$AC$76)-(N814-$AC$78)/MAX(0.0001,$AC$79-$AC$78)),-1)</f>
        <v/>
      </c>
      <c r="T814" s="14">
        <f>IF(G814,O814,NA())</f>
        <v/>
      </c>
      <c r="U814" s="13">
        <f>IF(G814,N814,NA())</f>
        <v/>
      </c>
      <c r="V814" s="14">
        <f>IF(R814,O814,NA())</f>
        <v/>
      </c>
      <c r="W814" s="13">
        <f>IF(R814,N814,NA())</f>
        <v/>
      </c>
      <c r="X814" s="27">
        <f>IF(G814,P814,"")</f>
        <v/>
      </c>
      <c r="Y814" s="27">
        <f>IF(G814,N814,"")</f>
        <v/>
      </c>
      <c r="Z814" s="27">
        <f>IF(R814,O814,"")</f>
        <v/>
      </c>
      <c r="AA814" s="27">
        <f>IF(R814,N814,"")</f>
        <v/>
      </c>
    </row>
    <row r="815">
      <c r="A815" s="31" t="n">
        <v>0.2</v>
      </c>
      <c r="B815" s="31" t="n">
        <v>0.3</v>
      </c>
      <c r="C815" s="31" t="n">
        <v>0.2</v>
      </c>
      <c r="D815" s="31" t="n">
        <v>0.3</v>
      </c>
      <c r="E815" s="27" t="inlineStr">
        <is>
          <t>ON 20%/1M 30%/2M 20%/3M 30%</t>
        </is>
      </c>
      <c r="F815" s="27" t="n">
        <v>100</v>
      </c>
      <c r="G815" s="27">
        <f>A815*$B$7&gt;=$B$9</f>
        <v/>
      </c>
      <c r="H815" s="13">
        <f>$B$7*(A815*E$71+B815*F$71+C815*G$71+D815*H$71)+F815/100*$B$7*J$71-$C$71</f>
        <v/>
      </c>
      <c r="I815" s="13">
        <f>$B$7*(A815*L$71+B815*M$71+C815*N$71+D815*O$71)+F815/100*$B$7*Q$71-$C$71</f>
        <v/>
      </c>
      <c r="J815" s="13">
        <f>$B$7*(A815*S$71+B815*T$71+C815*U$71+D815*V$71)+F815/100*$B$7*X$71-$C$71</f>
        <v/>
      </c>
      <c r="K815" s="13">
        <f>$B$7*(A815*Z$71+B815*AA$71+C815*AB$71+D815*AC$71)+F815/100*$B$7*AE$71-$C$71</f>
        <v/>
      </c>
      <c r="L815" s="13">
        <f>$B$7*(A815*AG$71+B815*AH$71+C815*AI$71+D815*AJ$71)+F815/100*$B$7*AL$71-$C$71</f>
        <v/>
      </c>
      <c r="M815" s="13">
        <f>$B$7*(A815*AN$71+B815*AO$71+C815*AP$71+D815*AQ$71)+F815/100*$B$7*AS$71-$C$71</f>
        <v/>
      </c>
      <c r="N815" s="13">
        <f>SUMPRODUCT($H$24:$M$24,H815:M815)</f>
        <v/>
      </c>
      <c r="O815" s="14">
        <f>SQRT(SUMPRODUCT($H$24:$M$24,(H815:M815-N815)^2))</f>
        <v/>
      </c>
      <c r="P815" s="13">
        <f>MIN(H815:M815)</f>
        <v/>
      </c>
      <c r="Q815" s="13">
        <f>MAX(H815:M815)</f>
        <v/>
      </c>
      <c r="R815" s="27">
        <f>IF(G815,SUMPRODUCT(($G$76:$G$1505)*($N$76:$N$1505&gt;=N815)*($O$76:$O$1505&lt;=O815))=1,FALSE)</f>
        <v/>
      </c>
      <c r="S815" s="16">
        <f>IF(R815,ABS((O815-$AC$76)/MAX(0.0001,$AC$77-$AC$76)-(N815-$AC$78)/MAX(0.0001,$AC$79-$AC$78)),-1)</f>
        <v/>
      </c>
      <c r="T815" s="14">
        <f>IF(G815,O815,NA())</f>
        <v/>
      </c>
      <c r="U815" s="13">
        <f>IF(G815,N815,NA())</f>
        <v/>
      </c>
      <c r="V815" s="14">
        <f>IF(R815,O815,NA())</f>
        <v/>
      </c>
      <c r="W815" s="13">
        <f>IF(R815,N815,NA())</f>
        <v/>
      </c>
      <c r="X815" s="27">
        <f>IF(G815,P815,"")</f>
        <v/>
      </c>
      <c r="Y815" s="27">
        <f>IF(G815,N815,"")</f>
        <v/>
      </c>
      <c r="Z815" s="27">
        <f>IF(R815,O815,"")</f>
        <v/>
      </c>
      <c r="AA815" s="27">
        <f>IF(R815,N815,"")</f>
        <v/>
      </c>
    </row>
    <row r="816">
      <c r="A816" s="31" t="n">
        <v>0.2</v>
      </c>
      <c r="B816" s="31" t="n">
        <v>0.3</v>
      </c>
      <c r="C816" s="31" t="n">
        <v>0.3</v>
      </c>
      <c r="D816" s="31" t="n">
        <v>0.2</v>
      </c>
      <c r="E816" s="27" t="inlineStr">
        <is>
          <t>ON 20%/1M 30%/2M 30%/3M 20%</t>
        </is>
      </c>
      <c r="F816" s="27" t="n">
        <v>0</v>
      </c>
      <c r="G816" s="27">
        <f>A816*$B$7&gt;=$B$9</f>
        <v/>
      </c>
      <c r="H816" s="13">
        <f>$B$7*(A816*E$71+B816*F$71+C816*G$71+D816*H$71)+F816/100*$B$7*J$71-$C$71</f>
        <v/>
      </c>
      <c r="I816" s="13">
        <f>$B$7*(A816*L$71+B816*M$71+C816*N$71+D816*O$71)+F816/100*$B$7*Q$71-$C$71</f>
        <v/>
      </c>
      <c r="J816" s="13">
        <f>$B$7*(A816*S$71+B816*T$71+C816*U$71+D816*V$71)+F816/100*$B$7*X$71-$C$71</f>
        <v/>
      </c>
      <c r="K816" s="13">
        <f>$B$7*(A816*Z$71+B816*AA$71+C816*AB$71+D816*AC$71)+F816/100*$B$7*AE$71-$C$71</f>
        <v/>
      </c>
      <c r="L816" s="13">
        <f>$B$7*(A816*AG$71+B816*AH$71+C816*AI$71+D816*AJ$71)+F816/100*$B$7*AL$71-$C$71</f>
        <v/>
      </c>
      <c r="M816" s="13">
        <f>$B$7*(A816*AN$71+B816*AO$71+C816*AP$71+D816*AQ$71)+F816/100*$B$7*AS$71-$C$71</f>
        <v/>
      </c>
      <c r="N816" s="13">
        <f>SUMPRODUCT($H$24:$M$24,H816:M816)</f>
        <v/>
      </c>
      <c r="O816" s="14">
        <f>SQRT(SUMPRODUCT($H$24:$M$24,(H816:M816-N816)^2))</f>
        <v/>
      </c>
      <c r="P816" s="13">
        <f>MIN(H816:M816)</f>
        <v/>
      </c>
      <c r="Q816" s="13">
        <f>MAX(H816:M816)</f>
        <v/>
      </c>
      <c r="R816" s="27">
        <f>IF(G816,SUMPRODUCT(($G$76:$G$1505)*($N$76:$N$1505&gt;=N816)*($O$76:$O$1505&lt;=O816))=1,FALSE)</f>
        <v/>
      </c>
      <c r="S816" s="16">
        <f>IF(R816,ABS((O816-$AC$76)/MAX(0.0001,$AC$77-$AC$76)-(N816-$AC$78)/MAX(0.0001,$AC$79-$AC$78)),-1)</f>
        <v/>
      </c>
      <c r="T816" s="14">
        <f>IF(G816,O816,NA())</f>
        <v/>
      </c>
      <c r="U816" s="13">
        <f>IF(G816,N816,NA())</f>
        <v/>
      </c>
      <c r="V816" s="14">
        <f>IF(R816,O816,NA())</f>
        <v/>
      </c>
      <c r="W816" s="13">
        <f>IF(R816,N816,NA())</f>
        <v/>
      </c>
      <c r="X816" s="27">
        <f>IF(G816,P816,"")</f>
        <v/>
      </c>
      <c r="Y816" s="27">
        <f>IF(G816,N816,"")</f>
        <v/>
      </c>
      <c r="Z816" s="27">
        <f>IF(R816,O816,"")</f>
        <v/>
      </c>
      <c r="AA816" s="27">
        <f>IF(R816,N816,"")</f>
        <v/>
      </c>
    </row>
    <row r="817">
      <c r="A817" s="31" t="n">
        <v>0.2</v>
      </c>
      <c r="B817" s="31" t="n">
        <v>0.3</v>
      </c>
      <c r="C817" s="31" t="n">
        <v>0.3</v>
      </c>
      <c r="D817" s="31" t="n">
        <v>0.2</v>
      </c>
      <c r="E817" s="27" t="inlineStr">
        <is>
          <t>ON 20%/1M 30%/2M 30%/3M 20%</t>
        </is>
      </c>
      <c r="F817" s="27" t="n">
        <v>25</v>
      </c>
      <c r="G817" s="27">
        <f>A817*$B$7&gt;=$B$9</f>
        <v/>
      </c>
      <c r="H817" s="13">
        <f>$B$7*(A817*E$71+B817*F$71+C817*G$71+D817*H$71)+F817/100*$B$7*J$71-$C$71</f>
        <v/>
      </c>
      <c r="I817" s="13">
        <f>$B$7*(A817*L$71+B817*M$71+C817*N$71+D817*O$71)+F817/100*$B$7*Q$71-$C$71</f>
        <v/>
      </c>
      <c r="J817" s="13">
        <f>$B$7*(A817*S$71+B817*T$71+C817*U$71+D817*V$71)+F817/100*$B$7*X$71-$C$71</f>
        <v/>
      </c>
      <c r="K817" s="13">
        <f>$B$7*(A817*Z$71+B817*AA$71+C817*AB$71+D817*AC$71)+F817/100*$B$7*AE$71-$C$71</f>
        <v/>
      </c>
      <c r="L817" s="13">
        <f>$B$7*(A817*AG$71+B817*AH$71+C817*AI$71+D817*AJ$71)+F817/100*$B$7*AL$71-$C$71</f>
        <v/>
      </c>
      <c r="M817" s="13">
        <f>$B$7*(A817*AN$71+B817*AO$71+C817*AP$71+D817*AQ$71)+F817/100*$B$7*AS$71-$C$71</f>
        <v/>
      </c>
      <c r="N817" s="13">
        <f>SUMPRODUCT($H$24:$M$24,H817:M817)</f>
        <v/>
      </c>
      <c r="O817" s="14">
        <f>SQRT(SUMPRODUCT($H$24:$M$24,(H817:M817-N817)^2))</f>
        <v/>
      </c>
      <c r="P817" s="13">
        <f>MIN(H817:M817)</f>
        <v/>
      </c>
      <c r="Q817" s="13">
        <f>MAX(H817:M817)</f>
        <v/>
      </c>
      <c r="R817" s="27">
        <f>IF(G817,SUMPRODUCT(($G$76:$G$1505)*($N$76:$N$1505&gt;=N817)*($O$76:$O$1505&lt;=O817))=1,FALSE)</f>
        <v/>
      </c>
      <c r="S817" s="16">
        <f>IF(R817,ABS((O817-$AC$76)/MAX(0.0001,$AC$77-$AC$76)-(N817-$AC$78)/MAX(0.0001,$AC$79-$AC$78)),-1)</f>
        <v/>
      </c>
      <c r="T817" s="14">
        <f>IF(G817,O817,NA())</f>
        <v/>
      </c>
      <c r="U817" s="13">
        <f>IF(G817,N817,NA())</f>
        <v/>
      </c>
      <c r="V817" s="14">
        <f>IF(R817,O817,NA())</f>
        <v/>
      </c>
      <c r="W817" s="13">
        <f>IF(R817,N817,NA())</f>
        <v/>
      </c>
      <c r="X817" s="27">
        <f>IF(G817,P817,"")</f>
        <v/>
      </c>
      <c r="Y817" s="27">
        <f>IF(G817,N817,"")</f>
        <v/>
      </c>
      <c r="Z817" s="27">
        <f>IF(R817,O817,"")</f>
        <v/>
      </c>
      <c r="AA817" s="27">
        <f>IF(R817,N817,"")</f>
        <v/>
      </c>
    </row>
    <row r="818">
      <c r="A818" s="31" t="n">
        <v>0.2</v>
      </c>
      <c r="B818" s="31" t="n">
        <v>0.3</v>
      </c>
      <c r="C818" s="31" t="n">
        <v>0.3</v>
      </c>
      <c r="D818" s="31" t="n">
        <v>0.2</v>
      </c>
      <c r="E818" s="27" t="inlineStr">
        <is>
          <t>ON 20%/1M 30%/2M 30%/3M 20%</t>
        </is>
      </c>
      <c r="F818" s="27" t="n">
        <v>50</v>
      </c>
      <c r="G818" s="27">
        <f>A818*$B$7&gt;=$B$9</f>
        <v/>
      </c>
      <c r="H818" s="13">
        <f>$B$7*(A818*E$71+B818*F$71+C818*G$71+D818*H$71)+F818/100*$B$7*J$71-$C$71</f>
        <v/>
      </c>
      <c r="I818" s="13">
        <f>$B$7*(A818*L$71+B818*M$71+C818*N$71+D818*O$71)+F818/100*$B$7*Q$71-$C$71</f>
        <v/>
      </c>
      <c r="J818" s="13">
        <f>$B$7*(A818*S$71+B818*T$71+C818*U$71+D818*V$71)+F818/100*$B$7*X$71-$C$71</f>
        <v/>
      </c>
      <c r="K818" s="13">
        <f>$B$7*(A818*Z$71+B818*AA$71+C818*AB$71+D818*AC$71)+F818/100*$B$7*AE$71-$C$71</f>
        <v/>
      </c>
      <c r="L818" s="13">
        <f>$B$7*(A818*AG$71+B818*AH$71+C818*AI$71+D818*AJ$71)+F818/100*$B$7*AL$71-$C$71</f>
        <v/>
      </c>
      <c r="M818" s="13">
        <f>$B$7*(A818*AN$71+B818*AO$71+C818*AP$71+D818*AQ$71)+F818/100*$B$7*AS$71-$C$71</f>
        <v/>
      </c>
      <c r="N818" s="13">
        <f>SUMPRODUCT($H$24:$M$24,H818:M818)</f>
        <v/>
      </c>
      <c r="O818" s="14">
        <f>SQRT(SUMPRODUCT($H$24:$M$24,(H818:M818-N818)^2))</f>
        <v/>
      </c>
      <c r="P818" s="13">
        <f>MIN(H818:M818)</f>
        <v/>
      </c>
      <c r="Q818" s="13">
        <f>MAX(H818:M818)</f>
        <v/>
      </c>
      <c r="R818" s="27">
        <f>IF(G818,SUMPRODUCT(($G$76:$G$1505)*($N$76:$N$1505&gt;=N818)*($O$76:$O$1505&lt;=O818))=1,FALSE)</f>
        <v/>
      </c>
      <c r="S818" s="16">
        <f>IF(R818,ABS((O818-$AC$76)/MAX(0.0001,$AC$77-$AC$76)-(N818-$AC$78)/MAX(0.0001,$AC$79-$AC$78)),-1)</f>
        <v/>
      </c>
      <c r="T818" s="14">
        <f>IF(G818,O818,NA())</f>
        <v/>
      </c>
      <c r="U818" s="13">
        <f>IF(G818,N818,NA())</f>
        <v/>
      </c>
      <c r="V818" s="14">
        <f>IF(R818,O818,NA())</f>
        <v/>
      </c>
      <c r="W818" s="13">
        <f>IF(R818,N818,NA())</f>
        <v/>
      </c>
      <c r="X818" s="27">
        <f>IF(G818,P818,"")</f>
        <v/>
      </c>
      <c r="Y818" s="27">
        <f>IF(G818,N818,"")</f>
        <v/>
      </c>
      <c r="Z818" s="27">
        <f>IF(R818,O818,"")</f>
        <v/>
      </c>
      <c r="AA818" s="27">
        <f>IF(R818,N818,"")</f>
        <v/>
      </c>
    </row>
    <row r="819">
      <c r="A819" s="31" t="n">
        <v>0.2</v>
      </c>
      <c r="B819" s="31" t="n">
        <v>0.3</v>
      </c>
      <c r="C819" s="31" t="n">
        <v>0.3</v>
      </c>
      <c r="D819" s="31" t="n">
        <v>0.2</v>
      </c>
      <c r="E819" s="27" t="inlineStr">
        <is>
          <t>ON 20%/1M 30%/2M 30%/3M 20%</t>
        </is>
      </c>
      <c r="F819" s="27" t="n">
        <v>75</v>
      </c>
      <c r="G819" s="27">
        <f>A819*$B$7&gt;=$B$9</f>
        <v/>
      </c>
      <c r="H819" s="13">
        <f>$B$7*(A819*E$71+B819*F$71+C819*G$71+D819*H$71)+F819/100*$B$7*J$71-$C$71</f>
        <v/>
      </c>
      <c r="I819" s="13">
        <f>$B$7*(A819*L$71+B819*M$71+C819*N$71+D819*O$71)+F819/100*$B$7*Q$71-$C$71</f>
        <v/>
      </c>
      <c r="J819" s="13">
        <f>$B$7*(A819*S$71+B819*T$71+C819*U$71+D819*V$71)+F819/100*$B$7*X$71-$C$71</f>
        <v/>
      </c>
      <c r="K819" s="13">
        <f>$B$7*(A819*Z$71+B819*AA$71+C819*AB$71+D819*AC$71)+F819/100*$B$7*AE$71-$C$71</f>
        <v/>
      </c>
      <c r="L819" s="13">
        <f>$B$7*(A819*AG$71+B819*AH$71+C819*AI$71+D819*AJ$71)+F819/100*$B$7*AL$71-$C$71</f>
        <v/>
      </c>
      <c r="M819" s="13">
        <f>$B$7*(A819*AN$71+B819*AO$71+C819*AP$71+D819*AQ$71)+F819/100*$B$7*AS$71-$C$71</f>
        <v/>
      </c>
      <c r="N819" s="13">
        <f>SUMPRODUCT($H$24:$M$24,H819:M819)</f>
        <v/>
      </c>
      <c r="O819" s="14">
        <f>SQRT(SUMPRODUCT($H$24:$M$24,(H819:M819-N819)^2))</f>
        <v/>
      </c>
      <c r="P819" s="13">
        <f>MIN(H819:M819)</f>
        <v/>
      </c>
      <c r="Q819" s="13">
        <f>MAX(H819:M819)</f>
        <v/>
      </c>
      <c r="R819" s="27">
        <f>IF(G819,SUMPRODUCT(($G$76:$G$1505)*($N$76:$N$1505&gt;=N819)*($O$76:$O$1505&lt;=O819))=1,FALSE)</f>
        <v/>
      </c>
      <c r="S819" s="16">
        <f>IF(R819,ABS((O819-$AC$76)/MAX(0.0001,$AC$77-$AC$76)-(N819-$AC$78)/MAX(0.0001,$AC$79-$AC$78)),-1)</f>
        <v/>
      </c>
      <c r="T819" s="14">
        <f>IF(G819,O819,NA())</f>
        <v/>
      </c>
      <c r="U819" s="13">
        <f>IF(G819,N819,NA())</f>
        <v/>
      </c>
      <c r="V819" s="14">
        <f>IF(R819,O819,NA())</f>
        <v/>
      </c>
      <c r="W819" s="13">
        <f>IF(R819,N819,NA())</f>
        <v/>
      </c>
      <c r="X819" s="27">
        <f>IF(G819,P819,"")</f>
        <v/>
      </c>
      <c r="Y819" s="27">
        <f>IF(G819,N819,"")</f>
        <v/>
      </c>
      <c r="Z819" s="27">
        <f>IF(R819,O819,"")</f>
        <v/>
      </c>
      <c r="AA819" s="27">
        <f>IF(R819,N819,"")</f>
        <v/>
      </c>
    </row>
    <row r="820">
      <c r="A820" s="31" t="n">
        <v>0.2</v>
      </c>
      <c r="B820" s="31" t="n">
        <v>0.3</v>
      </c>
      <c r="C820" s="31" t="n">
        <v>0.3</v>
      </c>
      <c r="D820" s="31" t="n">
        <v>0.2</v>
      </c>
      <c r="E820" s="27" t="inlineStr">
        <is>
          <t>ON 20%/1M 30%/2M 30%/3M 20%</t>
        </is>
      </c>
      <c r="F820" s="27" t="n">
        <v>100</v>
      </c>
      <c r="G820" s="27">
        <f>A820*$B$7&gt;=$B$9</f>
        <v/>
      </c>
      <c r="H820" s="13">
        <f>$B$7*(A820*E$71+B820*F$71+C820*G$71+D820*H$71)+F820/100*$B$7*J$71-$C$71</f>
        <v/>
      </c>
      <c r="I820" s="13">
        <f>$B$7*(A820*L$71+B820*M$71+C820*N$71+D820*O$71)+F820/100*$B$7*Q$71-$C$71</f>
        <v/>
      </c>
      <c r="J820" s="13">
        <f>$B$7*(A820*S$71+B820*T$71+C820*U$71+D820*V$71)+F820/100*$B$7*X$71-$C$71</f>
        <v/>
      </c>
      <c r="K820" s="13">
        <f>$B$7*(A820*Z$71+B820*AA$71+C820*AB$71+D820*AC$71)+F820/100*$B$7*AE$71-$C$71</f>
        <v/>
      </c>
      <c r="L820" s="13">
        <f>$B$7*(A820*AG$71+B820*AH$71+C820*AI$71+D820*AJ$71)+F820/100*$B$7*AL$71-$C$71</f>
        <v/>
      </c>
      <c r="M820" s="13">
        <f>$B$7*(A820*AN$71+B820*AO$71+C820*AP$71+D820*AQ$71)+F820/100*$B$7*AS$71-$C$71</f>
        <v/>
      </c>
      <c r="N820" s="13">
        <f>SUMPRODUCT($H$24:$M$24,H820:M820)</f>
        <v/>
      </c>
      <c r="O820" s="14">
        <f>SQRT(SUMPRODUCT($H$24:$M$24,(H820:M820-N820)^2))</f>
        <v/>
      </c>
      <c r="P820" s="13">
        <f>MIN(H820:M820)</f>
        <v/>
      </c>
      <c r="Q820" s="13">
        <f>MAX(H820:M820)</f>
        <v/>
      </c>
      <c r="R820" s="27">
        <f>IF(G820,SUMPRODUCT(($G$76:$G$1505)*($N$76:$N$1505&gt;=N820)*($O$76:$O$1505&lt;=O820))=1,FALSE)</f>
        <v/>
      </c>
      <c r="S820" s="16">
        <f>IF(R820,ABS((O820-$AC$76)/MAX(0.0001,$AC$77-$AC$76)-(N820-$AC$78)/MAX(0.0001,$AC$79-$AC$78)),-1)</f>
        <v/>
      </c>
      <c r="T820" s="14">
        <f>IF(G820,O820,NA())</f>
        <v/>
      </c>
      <c r="U820" s="13">
        <f>IF(G820,N820,NA())</f>
        <v/>
      </c>
      <c r="V820" s="14">
        <f>IF(R820,O820,NA())</f>
        <v/>
      </c>
      <c r="W820" s="13">
        <f>IF(R820,N820,NA())</f>
        <v/>
      </c>
      <c r="X820" s="27">
        <f>IF(G820,P820,"")</f>
        <v/>
      </c>
      <c r="Y820" s="27">
        <f>IF(G820,N820,"")</f>
        <v/>
      </c>
      <c r="Z820" s="27">
        <f>IF(R820,O820,"")</f>
        <v/>
      </c>
      <c r="AA820" s="27">
        <f>IF(R820,N820,"")</f>
        <v/>
      </c>
    </row>
    <row r="821">
      <c r="A821" s="31" t="n">
        <v>0.2</v>
      </c>
      <c r="B821" s="31" t="n">
        <v>0.3</v>
      </c>
      <c r="C821" s="31" t="n">
        <v>0.4</v>
      </c>
      <c r="D821" s="31" t="n">
        <v>0.1</v>
      </c>
      <c r="E821" s="27" t="inlineStr">
        <is>
          <t>ON 20%/1M 30%/2M 40%/3M 10%</t>
        </is>
      </c>
      <c r="F821" s="27" t="n">
        <v>0</v>
      </c>
      <c r="G821" s="27">
        <f>A821*$B$7&gt;=$B$9</f>
        <v/>
      </c>
      <c r="H821" s="13">
        <f>$B$7*(A821*E$71+B821*F$71+C821*G$71+D821*H$71)+F821/100*$B$7*J$71-$C$71</f>
        <v/>
      </c>
      <c r="I821" s="13">
        <f>$B$7*(A821*L$71+B821*M$71+C821*N$71+D821*O$71)+F821/100*$B$7*Q$71-$C$71</f>
        <v/>
      </c>
      <c r="J821" s="13">
        <f>$B$7*(A821*S$71+B821*T$71+C821*U$71+D821*V$71)+F821/100*$B$7*X$71-$C$71</f>
        <v/>
      </c>
      <c r="K821" s="13">
        <f>$B$7*(A821*Z$71+B821*AA$71+C821*AB$71+D821*AC$71)+F821/100*$B$7*AE$71-$C$71</f>
        <v/>
      </c>
      <c r="L821" s="13">
        <f>$B$7*(A821*AG$71+B821*AH$71+C821*AI$71+D821*AJ$71)+F821/100*$B$7*AL$71-$C$71</f>
        <v/>
      </c>
      <c r="M821" s="13">
        <f>$B$7*(A821*AN$71+B821*AO$71+C821*AP$71+D821*AQ$71)+F821/100*$B$7*AS$71-$C$71</f>
        <v/>
      </c>
      <c r="N821" s="13">
        <f>SUMPRODUCT($H$24:$M$24,H821:M821)</f>
        <v/>
      </c>
      <c r="O821" s="14">
        <f>SQRT(SUMPRODUCT($H$24:$M$24,(H821:M821-N821)^2))</f>
        <v/>
      </c>
      <c r="P821" s="13">
        <f>MIN(H821:M821)</f>
        <v/>
      </c>
      <c r="Q821" s="13">
        <f>MAX(H821:M821)</f>
        <v/>
      </c>
      <c r="R821" s="27">
        <f>IF(G821,SUMPRODUCT(($G$76:$G$1505)*($N$76:$N$1505&gt;=N821)*($O$76:$O$1505&lt;=O821))=1,FALSE)</f>
        <v/>
      </c>
      <c r="S821" s="16">
        <f>IF(R821,ABS((O821-$AC$76)/MAX(0.0001,$AC$77-$AC$76)-(N821-$AC$78)/MAX(0.0001,$AC$79-$AC$78)),-1)</f>
        <v/>
      </c>
      <c r="T821" s="14">
        <f>IF(G821,O821,NA())</f>
        <v/>
      </c>
      <c r="U821" s="13">
        <f>IF(G821,N821,NA())</f>
        <v/>
      </c>
      <c r="V821" s="14">
        <f>IF(R821,O821,NA())</f>
        <v/>
      </c>
      <c r="W821" s="13">
        <f>IF(R821,N821,NA())</f>
        <v/>
      </c>
      <c r="X821" s="27">
        <f>IF(G821,P821,"")</f>
        <v/>
      </c>
      <c r="Y821" s="27">
        <f>IF(G821,N821,"")</f>
        <v/>
      </c>
      <c r="Z821" s="27">
        <f>IF(R821,O821,"")</f>
        <v/>
      </c>
      <c r="AA821" s="27">
        <f>IF(R821,N821,"")</f>
        <v/>
      </c>
    </row>
    <row r="822">
      <c r="A822" s="31" t="n">
        <v>0.2</v>
      </c>
      <c r="B822" s="31" t="n">
        <v>0.3</v>
      </c>
      <c r="C822" s="31" t="n">
        <v>0.4</v>
      </c>
      <c r="D822" s="31" t="n">
        <v>0.1</v>
      </c>
      <c r="E822" s="27" t="inlineStr">
        <is>
          <t>ON 20%/1M 30%/2M 40%/3M 10%</t>
        </is>
      </c>
      <c r="F822" s="27" t="n">
        <v>25</v>
      </c>
      <c r="G822" s="27">
        <f>A822*$B$7&gt;=$B$9</f>
        <v/>
      </c>
      <c r="H822" s="13">
        <f>$B$7*(A822*E$71+B822*F$71+C822*G$71+D822*H$71)+F822/100*$B$7*J$71-$C$71</f>
        <v/>
      </c>
      <c r="I822" s="13">
        <f>$B$7*(A822*L$71+B822*M$71+C822*N$71+D822*O$71)+F822/100*$B$7*Q$71-$C$71</f>
        <v/>
      </c>
      <c r="J822" s="13">
        <f>$B$7*(A822*S$71+B822*T$71+C822*U$71+D822*V$71)+F822/100*$B$7*X$71-$C$71</f>
        <v/>
      </c>
      <c r="K822" s="13">
        <f>$B$7*(A822*Z$71+B822*AA$71+C822*AB$71+D822*AC$71)+F822/100*$B$7*AE$71-$C$71</f>
        <v/>
      </c>
      <c r="L822" s="13">
        <f>$B$7*(A822*AG$71+B822*AH$71+C822*AI$71+D822*AJ$71)+F822/100*$B$7*AL$71-$C$71</f>
        <v/>
      </c>
      <c r="M822" s="13">
        <f>$B$7*(A822*AN$71+B822*AO$71+C822*AP$71+D822*AQ$71)+F822/100*$B$7*AS$71-$C$71</f>
        <v/>
      </c>
      <c r="N822" s="13">
        <f>SUMPRODUCT($H$24:$M$24,H822:M822)</f>
        <v/>
      </c>
      <c r="O822" s="14">
        <f>SQRT(SUMPRODUCT($H$24:$M$24,(H822:M822-N822)^2))</f>
        <v/>
      </c>
      <c r="P822" s="13">
        <f>MIN(H822:M822)</f>
        <v/>
      </c>
      <c r="Q822" s="13">
        <f>MAX(H822:M822)</f>
        <v/>
      </c>
      <c r="R822" s="27">
        <f>IF(G822,SUMPRODUCT(($G$76:$G$1505)*($N$76:$N$1505&gt;=N822)*($O$76:$O$1505&lt;=O822))=1,FALSE)</f>
        <v/>
      </c>
      <c r="S822" s="16">
        <f>IF(R822,ABS((O822-$AC$76)/MAX(0.0001,$AC$77-$AC$76)-(N822-$AC$78)/MAX(0.0001,$AC$79-$AC$78)),-1)</f>
        <v/>
      </c>
      <c r="T822" s="14">
        <f>IF(G822,O822,NA())</f>
        <v/>
      </c>
      <c r="U822" s="13">
        <f>IF(G822,N822,NA())</f>
        <v/>
      </c>
      <c r="V822" s="14">
        <f>IF(R822,O822,NA())</f>
        <v/>
      </c>
      <c r="W822" s="13">
        <f>IF(R822,N822,NA())</f>
        <v/>
      </c>
      <c r="X822" s="27">
        <f>IF(G822,P822,"")</f>
        <v/>
      </c>
      <c r="Y822" s="27">
        <f>IF(G822,N822,"")</f>
        <v/>
      </c>
      <c r="Z822" s="27">
        <f>IF(R822,O822,"")</f>
        <v/>
      </c>
      <c r="AA822" s="27">
        <f>IF(R822,N822,"")</f>
        <v/>
      </c>
    </row>
    <row r="823">
      <c r="A823" s="31" t="n">
        <v>0.2</v>
      </c>
      <c r="B823" s="31" t="n">
        <v>0.3</v>
      </c>
      <c r="C823" s="31" t="n">
        <v>0.4</v>
      </c>
      <c r="D823" s="31" t="n">
        <v>0.1</v>
      </c>
      <c r="E823" s="27" t="inlineStr">
        <is>
          <t>ON 20%/1M 30%/2M 40%/3M 10%</t>
        </is>
      </c>
      <c r="F823" s="27" t="n">
        <v>50</v>
      </c>
      <c r="G823" s="27">
        <f>A823*$B$7&gt;=$B$9</f>
        <v/>
      </c>
      <c r="H823" s="13">
        <f>$B$7*(A823*E$71+B823*F$71+C823*G$71+D823*H$71)+F823/100*$B$7*J$71-$C$71</f>
        <v/>
      </c>
      <c r="I823" s="13">
        <f>$B$7*(A823*L$71+B823*M$71+C823*N$71+D823*O$71)+F823/100*$B$7*Q$71-$C$71</f>
        <v/>
      </c>
      <c r="J823" s="13">
        <f>$B$7*(A823*S$71+B823*T$71+C823*U$71+D823*V$71)+F823/100*$B$7*X$71-$C$71</f>
        <v/>
      </c>
      <c r="K823" s="13">
        <f>$B$7*(A823*Z$71+B823*AA$71+C823*AB$71+D823*AC$71)+F823/100*$B$7*AE$71-$C$71</f>
        <v/>
      </c>
      <c r="L823" s="13">
        <f>$B$7*(A823*AG$71+B823*AH$71+C823*AI$71+D823*AJ$71)+F823/100*$B$7*AL$71-$C$71</f>
        <v/>
      </c>
      <c r="M823" s="13">
        <f>$B$7*(A823*AN$71+B823*AO$71+C823*AP$71+D823*AQ$71)+F823/100*$B$7*AS$71-$C$71</f>
        <v/>
      </c>
      <c r="N823" s="13">
        <f>SUMPRODUCT($H$24:$M$24,H823:M823)</f>
        <v/>
      </c>
      <c r="O823" s="14">
        <f>SQRT(SUMPRODUCT($H$24:$M$24,(H823:M823-N823)^2))</f>
        <v/>
      </c>
      <c r="P823" s="13">
        <f>MIN(H823:M823)</f>
        <v/>
      </c>
      <c r="Q823" s="13">
        <f>MAX(H823:M823)</f>
        <v/>
      </c>
      <c r="R823" s="27">
        <f>IF(G823,SUMPRODUCT(($G$76:$G$1505)*($N$76:$N$1505&gt;=N823)*($O$76:$O$1505&lt;=O823))=1,FALSE)</f>
        <v/>
      </c>
      <c r="S823" s="16">
        <f>IF(R823,ABS((O823-$AC$76)/MAX(0.0001,$AC$77-$AC$76)-(N823-$AC$78)/MAX(0.0001,$AC$79-$AC$78)),-1)</f>
        <v/>
      </c>
      <c r="T823" s="14">
        <f>IF(G823,O823,NA())</f>
        <v/>
      </c>
      <c r="U823" s="13">
        <f>IF(G823,N823,NA())</f>
        <v/>
      </c>
      <c r="V823" s="14">
        <f>IF(R823,O823,NA())</f>
        <v/>
      </c>
      <c r="W823" s="13">
        <f>IF(R823,N823,NA())</f>
        <v/>
      </c>
      <c r="X823" s="27">
        <f>IF(G823,P823,"")</f>
        <v/>
      </c>
      <c r="Y823" s="27">
        <f>IF(G823,N823,"")</f>
        <v/>
      </c>
      <c r="Z823" s="27">
        <f>IF(R823,O823,"")</f>
        <v/>
      </c>
      <c r="AA823" s="27">
        <f>IF(R823,N823,"")</f>
        <v/>
      </c>
    </row>
    <row r="824">
      <c r="A824" s="31" t="n">
        <v>0.2</v>
      </c>
      <c r="B824" s="31" t="n">
        <v>0.3</v>
      </c>
      <c r="C824" s="31" t="n">
        <v>0.4</v>
      </c>
      <c r="D824" s="31" t="n">
        <v>0.1</v>
      </c>
      <c r="E824" s="27" t="inlineStr">
        <is>
          <t>ON 20%/1M 30%/2M 40%/3M 10%</t>
        </is>
      </c>
      <c r="F824" s="27" t="n">
        <v>75</v>
      </c>
      <c r="G824" s="27">
        <f>A824*$B$7&gt;=$B$9</f>
        <v/>
      </c>
      <c r="H824" s="13">
        <f>$B$7*(A824*E$71+B824*F$71+C824*G$71+D824*H$71)+F824/100*$B$7*J$71-$C$71</f>
        <v/>
      </c>
      <c r="I824" s="13">
        <f>$B$7*(A824*L$71+B824*M$71+C824*N$71+D824*O$71)+F824/100*$B$7*Q$71-$C$71</f>
        <v/>
      </c>
      <c r="J824" s="13">
        <f>$B$7*(A824*S$71+B824*T$71+C824*U$71+D824*V$71)+F824/100*$B$7*X$71-$C$71</f>
        <v/>
      </c>
      <c r="K824" s="13">
        <f>$B$7*(A824*Z$71+B824*AA$71+C824*AB$71+D824*AC$71)+F824/100*$B$7*AE$71-$C$71</f>
        <v/>
      </c>
      <c r="L824" s="13">
        <f>$B$7*(A824*AG$71+B824*AH$71+C824*AI$71+D824*AJ$71)+F824/100*$B$7*AL$71-$C$71</f>
        <v/>
      </c>
      <c r="M824" s="13">
        <f>$B$7*(A824*AN$71+B824*AO$71+C824*AP$71+D824*AQ$71)+F824/100*$B$7*AS$71-$C$71</f>
        <v/>
      </c>
      <c r="N824" s="13">
        <f>SUMPRODUCT($H$24:$M$24,H824:M824)</f>
        <v/>
      </c>
      <c r="O824" s="14">
        <f>SQRT(SUMPRODUCT($H$24:$M$24,(H824:M824-N824)^2))</f>
        <v/>
      </c>
      <c r="P824" s="13">
        <f>MIN(H824:M824)</f>
        <v/>
      </c>
      <c r="Q824" s="13">
        <f>MAX(H824:M824)</f>
        <v/>
      </c>
      <c r="R824" s="27">
        <f>IF(G824,SUMPRODUCT(($G$76:$G$1505)*($N$76:$N$1505&gt;=N824)*($O$76:$O$1505&lt;=O824))=1,FALSE)</f>
        <v/>
      </c>
      <c r="S824" s="16">
        <f>IF(R824,ABS((O824-$AC$76)/MAX(0.0001,$AC$77-$AC$76)-(N824-$AC$78)/MAX(0.0001,$AC$79-$AC$78)),-1)</f>
        <v/>
      </c>
      <c r="T824" s="14">
        <f>IF(G824,O824,NA())</f>
        <v/>
      </c>
      <c r="U824" s="13">
        <f>IF(G824,N824,NA())</f>
        <v/>
      </c>
      <c r="V824" s="14">
        <f>IF(R824,O824,NA())</f>
        <v/>
      </c>
      <c r="W824" s="13">
        <f>IF(R824,N824,NA())</f>
        <v/>
      </c>
      <c r="X824" s="27">
        <f>IF(G824,P824,"")</f>
        <v/>
      </c>
      <c r="Y824" s="27">
        <f>IF(G824,N824,"")</f>
        <v/>
      </c>
      <c r="Z824" s="27">
        <f>IF(R824,O824,"")</f>
        <v/>
      </c>
      <c r="AA824" s="27">
        <f>IF(R824,N824,"")</f>
        <v/>
      </c>
    </row>
    <row r="825">
      <c r="A825" s="31" t="n">
        <v>0.2</v>
      </c>
      <c r="B825" s="31" t="n">
        <v>0.3</v>
      </c>
      <c r="C825" s="31" t="n">
        <v>0.4</v>
      </c>
      <c r="D825" s="31" t="n">
        <v>0.1</v>
      </c>
      <c r="E825" s="27" t="inlineStr">
        <is>
          <t>ON 20%/1M 30%/2M 40%/3M 10%</t>
        </is>
      </c>
      <c r="F825" s="27" t="n">
        <v>100</v>
      </c>
      <c r="G825" s="27">
        <f>A825*$B$7&gt;=$B$9</f>
        <v/>
      </c>
      <c r="H825" s="13">
        <f>$B$7*(A825*E$71+B825*F$71+C825*G$71+D825*H$71)+F825/100*$B$7*J$71-$C$71</f>
        <v/>
      </c>
      <c r="I825" s="13">
        <f>$B$7*(A825*L$71+B825*M$71+C825*N$71+D825*O$71)+F825/100*$B$7*Q$71-$C$71</f>
        <v/>
      </c>
      <c r="J825" s="13">
        <f>$B$7*(A825*S$71+B825*T$71+C825*U$71+D825*V$71)+F825/100*$B$7*X$71-$C$71</f>
        <v/>
      </c>
      <c r="K825" s="13">
        <f>$B$7*(A825*Z$71+B825*AA$71+C825*AB$71+D825*AC$71)+F825/100*$B$7*AE$71-$C$71</f>
        <v/>
      </c>
      <c r="L825" s="13">
        <f>$B$7*(A825*AG$71+B825*AH$71+C825*AI$71+D825*AJ$71)+F825/100*$B$7*AL$71-$C$71</f>
        <v/>
      </c>
      <c r="M825" s="13">
        <f>$B$7*(A825*AN$71+B825*AO$71+C825*AP$71+D825*AQ$71)+F825/100*$B$7*AS$71-$C$71</f>
        <v/>
      </c>
      <c r="N825" s="13">
        <f>SUMPRODUCT($H$24:$M$24,H825:M825)</f>
        <v/>
      </c>
      <c r="O825" s="14">
        <f>SQRT(SUMPRODUCT($H$24:$M$24,(H825:M825-N825)^2))</f>
        <v/>
      </c>
      <c r="P825" s="13">
        <f>MIN(H825:M825)</f>
        <v/>
      </c>
      <c r="Q825" s="13">
        <f>MAX(H825:M825)</f>
        <v/>
      </c>
      <c r="R825" s="27">
        <f>IF(G825,SUMPRODUCT(($G$76:$G$1505)*($N$76:$N$1505&gt;=N825)*($O$76:$O$1505&lt;=O825))=1,FALSE)</f>
        <v/>
      </c>
      <c r="S825" s="16">
        <f>IF(R825,ABS((O825-$AC$76)/MAX(0.0001,$AC$77-$AC$76)-(N825-$AC$78)/MAX(0.0001,$AC$79-$AC$78)),-1)</f>
        <v/>
      </c>
      <c r="T825" s="14">
        <f>IF(G825,O825,NA())</f>
        <v/>
      </c>
      <c r="U825" s="13">
        <f>IF(G825,N825,NA())</f>
        <v/>
      </c>
      <c r="V825" s="14">
        <f>IF(R825,O825,NA())</f>
        <v/>
      </c>
      <c r="W825" s="13">
        <f>IF(R825,N825,NA())</f>
        <v/>
      </c>
      <c r="X825" s="27">
        <f>IF(G825,P825,"")</f>
        <v/>
      </c>
      <c r="Y825" s="27">
        <f>IF(G825,N825,"")</f>
        <v/>
      </c>
      <c r="Z825" s="27">
        <f>IF(R825,O825,"")</f>
        <v/>
      </c>
      <c r="AA825" s="27">
        <f>IF(R825,N825,"")</f>
        <v/>
      </c>
    </row>
    <row r="826">
      <c r="A826" s="31" t="n">
        <v>0.2</v>
      </c>
      <c r="B826" s="31" t="n">
        <v>0.3</v>
      </c>
      <c r="C826" s="31" t="n">
        <v>0.5</v>
      </c>
      <c r="D826" s="31" t="n">
        <v>0</v>
      </c>
      <c r="E826" s="27" t="inlineStr">
        <is>
          <t>ON 20%/1M 30%/2M 50%</t>
        </is>
      </c>
      <c r="F826" s="27" t="n">
        <v>0</v>
      </c>
      <c r="G826" s="27">
        <f>A826*$B$7&gt;=$B$9</f>
        <v/>
      </c>
      <c r="H826" s="13">
        <f>$B$7*(A826*E$71+B826*F$71+C826*G$71+D826*H$71)+F826/100*$B$7*J$71-$C$71</f>
        <v/>
      </c>
      <c r="I826" s="13">
        <f>$B$7*(A826*L$71+B826*M$71+C826*N$71+D826*O$71)+F826/100*$B$7*Q$71-$C$71</f>
        <v/>
      </c>
      <c r="J826" s="13">
        <f>$B$7*(A826*S$71+B826*T$71+C826*U$71+D826*V$71)+F826/100*$B$7*X$71-$C$71</f>
        <v/>
      </c>
      <c r="K826" s="13">
        <f>$B$7*(A826*Z$71+B826*AA$71+C826*AB$71+D826*AC$71)+F826/100*$B$7*AE$71-$C$71</f>
        <v/>
      </c>
      <c r="L826" s="13">
        <f>$B$7*(A826*AG$71+B826*AH$71+C826*AI$71+D826*AJ$71)+F826/100*$B$7*AL$71-$C$71</f>
        <v/>
      </c>
      <c r="M826" s="13">
        <f>$B$7*(A826*AN$71+B826*AO$71+C826*AP$71+D826*AQ$71)+F826/100*$B$7*AS$71-$C$71</f>
        <v/>
      </c>
      <c r="N826" s="13">
        <f>SUMPRODUCT($H$24:$M$24,H826:M826)</f>
        <v/>
      </c>
      <c r="O826" s="14">
        <f>SQRT(SUMPRODUCT($H$24:$M$24,(H826:M826-N826)^2))</f>
        <v/>
      </c>
      <c r="P826" s="13">
        <f>MIN(H826:M826)</f>
        <v/>
      </c>
      <c r="Q826" s="13">
        <f>MAX(H826:M826)</f>
        <v/>
      </c>
      <c r="R826" s="27">
        <f>IF(G826,SUMPRODUCT(($G$76:$G$1505)*($N$76:$N$1505&gt;=N826)*($O$76:$O$1505&lt;=O826))=1,FALSE)</f>
        <v/>
      </c>
      <c r="S826" s="16">
        <f>IF(R826,ABS((O826-$AC$76)/MAX(0.0001,$AC$77-$AC$76)-(N826-$AC$78)/MAX(0.0001,$AC$79-$AC$78)),-1)</f>
        <v/>
      </c>
      <c r="T826" s="14">
        <f>IF(G826,O826,NA())</f>
        <v/>
      </c>
      <c r="U826" s="13">
        <f>IF(G826,N826,NA())</f>
        <v/>
      </c>
      <c r="V826" s="14">
        <f>IF(R826,O826,NA())</f>
        <v/>
      </c>
      <c r="W826" s="13">
        <f>IF(R826,N826,NA())</f>
        <v/>
      </c>
      <c r="X826" s="27">
        <f>IF(G826,P826,"")</f>
        <v/>
      </c>
      <c r="Y826" s="27">
        <f>IF(G826,N826,"")</f>
        <v/>
      </c>
      <c r="Z826" s="27">
        <f>IF(R826,O826,"")</f>
        <v/>
      </c>
      <c r="AA826" s="27">
        <f>IF(R826,N826,"")</f>
        <v/>
      </c>
    </row>
    <row r="827">
      <c r="A827" s="31" t="n">
        <v>0.2</v>
      </c>
      <c r="B827" s="31" t="n">
        <v>0.3</v>
      </c>
      <c r="C827" s="31" t="n">
        <v>0.5</v>
      </c>
      <c r="D827" s="31" t="n">
        <v>0</v>
      </c>
      <c r="E827" s="27" t="inlineStr">
        <is>
          <t>ON 20%/1M 30%/2M 50%</t>
        </is>
      </c>
      <c r="F827" s="27" t="n">
        <v>25</v>
      </c>
      <c r="G827" s="27">
        <f>A827*$B$7&gt;=$B$9</f>
        <v/>
      </c>
      <c r="H827" s="13">
        <f>$B$7*(A827*E$71+B827*F$71+C827*G$71+D827*H$71)+F827/100*$B$7*J$71-$C$71</f>
        <v/>
      </c>
      <c r="I827" s="13">
        <f>$B$7*(A827*L$71+B827*M$71+C827*N$71+D827*O$71)+F827/100*$B$7*Q$71-$C$71</f>
        <v/>
      </c>
      <c r="J827" s="13">
        <f>$B$7*(A827*S$71+B827*T$71+C827*U$71+D827*V$71)+F827/100*$B$7*X$71-$C$71</f>
        <v/>
      </c>
      <c r="K827" s="13">
        <f>$B$7*(A827*Z$71+B827*AA$71+C827*AB$71+D827*AC$71)+F827/100*$B$7*AE$71-$C$71</f>
        <v/>
      </c>
      <c r="L827" s="13">
        <f>$B$7*(A827*AG$71+B827*AH$71+C827*AI$71+D827*AJ$71)+F827/100*$B$7*AL$71-$C$71</f>
        <v/>
      </c>
      <c r="M827" s="13">
        <f>$B$7*(A827*AN$71+B827*AO$71+C827*AP$71+D827*AQ$71)+F827/100*$B$7*AS$71-$C$71</f>
        <v/>
      </c>
      <c r="N827" s="13">
        <f>SUMPRODUCT($H$24:$M$24,H827:M827)</f>
        <v/>
      </c>
      <c r="O827" s="14">
        <f>SQRT(SUMPRODUCT($H$24:$M$24,(H827:M827-N827)^2))</f>
        <v/>
      </c>
      <c r="P827" s="13">
        <f>MIN(H827:M827)</f>
        <v/>
      </c>
      <c r="Q827" s="13">
        <f>MAX(H827:M827)</f>
        <v/>
      </c>
      <c r="R827" s="27">
        <f>IF(G827,SUMPRODUCT(($G$76:$G$1505)*($N$76:$N$1505&gt;=N827)*($O$76:$O$1505&lt;=O827))=1,FALSE)</f>
        <v/>
      </c>
      <c r="S827" s="16">
        <f>IF(R827,ABS((O827-$AC$76)/MAX(0.0001,$AC$77-$AC$76)-(N827-$AC$78)/MAX(0.0001,$AC$79-$AC$78)),-1)</f>
        <v/>
      </c>
      <c r="T827" s="14">
        <f>IF(G827,O827,NA())</f>
        <v/>
      </c>
      <c r="U827" s="13">
        <f>IF(G827,N827,NA())</f>
        <v/>
      </c>
      <c r="V827" s="14">
        <f>IF(R827,O827,NA())</f>
        <v/>
      </c>
      <c r="W827" s="13">
        <f>IF(R827,N827,NA())</f>
        <v/>
      </c>
      <c r="X827" s="27">
        <f>IF(G827,P827,"")</f>
        <v/>
      </c>
      <c r="Y827" s="27">
        <f>IF(G827,N827,"")</f>
        <v/>
      </c>
      <c r="Z827" s="27">
        <f>IF(R827,O827,"")</f>
        <v/>
      </c>
      <c r="AA827" s="27">
        <f>IF(R827,N827,"")</f>
        <v/>
      </c>
    </row>
    <row r="828">
      <c r="A828" s="31" t="n">
        <v>0.2</v>
      </c>
      <c r="B828" s="31" t="n">
        <v>0.3</v>
      </c>
      <c r="C828" s="31" t="n">
        <v>0.5</v>
      </c>
      <c r="D828" s="31" t="n">
        <v>0</v>
      </c>
      <c r="E828" s="27" t="inlineStr">
        <is>
          <t>ON 20%/1M 30%/2M 50%</t>
        </is>
      </c>
      <c r="F828" s="27" t="n">
        <v>50</v>
      </c>
      <c r="G828" s="27">
        <f>A828*$B$7&gt;=$B$9</f>
        <v/>
      </c>
      <c r="H828" s="13">
        <f>$B$7*(A828*E$71+B828*F$71+C828*G$71+D828*H$71)+F828/100*$B$7*J$71-$C$71</f>
        <v/>
      </c>
      <c r="I828" s="13">
        <f>$B$7*(A828*L$71+B828*M$71+C828*N$71+D828*O$71)+F828/100*$B$7*Q$71-$C$71</f>
        <v/>
      </c>
      <c r="J828" s="13">
        <f>$B$7*(A828*S$71+B828*T$71+C828*U$71+D828*V$71)+F828/100*$B$7*X$71-$C$71</f>
        <v/>
      </c>
      <c r="K828" s="13">
        <f>$B$7*(A828*Z$71+B828*AA$71+C828*AB$71+D828*AC$71)+F828/100*$B$7*AE$71-$C$71</f>
        <v/>
      </c>
      <c r="L828" s="13">
        <f>$B$7*(A828*AG$71+B828*AH$71+C828*AI$71+D828*AJ$71)+F828/100*$B$7*AL$71-$C$71</f>
        <v/>
      </c>
      <c r="M828" s="13">
        <f>$B$7*(A828*AN$71+B828*AO$71+C828*AP$71+D828*AQ$71)+F828/100*$B$7*AS$71-$C$71</f>
        <v/>
      </c>
      <c r="N828" s="13">
        <f>SUMPRODUCT($H$24:$M$24,H828:M828)</f>
        <v/>
      </c>
      <c r="O828" s="14">
        <f>SQRT(SUMPRODUCT($H$24:$M$24,(H828:M828-N828)^2))</f>
        <v/>
      </c>
      <c r="P828" s="13">
        <f>MIN(H828:M828)</f>
        <v/>
      </c>
      <c r="Q828" s="13">
        <f>MAX(H828:M828)</f>
        <v/>
      </c>
      <c r="R828" s="27">
        <f>IF(G828,SUMPRODUCT(($G$76:$G$1505)*($N$76:$N$1505&gt;=N828)*($O$76:$O$1505&lt;=O828))=1,FALSE)</f>
        <v/>
      </c>
      <c r="S828" s="16">
        <f>IF(R828,ABS((O828-$AC$76)/MAX(0.0001,$AC$77-$AC$76)-(N828-$AC$78)/MAX(0.0001,$AC$79-$AC$78)),-1)</f>
        <v/>
      </c>
      <c r="T828" s="14">
        <f>IF(G828,O828,NA())</f>
        <v/>
      </c>
      <c r="U828" s="13">
        <f>IF(G828,N828,NA())</f>
        <v/>
      </c>
      <c r="V828" s="14">
        <f>IF(R828,O828,NA())</f>
        <v/>
      </c>
      <c r="W828" s="13">
        <f>IF(R828,N828,NA())</f>
        <v/>
      </c>
      <c r="X828" s="27">
        <f>IF(G828,P828,"")</f>
        <v/>
      </c>
      <c r="Y828" s="27">
        <f>IF(G828,N828,"")</f>
        <v/>
      </c>
      <c r="Z828" s="27">
        <f>IF(R828,O828,"")</f>
        <v/>
      </c>
      <c r="AA828" s="27">
        <f>IF(R828,N828,"")</f>
        <v/>
      </c>
    </row>
    <row r="829">
      <c r="A829" s="31" t="n">
        <v>0.2</v>
      </c>
      <c r="B829" s="31" t="n">
        <v>0.3</v>
      </c>
      <c r="C829" s="31" t="n">
        <v>0.5</v>
      </c>
      <c r="D829" s="31" t="n">
        <v>0</v>
      </c>
      <c r="E829" s="27" t="inlineStr">
        <is>
          <t>ON 20%/1M 30%/2M 50%</t>
        </is>
      </c>
      <c r="F829" s="27" t="n">
        <v>75</v>
      </c>
      <c r="G829" s="27">
        <f>A829*$B$7&gt;=$B$9</f>
        <v/>
      </c>
      <c r="H829" s="13">
        <f>$B$7*(A829*E$71+B829*F$71+C829*G$71+D829*H$71)+F829/100*$B$7*J$71-$C$71</f>
        <v/>
      </c>
      <c r="I829" s="13">
        <f>$B$7*(A829*L$71+B829*M$71+C829*N$71+D829*O$71)+F829/100*$B$7*Q$71-$C$71</f>
        <v/>
      </c>
      <c r="J829" s="13">
        <f>$B$7*(A829*S$71+B829*T$71+C829*U$71+D829*V$71)+F829/100*$B$7*X$71-$C$71</f>
        <v/>
      </c>
      <c r="K829" s="13">
        <f>$B$7*(A829*Z$71+B829*AA$71+C829*AB$71+D829*AC$71)+F829/100*$B$7*AE$71-$C$71</f>
        <v/>
      </c>
      <c r="L829" s="13">
        <f>$B$7*(A829*AG$71+B829*AH$71+C829*AI$71+D829*AJ$71)+F829/100*$B$7*AL$71-$C$71</f>
        <v/>
      </c>
      <c r="M829" s="13">
        <f>$B$7*(A829*AN$71+B829*AO$71+C829*AP$71+D829*AQ$71)+F829/100*$B$7*AS$71-$C$71</f>
        <v/>
      </c>
      <c r="N829" s="13">
        <f>SUMPRODUCT($H$24:$M$24,H829:M829)</f>
        <v/>
      </c>
      <c r="O829" s="14">
        <f>SQRT(SUMPRODUCT($H$24:$M$24,(H829:M829-N829)^2))</f>
        <v/>
      </c>
      <c r="P829" s="13">
        <f>MIN(H829:M829)</f>
        <v/>
      </c>
      <c r="Q829" s="13">
        <f>MAX(H829:M829)</f>
        <v/>
      </c>
      <c r="R829" s="27">
        <f>IF(G829,SUMPRODUCT(($G$76:$G$1505)*($N$76:$N$1505&gt;=N829)*($O$76:$O$1505&lt;=O829))=1,FALSE)</f>
        <v/>
      </c>
      <c r="S829" s="16">
        <f>IF(R829,ABS((O829-$AC$76)/MAX(0.0001,$AC$77-$AC$76)-(N829-$AC$78)/MAX(0.0001,$AC$79-$AC$78)),-1)</f>
        <v/>
      </c>
      <c r="T829" s="14">
        <f>IF(G829,O829,NA())</f>
        <v/>
      </c>
      <c r="U829" s="13">
        <f>IF(G829,N829,NA())</f>
        <v/>
      </c>
      <c r="V829" s="14">
        <f>IF(R829,O829,NA())</f>
        <v/>
      </c>
      <c r="W829" s="13">
        <f>IF(R829,N829,NA())</f>
        <v/>
      </c>
      <c r="X829" s="27">
        <f>IF(G829,P829,"")</f>
        <v/>
      </c>
      <c r="Y829" s="27">
        <f>IF(G829,N829,"")</f>
        <v/>
      </c>
      <c r="Z829" s="27">
        <f>IF(R829,O829,"")</f>
        <v/>
      </c>
      <c r="AA829" s="27">
        <f>IF(R829,N829,"")</f>
        <v/>
      </c>
    </row>
    <row r="830">
      <c r="A830" s="31" t="n">
        <v>0.2</v>
      </c>
      <c r="B830" s="31" t="n">
        <v>0.3</v>
      </c>
      <c r="C830" s="31" t="n">
        <v>0.5</v>
      </c>
      <c r="D830" s="31" t="n">
        <v>0</v>
      </c>
      <c r="E830" s="27" t="inlineStr">
        <is>
          <t>ON 20%/1M 30%/2M 50%</t>
        </is>
      </c>
      <c r="F830" s="27" t="n">
        <v>100</v>
      </c>
      <c r="G830" s="27">
        <f>A830*$B$7&gt;=$B$9</f>
        <v/>
      </c>
      <c r="H830" s="13">
        <f>$B$7*(A830*E$71+B830*F$71+C830*G$71+D830*H$71)+F830/100*$B$7*J$71-$C$71</f>
        <v/>
      </c>
      <c r="I830" s="13">
        <f>$B$7*(A830*L$71+B830*M$71+C830*N$71+D830*O$71)+F830/100*$B$7*Q$71-$C$71</f>
        <v/>
      </c>
      <c r="J830" s="13">
        <f>$B$7*(A830*S$71+B830*T$71+C830*U$71+D830*V$71)+F830/100*$B$7*X$71-$C$71</f>
        <v/>
      </c>
      <c r="K830" s="13">
        <f>$B$7*(A830*Z$71+B830*AA$71+C830*AB$71+D830*AC$71)+F830/100*$B$7*AE$71-$C$71</f>
        <v/>
      </c>
      <c r="L830" s="13">
        <f>$B$7*(A830*AG$71+B830*AH$71+C830*AI$71+D830*AJ$71)+F830/100*$B$7*AL$71-$C$71</f>
        <v/>
      </c>
      <c r="M830" s="13">
        <f>$B$7*(A830*AN$71+B830*AO$71+C830*AP$71+D830*AQ$71)+F830/100*$B$7*AS$71-$C$71</f>
        <v/>
      </c>
      <c r="N830" s="13">
        <f>SUMPRODUCT($H$24:$M$24,H830:M830)</f>
        <v/>
      </c>
      <c r="O830" s="14">
        <f>SQRT(SUMPRODUCT($H$24:$M$24,(H830:M830-N830)^2))</f>
        <v/>
      </c>
      <c r="P830" s="13">
        <f>MIN(H830:M830)</f>
        <v/>
      </c>
      <c r="Q830" s="13">
        <f>MAX(H830:M830)</f>
        <v/>
      </c>
      <c r="R830" s="27">
        <f>IF(G830,SUMPRODUCT(($G$76:$G$1505)*($N$76:$N$1505&gt;=N830)*($O$76:$O$1505&lt;=O830))=1,FALSE)</f>
        <v/>
      </c>
      <c r="S830" s="16">
        <f>IF(R830,ABS((O830-$AC$76)/MAX(0.0001,$AC$77-$AC$76)-(N830-$AC$78)/MAX(0.0001,$AC$79-$AC$78)),-1)</f>
        <v/>
      </c>
      <c r="T830" s="14">
        <f>IF(G830,O830,NA())</f>
        <v/>
      </c>
      <c r="U830" s="13">
        <f>IF(G830,N830,NA())</f>
        <v/>
      </c>
      <c r="V830" s="14">
        <f>IF(R830,O830,NA())</f>
        <v/>
      </c>
      <c r="W830" s="13">
        <f>IF(R830,N830,NA())</f>
        <v/>
      </c>
      <c r="X830" s="27">
        <f>IF(G830,P830,"")</f>
        <v/>
      </c>
      <c r="Y830" s="27">
        <f>IF(G830,N830,"")</f>
        <v/>
      </c>
      <c r="Z830" s="27">
        <f>IF(R830,O830,"")</f>
        <v/>
      </c>
      <c r="AA830" s="27">
        <f>IF(R830,N830,"")</f>
        <v/>
      </c>
    </row>
    <row r="831">
      <c r="A831" s="31" t="n">
        <v>0.2</v>
      </c>
      <c r="B831" s="31" t="n">
        <v>0.4</v>
      </c>
      <c r="C831" s="31" t="n">
        <v>0</v>
      </c>
      <c r="D831" s="31" t="n">
        <v>0.4</v>
      </c>
      <c r="E831" s="27" t="inlineStr">
        <is>
          <t>ON 20%/1M 40%/3M 40%</t>
        </is>
      </c>
      <c r="F831" s="27" t="n">
        <v>0</v>
      </c>
      <c r="G831" s="27">
        <f>A831*$B$7&gt;=$B$9</f>
        <v/>
      </c>
      <c r="H831" s="13">
        <f>$B$7*(A831*E$71+B831*F$71+C831*G$71+D831*H$71)+F831/100*$B$7*J$71-$C$71</f>
        <v/>
      </c>
      <c r="I831" s="13">
        <f>$B$7*(A831*L$71+B831*M$71+C831*N$71+D831*O$71)+F831/100*$B$7*Q$71-$C$71</f>
        <v/>
      </c>
      <c r="J831" s="13">
        <f>$B$7*(A831*S$71+B831*T$71+C831*U$71+D831*V$71)+F831/100*$B$7*X$71-$C$71</f>
        <v/>
      </c>
      <c r="K831" s="13">
        <f>$B$7*(A831*Z$71+B831*AA$71+C831*AB$71+D831*AC$71)+F831/100*$B$7*AE$71-$C$71</f>
        <v/>
      </c>
      <c r="L831" s="13">
        <f>$B$7*(A831*AG$71+B831*AH$71+C831*AI$71+D831*AJ$71)+F831/100*$B$7*AL$71-$C$71</f>
        <v/>
      </c>
      <c r="M831" s="13">
        <f>$B$7*(A831*AN$71+B831*AO$71+C831*AP$71+D831*AQ$71)+F831/100*$B$7*AS$71-$C$71</f>
        <v/>
      </c>
      <c r="N831" s="13">
        <f>SUMPRODUCT($H$24:$M$24,H831:M831)</f>
        <v/>
      </c>
      <c r="O831" s="14">
        <f>SQRT(SUMPRODUCT($H$24:$M$24,(H831:M831-N831)^2))</f>
        <v/>
      </c>
      <c r="P831" s="13">
        <f>MIN(H831:M831)</f>
        <v/>
      </c>
      <c r="Q831" s="13">
        <f>MAX(H831:M831)</f>
        <v/>
      </c>
      <c r="R831" s="27">
        <f>IF(G831,SUMPRODUCT(($G$76:$G$1505)*($N$76:$N$1505&gt;=N831)*($O$76:$O$1505&lt;=O831))=1,FALSE)</f>
        <v/>
      </c>
      <c r="S831" s="16">
        <f>IF(R831,ABS((O831-$AC$76)/MAX(0.0001,$AC$77-$AC$76)-(N831-$AC$78)/MAX(0.0001,$AC$79-$AC$78)),-1)</f>
        <v/>
      </c>
      <c r="T831" s="14">
        <f>IF(G831,O831,NA())</f>
        <v/>
      </c>
      <c r="U831" s="13">
        <f>IF(G831,N831,NA())</f>
        <v/>
      </c>
      <c r="V831" s="14">
        <f>IF(R831,O831,NA())</f>
        <v/>
      </c>
      <c r="W831" s="13">
        <f>IF(R831,N831,NA())</f>
        <v/>
      </c>
      <c r="X831" s="27">
        <f>IF(G831,P831,"")</f>
        <v/>
      </c>
      <c r="Y831" s="27">
        <f>IF(G831,N831,"")</f>
        <v/>
      </c>
      <c r="Z831" s="27">
        <f>IF(R831,O831,"")</f>
        <v/>
      </c>
      <c r="AA831" s="27">
        <f>IF(R831,N831,"")</f>
        <v/>
      </c>
    </row>
    <row r="832">
      <c r="A832" s="31" t="n">
        <v>0.2</v>
      </c>
      <c r="B832" s="31" t="n">
        <v>0.4</v>
      </c>
      <c r="C832" s="31" t="n">
        <v>0</v>
      </c>
      <c r="D832" s="31" t="n">
        <v>0.4</v>
      </c>
      <c r="E832" s="27" t="inlineStr">
        <is>
          <t>ON 20%/1M 40%/3M 40%</t>
        </is>
      </c>
      <c r="F832" s="27" t="n">
        <v>25</v>
      </c>
      <c r="G832" s="27">
        <f>A832*$B$7&gt;=$B$9</f>
        <v/>
      </c>
      <c r="H832" s="13">
        <f>$B$7*(A832*E$71+B832*F$71+C832*G$71+D832*H$71)+F832/100*$B$7*J$71-$C$71</f>
        <v/>
      </c>
      <c r="I832" s="13">
        <f>$B$7*(A832*L$71+B832*M$71+C832*N$71+D832*O$71)+F832/100*$B$7*Q$71-$C$71</f>
        <v/>
      </c>
      <c r="J832" s="13">
        <f>$B$7*(A832*S$71+B832*T$71+C832*U$71+D832*V$71)+F832/100*$B$7*X$71-$C$71</f>
        <v/>
      </c>
      <c r="K832" s="13">
        <f>$B$7*(A832*Z$71+B832*AA$71+C832*AB$71+D832*AC$71)+F832/100*$B$7*AE$71-$C$71</f>
        <v/>
      </c>
      <c r="L832" s="13">
        <f>$B$7*(A832*AG$71+B832*AH$71+C832*AI$71+D832*AJ$71)+F832/100*$B$7*AL$71-$C$71</f>
        <v/>
      </c>
      <c r="M832" s="13">
        <f>$B$7*(A832*AN$71+B832*AO$71+C832*AP$71+D832*AQ$71)+F832/100*$B$7*AS$71-$C$71</f>
        <v/>
      </c>
      <c r="N832" s="13">
        <f>SUMPRODUCT($H$24:$M$24,H832:M832)</f>
        <v/>
      </c>
      <c r="O832" s="14">
        <f>SQRT(SUMPRODUCT($H$24:$M$24,(H832:M832-N832)^2))</f>
        <v/>
      </c>
      <c r="P832" s="13">
        <f>MIN(H832:M832)</f>
        <v/>
      </c>
      <c r="Q832" s="13">
        <f>MAX(H832:M832)</f>
        <v/>
      </c>
      <c r="R832" s="27">
        <f>IF(G832,SUMPRODUCT(($G$76:$G$1505)*($N$76:$N$1505&gt;=N832)*($O$76:$O$1505&lt;=O832))=1,FALSE)</f>
        <v/>
      </c>
      <c r="S832" s="16">
        <f>IF(R832,ABS((O832-$AC$76)/MAX(0.0001,$AC$77-$AC$76)-(N832-$AC$78)/MAX(0.0001,$AC$79-$AC$78)),-1)</f>
        <v/>
      </c>
      <c r="T832" s="14">
        <f>IF(G832,O832,NA())</f>
        <v/>
      </c>
      <c r="U832" s="13">
        <f>IF(G832,N832,NA())</f>
        <v/>
      </c>
      <c r="V832" s="14">
        <f>IF(R832,O832,NA())</f>
        <v/>
      </c>
      <c r="W832" s="13">
        <f>IF(R832,N832,NA())</f>
        <v/>
      </c>
      <c r="X832" s="27">
        <f>IF(G832,P832,"")</f>
        <v/>
      </c>
      <c r="Y832" s="27">
        <f>IF(G832,N832,"")</f>
        <v/>
      </c>
      <c r="Z832" s="27">
        <f>IF(R832,O832,"")</f>
        <v/>
      </c>
      <c r="AA832" s="27">
        <f>IF(R832,N832,"")</f>
        <v/>
      </c>
    </row>
    <row r="833">
      <c r="A833" s="31" t="n">
        <v>0.2</v>
      </c>
      <c r="B833" s="31" t="n">
        <v>0.4</v>
      </c>
      <c r="C833" s="31" t="n">
        <v>0</v>
      </c>
      <c r="D833" s="31" t="n">
        <v>0.4</v>
      </c>
      <c r="E833" s="27" t="inlineStr">
        <is>
          <t>ON 20%/1M 40%/3M 40%</t>
        </is>
      </c>
      <c r="F833" s="27" t="n">
        <v>50</v>
      </c>
      <c r="G833" s="27">
        <f>A833*$B$7&gt;=$B$9</f>
        <v/>
      </c>
      <c r="H833" s="13">
        <f>$B$7*(A833*E$71+B833*F$71+C833*G$71+D833*H$71)+F833/100*$B$7*J$71-$C$71</f>
        <v/>
      </c>
      <c r="I833" s="13">
        <f>$B$7*(A833*L$71+B833*M$71+C833*N$71+D833*O$71)+F833/100*$B$7*Q$71-$C$71</f>
        <v/>
      </c>
      <c r="J833" s="13">
        <f>$B$7*(A833*S$71+B833*T$71+C833*U$71+D833*V$71)+F833/100*$B$7*X$71-$C$71</f>
        <v/>
      </c>
      <c r="K833" s="13">
        <f>$B$7*(A833*Z$71+B833*AA$71+C833*AB$71+D833*AC$71)+F833/100*$B$7*AE$71-$C$71</f>
        <v/>
      </c>
      <c r="L833" s="13">
        <f>$B$7*(A833*AG$71+B833*AH$71+C833*AI$71+D833*AJ$71)+F833/100*$B$7*AL$71-$C$71</f>
        <v/>
      </c>
      <c r="M833" s="13">
        <f>$B$7*(A833*AN$71+B833*AO$71+C833*AP$71+D833*AQ$71)+F833/100*$B$7*AS$71-$C$71</f>
        <v/>
      </c>
      <c r="N833" s="13">
        <f>SUMPRODUCT($H$24:$M$24,H833:M833)</f>
        <v/>
      </c>
      <c r="O833" s="14">
        <f>SQRT(SUMPRODUCT($H$24:$M$24,(H833:M833-N833)^2))</f>
        <v/>
      </c>
      <c r="P833" s="13">
        <f>MIN(H833:M833)</f>
        <v/>
      </c>
      <c r="Q833" s="13">
        <f>MAX(H833:M833)</f>
        <v/>
      </c>
      <c r="R833" s="27">
        <f>IF(G833,SUMPRODUCT(($G$76:$G$1505)*($N$76:$N$1505&gt;=N833)*($O$76:$O$1505&lt;=O833))=1,FALSE)</f>
        <v/>
      </c>
      <c r="S833" s="16">
        <f>IF(R833,ABS((O833-$AC$76)/MAX(0.0001,$AC$77-$AC$76)-(N833-$AC$78)/MAX(0.0001,$AC$79-$AC$78)),-1)</f>
        <v/>
      </c>
      <c r="T833" s="14">
        <f>IF(G833,O833,NA())</f>
        <v/>
      </c>
      <c r="U833" s="13">
        <f>IF(G833,N833,NA())</f>
        <v/>
      </c>
      <c r="V833" s="14">
        <f>IF(R833,O833,NA())</f>
        <v/>
      </c>
      <c r="W833" s="13">
        <f>IF(R833,N833,NA())</f>
        <v/>
      </c>
      <c r="X833" s="27">
        <f>IF(G833,P833,"")</f>
        <v/>
      </c>
      <c r="Y833" s="27">
        <f>IF(G833,N833,"")</f>
        <v/>
      </c>
      <c r="Z833" s="27">
        <f>IF(R833,O833,"")</f>
        <v/>
      </c>
      <c r="AA833" s="27">
        <f>IF(R833,N833,"")</f>
        <v/>
      </c>
    </row>
    <row r="834">
      <c r="A834" s="31" t="n">
        <v>0.2</v>
      </c>
      <c r="B834" s="31" t="n">
        <v>0.4</v>
      </c>
      <c r="C834" s="31" t="n">
        <v>0</v>
      </c>
      <c r="D834" s="31" t="n">
        <v>0.4</v>
      </c>
      <c r="E834" s="27" t="inlineStr">
        <is>
          <t>ON 20%/1M 40%/3M 40%</t>
        </is>
      </c>
      <c r="F834" s="27" t="n">
        <v>75</v>
      </c>
      <c r="G834" s="27">
        <f>A834*$B$7&gt;=$B$9</f>
        <v/>
      </c>
      <c r="H834" s="13">
        <f>$B$7*(A834*E$71+B834*F$71+C834*G$71+D834*H$71)+F834/100*$B$7*J$71-$C$71</f>
        <v/>
      </c>
      <c r="I834" s="13">
        <f>$B$7*(A834*L$71+B834*M$71+C834*N$71+D834*O$71)+F834/100*$B$7*Q$71-$C$71</f>
        <v/>
      </c>
      <c r="J834" s="13">
        <f>$B$7*(A834*S$71+B834*T$71+C834*U$71+D834*V$71)+F834/100*$B$7*X$71-$C$71</f>
        <v/>
      </c>
      <c r="K834" s="13">
        <f>$B$7*(A834*Z$71+B834*AA$71+C834*AB$71+D834*AC$71)+F834/100*$B$7*AE$71-$C$71</f>
        <v/>
      </c>
      <c r="L834" s="13">
        <f>$B$7*(A834*AG$71+B834*AH$71+C834*AI$71+D834*AJ$71)+F834/100*$B$7*AL$71-$C$71</f>
        <v/>
      </c>
      <c r="M834" s="13">
        <f>$B$7*(A834*AN$71+B834*AO$71+C834*AP$71+D834*AQ$71)+F834/100*$B$7*AS$71-$C$71</f>
        <v/>
      </c>
      <c r="N834" s="13">
        <f>SUMPRODUCT($H$24:$M$24,H834:M834)</f>
        <v/>
      </c>
      <c r="O834" s="14">
        <f>SQRT(SUMPRODUCT($H$24:$M$24,(H834:M834-N834)^2))</f>
        <v/>
      </c>
      <c r="P834" s="13">
        <f>MIN(H834:M834)</f>
        <v/>
      </c>
      <c r="Q834" s="13">
        <f>MAX(H834:M834)</f>
        <v/>
      </c>
      <c r="R834" s="27">
        <f>IF(G834,SUMPRODUCT(($G$76:$G$1505)*($N$76:$N$1505&gt;=N834)*($O$76:$O$1505&lt;=O834))=1,FALSE)</f>
        <v/>
      </c>
      <c r="S834" s="16">
        <f>IF(R834,ABS((O834-$AC$76)/MAX(0.0001,$AC$77-$AC$76)-(N834-$AC$78)/MAX(0.0001,$AC$79-$AC$78)),-1)</f>
        <v/>
      </c>
      <c r="T834" s="14">
        <f>IF(G834,O834,NA())</f>
        <v/>
      </c>
      <c r="U834" s="13">
        <f>IF(G834,N834,NA())</f>
        <v/>
      </c>
      <c r="V834" s="14">
        <f>IF(R834,O834,NA())</f>
        <v/>
      </c>
      <c r="W834" s="13">
        <f>IF(R834,N834,NA())</f>
        <v/>
      </c>
      <c r="X834" s="27">
        <f>IF(G834,P834,"")</f>
        <v/>
      </c>
      <c r="Y834" s="27">
        <f>IF(G834,N834,"")</f>
        <v/>
      </c>
      <c r="Z834" s="27">
        <f>IF(R834,O834,"")</f>
        <v/>
      </c>
      <c r="AA834" s="27">
        <f>IF(R834,N834,"")</f>
        <v/>
      </c>
    </row>
    <row r="835">
      <c r="A835" s="31" t="n">
        <v>0.2</v>
      </c>
      <c r="B835" s="31" t="n">
        <v>0.4</v>
      </c>
      <c r="C835" s="31" t="n">
        <v>0</v>
      </c>
      <c r="D835" s="31" t="n">
        <v>0.4</v>
      </c>
      <c r="E835" s="27" t="inlineStr">
        <is>
          <t>ON 20%/1M 40%/3M 40%</t>
        </is>
      </c>
      <c r="F835" s="27" t="n">
        <v>100</v>
      </c>
      <c r="G835" s="27">
        <f>A835*$B$7&gt;=$B$9</f>
        <v/>
      </c>
      <c r="H835" s="13">
        <f>$B$7*(A835*E$71+B835*F$71+C835*G$71+D835*H$71)+F835/100*$B$7*J$71-$C$71</f>
        <v/>
      </c>
      <c r="I835" s="13">
        <f>$B$7*(A835*L$71+B835*M$71+C835*N$71+D835*O$71)+F835/100*$B$7*Q$71-$C$71</f>
        <v/>
      </c>
      <c r="J835" s="13">
        <f>$B$7*(A835*S$71+B835*T$71+C835*U$71+D835*V$71)+F835/100*$B$7*X$71-$C$71</f>
        <v/>
      </c>
      <c r="K835" s="13">
        <f>$B$7*(A835*Z$71+B835*AA$71+C835*AB$71+D835*AC$71)+F835/100*$B$7*AE$71-$C$71</f>
        <v/>
      </c>
      <c r="L835" s="13">
        <f>$B$7*(A835*AG$71+B835*AH$71+C835*AI$71+D835*AJ$71)+F835/100*$B$7*AL$71-$C$71</f>
        <v/>
      </c>
      <c r="M835" s="13">
        <f>$B$7*(A835*AN$71+B835*AO$71+C835*AP$71+D835*AQ$71)+F835/100*$B$7*AS$71-$C$71</f>
        <v/>
      </c>
      <c r="N835" s="13">
        <f>SUMPRODUCT($H$24:$M$24,H835:M835)</f>
        <v/>
      </c>
      <c r="O835" s="14">
        <f>SQRT(SUMPRODUCT($H$24:$M$24,(H835:M835-N835)^2))</f>
        <v/>
      </c>
      <c r="P835" s="13">
        <f>MIN(H835:M835)</f>
        <v/>
      </c>
      <c r="Q835" s="13">
        <f>MAX(H835:M835)</f>
        <v/>
      </c>
      <c r="R835" s="27">
        <f>IF(G835,SUMPRODUCT(($G$76:$G$1505)*($N$76:$N$1505&gt;=N835)*($O$76:$O$1505&lt;=O835))=1,FALSE)</f>
        <v/>
      </c>
      <c r="S835" s="16">
        <f>IF(R835,ABS((O835-$AC$76)/MAX(0.0001,$AC$77-$AC$76)-(N835-$AC$78)/MAX(0.0001,$AC$79-$AC$78)),-1)</f>
        <v/>
      </c>
      <c r="T835" s="14">
        <f>IF(G835,O835,NA())</f>
        <v/>
      </c>
      <c r="U835" s="13">
        <f>IF(G835,N835,NA())</f>
        <v/>
      </c>
      <c r="V835" s="14">
        <f>IF(R835,O835,NA())</f>
        <v/>
      </c>
      <c r="W835" s="13">
        <f>IF(R835,N835,NA())</f>
        <v/>
      </c>
      <c r="X835" s="27">
        <f>IF(G835,P835,"")</f>
        <v/>
      </c>
      <c r="Y835" s="27">
        <f>IF(G835,N835,"")</f>
        <v/>
      </c>
      <c r="Z835" s="27">
        <f>IF(R835,O835,"")</f>
        <v/>
      </c>
      <c r="AA835" s="27">
        <f>IF(R835,N835,"")</f>
        <v/>
      </c>
    </row>
    <row r="836">
      <c r="A836" s="31" t="n">
        <v>0.2</v>
      </c>
      <c r="B836" s="31" t="n">
        <v>0.4</v>
      </c>
      <c r="C836" s="31" t="n">
        <v>0.1</v>
      </c>
      <c r="D836" s="31" t="n">
        <v>0.3</v>
      </c>
      <c r="E836" s="27" t="inlineStr">
        <is>
          <t>ON 20%/1M 40%/2M 10%/3M 30%</t>
        </is>
      </c>
      <c r="F836" s="27" t="n">
        <v>0</v>
      </c>
      <c r="G836" s="27">
        <f>A836*$B$7&gt;=$B$9</f>
        <v/>
      </c>
      <c r="H836" s="13">
        <f>$B$7*(A836*E$71+B836*F$71+C836*G$71+D836*H$71)+F836/100*$B$7*J$71-$C$71</f>
        <v/>
      </c>
      <c r="I836" s="13">
        <f>$B$7*(A836*L$71+B836*M$71+C836*N$71+D836*O$71)+F836/100*$B$7*Q$71-$C$71</f>
        <v/>
      </c>
      <c r="J836" s="13">
        <f>$B$7*(A836*S$71+B836*T$71+C836*U$71+D836*V$71)+F836/100*$B$7*X$71-$C$71</f>
        <v/>
      </c>
      <c r="K836" s="13">
        <f>$B$7*(A836*Z$71+B836*AA$71+C836*AB$71+D836*AC$71)+F836/100*$B$7*AE$71-$C$71</f>
        <v/>
      </c>
      <c r="L836" s="13">
        <f>$B$7*(A836*AG$71+B836*AH$71+C836*AI$71+D836*AJ$71)+F836/100*$B$7*AL$71-$C$71</f>
        <v/>
      </c>
      <c r="M836" s="13">
        <f>$B$7*(A836*AN$71+B836*AO$71+C836*AP$71+D836*AQ$71)+F836/100*$B$7*AS$71-$C$71</f>
        <v/>
      </c>
      <c r="N836" s="13">
        <f>SUMPRODUCT($H$24:$M$24,H836:M836)</f>
        <v/>
      </c>
      <c r="O836" s="14">
        <f>SQRT(SUMPRODUCT($H$24:$M$24,(H836:M836-N836)^2))</f>
        <v/>
      </c>
      <c r="P836" s="13">
        <f>MIN(H836:M836)</f>
        <v/>
      </c>
      <c r="Q836" s="13">
        <f>MAX(H836:M836)</f>
        <v/>
      </c>
      <c r="R836" s="27">
        <f>IF(G836,SUMPRODUCT(($G$76:$G$1505)*($N$76:$N$1505&gt;=N836)*($O$76:$O$1505&lt;=O836))=1,FALSE)</f>
        <v/>
      </c>
      <c r="S836" s="16">
        <f>IF(R836,ABS((O836-$AC$76)/MAX(0.0001,$AC$77-$AC$76)-(N836-$AC$78)/MAX(0.0001,$AC$79-$AC$78)),-1)</f>
        <v/>
      </c>
      <c r="T836" s="14">
        <f>IF(G836,O836,NA())</f>
        <v/>
      </c>
      <c r="U836" s="13">
        <f>IF(G836,N836,NA())</f>
        <v/>
      </c>
      <c r="V836" s="14">
        <f>IF(R836,O836,NA())</f>
        <v/>
      </c>
      <c r="W836" s="13">
        <f>IF(R836,N836,NA())</f>
        <v/>
      </c>
      <c r="X836" s="27">
        <f>IF(G836,P836,"")</f>
        <v/>
      </c>
      <c r="Y836" s="27">
        <f>IF(G836,N836,"")</f>
        <v/>
      </c>
      <c r="Z836" s="27">
        <f>IF(R836,O836,"")</f>
        <v/>
      </c>
      <c r="AA836" s="27">
        <f>IF(R836,N836,"")</f>
        <v/>
      </c>
    </row>
    <row r="837">
      <c r="A837" s="31" t="n">
        <v>0.2</v>
      </c>
      <c r="B837" s="31" t="n">
        <v>0.4</v>
      </c>
      <c r="C837" s="31" t="n">
        <v>0.1</v>
      </c>
      <c r="D837" s="31" t="n">
        <v>0.3</v>
      </c>
      <c r="E837" s="27" t="inlineStr">
        <is>
          <t>ON 20%/1M 40%/2M 10%/3M 30%</t>
        </is>
      </c>
      <c r="F837" s="27" t="n">
        <v>25</v>
      </c>
      <c r="G837" s="27">
        <f>A837*$B$7&gt;=$B$9</f>
        <v/>
      </c>
      <c r="H837" s="13">
        <f>$B$7*(A837*E$71+B837*F$71+C837*G$71+D837*H$71)+F837/100*$B$7*J$71-$C$71</f>
        <v/>
      </c>
      <c r="I837" s="13">
        <f>$B$7*(A837*L$71+B837*M$71+C837*N$71+D837*O$71)+F837/100*$B$7*Q$71-$C$71</f>
        <v/>
      </c>
      <c r="J837" s="13">
        <f>$B$7*(A837*S$71+B837*T$71+C837*U$71+D837*V$71)+F837/100*$B$7*X$71-$C$71</f>
        <v/>
      </c>
      <c r="K837" s="13">
        <f>$B$7*(A837*Z$71+B837*AA$71+C837*AB$71+D837*AC$71)+F837/100*$B$7*AE$71-$C$71</f>
        <v/>
      </c>
      <c r="L837" s="13">
        <f>$B$7*(A837*AG$71+B837*AH$71+C837*AI$71+D837*AJ$71)+F837/100*$B$7*AL$71-$C$71</f>
        <v/>
      </c>
      <c r="M837" s="13">
        <f>$B$7*(A837*AN$71+B837*AO$71+C837*AP$71+D837*AQ$71)+F837/100*$B$7*AS$71-$C$71</f>
        <v/>
      </c>
      <c r="N837" s="13">
        <f>SUMPRODUCT($H$24:$M$24,H837:M837)</f>
        <v/>
      </c>
      <c r="O837" s="14">
        <f>SQRT(SUMPRODUCT($H$24:$M$24,(H837:M837-N837)^2))</f>
        <v/>
      </c>
      <c r="P837" s="13">
        <f>MIN(H837:M837)</f>
        <v/>
      </c>
      <c r="Q837" s="13">
        <f>MAX(H837:M837)</f>
        <v/>
      </c>
      <c r="R837" s="27">
        <f>IF(G837,SUMPRODUCT(($G$76:$G$1505)*($N$76:$N$1505&gt;=N837)*($O$76:$O$1505&lt;=O837))=1,FALSE)</f>
        <v/>
      </c>
      <c r="S837" s="16">
        <f>IF(R837,ABS((O837-$AC$76)/MAX(0.0001,$AC$77-$AC$76)-(N837-$AC$78)/MAX(0.0001,$AC$79-$AC$78)),-1)</f>
        <v/>
      </c>
      <c r="T837" s="14">
        <f>IF(G837,O837,NA())</f>
        <v/>
      </c>
      <c r="U837" s="13">
        <f>IF(G837,N837,NA())</f>
        <v/>
      </c>
      <c r="V837" s="14">
        <f>IF(R837,O837,NA())</f>
        <v/>
      </c>
      <c r="W837" s="13">
        <f>IF(R837,N837,NA())</f>
        <v/>
      </c>
      <c r="X837" s="27">
        <f>IF(G837,P837,"")</f>
        <v/>
      </c>
      <c r="Y837" s="27">
        <f>IF(G837,N837,"")</f>
        <v/>
      </c>
      <c r="Z837" s="27">
        <f>IF(R837,O837,"")</f>
        <v/>
      </c>
      <c r="AA837" s="27">
        <f>IF(R837,N837,"")</f>
        <v/>
      </c>
    </row>
    <row r="838">
      <c r="A838" s="31" t="n">
        <v>0.2</v>
      </c>
      <c r="B838" s="31" t="n">
        <v>0.4</v>
      </c>
      <c r="C838" s="31" t="n">
        <v>0.1</v>
      </c>
      <c r="D838" s="31" t="n">
        <v>0.3</v>
      </c>
      <c r="E838" s="27" t="inlineStr">
        <is>
          <t>ON 20%/1M 40%/2M 10%/3M 30%</t>
        </is>
      </c>
      <c r="F838" s="27" t="n">
        <v>50</v>
      </c>
      <c r="G838" s="27">
        <f>A838*$B$7&gt;=$B$9</f>
        <v/>
      </c>
      <c r="H838" s="13">
        <f>$B$7*(A838*E$71+B838*F$71+C838*G$71+D838*H$71)+F838/100*$B$7*J$71-$C$71</f>
        <v/>
      </c>
      <c r="I838" s="13">
        <f>$B$7*(A838*L$71+B838*M$71+C838*N$71+D838*O$71)+F838/100*$B$7*Q$71-$C$71</f>
        <v/>
      </c>
      <c r="J838" s="13">
        <f>$B$7*(A838*S$71+B838*T$71+C838*U$71+D838*V$71)+F838/100*$B$7*X$71-$C$71</f>
        <v/>
      </c>
      <c r="K838" s="13">
        <f>$B$7*(A838*Z$71+B838*AA$71+C838*AB$71+D838*AC$71)+F838/100*$B$7*AE$71-$C$71</f>
        <v/>
      </c>
      <c r="L838" s="13">
        <f>$B$7*(A838*AG$71+B838*AH$71+C838*AI$71+D838*AJ$71)+F838/100*$B$7*AL$71-$C$71</f>
        <v/>
      </c>
      <c r="M838" s="13">
        <f>$B$7*(A838*AN$71+B838*AO$71+C838*AP$71+D838*AQ$71)+F838/100*$B$7*AS$71-$C$71</f>
        <v/>
      </c>
      <c r="N838" s="13">
        <f>SUMPRODUCT($H$24:$M$24,H838:M838)</f>
        <v/>
      </c>
      <c r="O838" s="14">
        <f>SQRT(SUMPRODUCT($H$24:$M$24,(H838:M838-N838)^2))</f>
        <v/>
      </c>
      <c r="P838" s="13">
        <f>MIN(H838:M838)</f>
        <v/>
      </c>
      <c r="Q838" s="13">
        <f>MAX(H838:M838)</f>
        <v/>
      </c>
      <c r="R838" s="27">
        <f>IF(G838,SUMPRODUCT(($G$76:$G$1505)*($N$76:$N$1505&gt;=N838)*($O$76:$O$1505&lt;=O838))=1,FALSE)</f>
        <v/>
      </c>
      <c r="S838" s="16">
        <f>IF(R838,ABS((O838-$AC$76)/MAX(0.0001,$AC$77-$AC$76)-(N838-$AC$78)/MAX(0.0001,$AC$79-$AC$78)),-1)</f>
        <v/>
      </c>
      <c r="T838" s="14">
        <f>IF(G838,O838,NA())</f>
        <v/>
      </c>
      <c r="U838" s="13">
        <f>IF(G838,N838,NA())</f>
        <v/>
      </c>
      <c r="V838" s="14">
        <f>IF(R838,O838,NA())</f>
        <v/>
      </c>
      <c r="W838" s="13">
        <f>IF(R838,N838,NA())</f>
        <v/>
      </c>
      <c r="X838" s="27">
        <f>IF(G838,P838,"")</f>
        <v/>
      </c>
      <c r="Y838" s="27">
        <f>IF(G838,N838,"")</f>
        <v/>
      </c>
      <c r="Z838" s="27">
        <f>IF(R838,O838,"")</f>
        <v/>
      </c>
      <c r="AA838" s="27">
        <f>IF(R838,N838,"")</f>
        <v/>
      </c>
    </row>
    <row r="839">
      <c r="A839" s="31" t="n">
        <v>0.2</v>
      </c>
      <c r="B839" s="31" t="n">
        <v>0.4</v>
      </c>
      <c r="C839" s="31" t="n">
        <v>0.1</v>
      </c>
      <c r="D839" s="31" t="n">
        <v>0.3</v>
      </c>
      <c r="E839" s="27" t="inlineStr">
        <is>
          <t>ON 20%/1M 40%/2M 10%/3M 30%</t>
        </is>
      </c>
      <c r="F839" s="27" t="n">
        <v>75</v>
      </c>
      <c r="G839" s="27">
        <f>A839*$B$7&gt;=$B$9</f>
        <v/>
      </c>
      <c r="H839" s="13">
        <f>$B$7*(A839*E$71+B839*F$71+C839*G$71+D839*H$71)+F839/100*$B$7*J$71-$C$71</f>
        <v/>
      </c>
      <c r="I839" s="13">
        <f>$B$7*(A839*L$71+B839*M$71+C839*N$71+D839*O$71)+F839/100*$B$7*Q$71-$C$71</f>
        <v/>
      </c>
      <c r="J839" s="13">
        <f>$B$7*(A839*S$71+B839*T$71+C839*U$71+D839*V$71)+F839/100*$B$7*X$71-$C$71</f>
        <v/>
      </c>
      <c r="K839" s="13">
        <f>$B$7*(A839*Z$71+B839*AA$71+C839*AB$71+D839*AC$71)+F839/100*$B$7*AE$71-$C$71</f>
        <v/>
      </c>
      <c r="L839" s="13">
        <f>$B$7*(A839*AG$71+B839*AH$71+C839*AI$71+D839*AJ$71)+F839/100*$B$7*AL$71-$C$71</f>
        <v/>
      </c>
      <c r="M839" s="13">
        <f>$B$7*(A839*AN$71+B839*AO$71+C839*AP$71+D839*AQ$71)+F839/100*$B$7*AS$71-$C$71</f>
        <v/>
      </c>
      <c r="N839" s="13">
        <f>SUMPRODUCT($H$24:$M$24,H839:M839)</f>
        <v/>
      </c>
      <c r="O839" s="14">
        <f>SQRT(SUMPRODUCT($H$24:$M$24,(H839:M839-N839)^2))</f>
        <v/>
      </c>
      <c r="P839" s="13">
        <f>MIN(H839:M839)</f>
        <v/>
      </c>
      <c r="Q839" s="13">
        <f>MAX(H839:M839)</f>
        <v/>
      </c>
      <c r="R839" s="27">
        <f>IF(G839,SUMPRODUCT(($G$76:$G$1505)*($N$76:$N$1505&gt;=N839)*($O$76:$O$1505&lt;=O839))=1,FALSE)</f>
        <v/>
      </c>
      <c r="S839" s="16">
        <f>IF(R839,ABS((O839-$AC$76)/MAX(0.0001,$AC$77-$AC$76)-(N839-$AC$78)/MAX(0.0001,$AC$79-$AC$78)),-1)</f>
        <v/>
      </c>
      <c r="T839" s="14">
        <f>IF(G839,O839,NA())</f>
        <v/>
      </c>
      <c r="U839" s="13">
        <f>IF(G839,N839,NA())</f>
        <v/>
      </c>
      <c r="V839" s="14">
        <f>IF(R839,O839,NA())</f>
        <v/>
      </c>
      <c r="W839" s="13">
        <f>IF(R839,N839,NA())</f>
        <v/>
      </c>
      <c r="X839" s="27">
        <f>IF(G839,P839,"")</f>
        <v/>
      </c>
      <c r="Y839" s="27">
        <f>IF(G839,N839,"")</f>
        <v/>
      </c>
      <c r="Z839" s="27">
        <f>IF(R839,O839,"")</f>
        <v/>
      </c>
      <c r="AA839" s="27">
        <f>IF(R839,N839,"")</f>
        <v/>
      </c>
    </row>
    <row r="840">
      <c r="A840" s="31" t="n">
        <v>0.2</v>
      </c>
      <c r="B840" s="31" t="n">
        <v>0.4</v>
      </c>
      <c r="C840" s="31" t="n">
        <v>0.1</v>
      </c>
      <c r="D840" s="31" t="n">
        <v>0.3</v>
      </c>
      <c r="E840" s="27" t="inlineStr">
        <is>
          <t>ON 20%/1M 40%/2M 10%/3M 30%</t>
        </is>
      </c>
      <c r="F840" s="27" t="n">
        <v>100</v>
      </c>
      <c r="G840" s="27">
        <f>A840*$B$7&gt;=$B$9</f>
        <v/>
      </c>
      <c r="H840" s="13">
        <f>$B$7*(A840*E$71+B840*F$71+C840*G$71+D840*H$71)+F840/100*$B$7*J$71-$C$71</f>
        <v/>
      </c>
      <c r="I840" s="13">
        <f>$B$7*(A840*L$71+B840*M$71+C840*N$71+D840*O$71)+F840/100*$B$7*Q$71-$C$71</f>
        <v/>
      </c>
      <c r="J840" s="13">
        <f>$B$7*(A840*S$71+B840*T$71+C840*U$71+D840*V$71)+F840/100*$B$7*X$71-$C$71</f>
        <v/>
      </c>
      <c r="K840" s="13">
        <f>$B$7*(A840*Z$71+B840*AA$71+C840*AB$71+D840*AC$71)+F840/100*$B$7*AE$71-$C$71</f>
        <v/>
      </c>
      <c r="L840" s="13">
        <f>$B$7*(A840*AG$71+B840*AH$71+C840*AI$71+D840*AJ$71)+F840/100*$B$7*AL$71-$C$71</f>
        <v/>
      </c>
      <c r="M840" s="13">
        <f>$B$7*(A840*AN$71+B840*AO$71+C840*AP$71+D840*AQ$71)+F840/100*$B$7*AS$71-$C$71</f>
        <v/>
      </c>
      <c r="N840" s="13">
        <f>SUMPRODUCT($H$24:$M$24,H840:M840)</f>
        <v/>
      </c>
      <c r="O840" s="14">
        <f>SQRT(SUMPRODUCT($H$24:$M$24,(H840:M840-N840)^2))</f>
        <v/>
      </c>
      <c r="P840" s="13">
        <f>MIN(H840:M840)</f>
        <v/>
      </c>
      <c r="Q840" s="13">
        <f>MAX(H840:M840)</f>
        <v/>
      </c>
      <c r="R840" s="27">
        <f>IF(G840,SUMPRODUCT(($G$76:$G$1505)*($N$76:$N$1505&gt;=N840)*($O$76:$O$1505&lt;=O840))=1,FALSE)</f>
        <v/>
      </c>
      <c r="S840" s="16">
        <f>IF(R840,ABS((O840-$AC$76)/MAX(0.0001,$AC$77-$AC$76)-(N840-$AC$78)/MAX(0.0001,$AC$79-$AC$78)),-1)</f>
        <v/>
      </c>
      <c r="T840" s="14">
        <f>IF(G840,O840,NA())</f>
        <v/>
      </c>
      <c r="U840" s="13">
        <f>IF(G840,N840,NA())</f>
        <v/>
      </c>
      <c r="V840" s="14">
        <f>IF(R840,O840,NA())</f>
        <v/>
      </c>
      <c r="W840" s="13">
        <f>IF(R840,N840,NA())</f>
        <v/>
      </c>
      <c r="X840" s="27">
        <f>IF(G840,P840,"")</f>
        <v/>
      </c>
      <c r="Y840" s="27">
        <f>IF(G840,N840,"")</f>
        <v/>
      </c>
      <c r="Z840" s="27">
        <f>IF(R840,O840,"")</f>
        <v/>
      </c>
      <c r="AA840" s="27">
        <f>IF(R840,N840,"")</f>
        <v/>
      </c>
    </row>
    <row r="841">
      <c r="A841" s="31" t="n">
        <v>0.2</v>
      </c>
      <c r="B841" s="31" t="n">
        <v>0.4</v>
      </c>
      <c r="C841" s="31" t="n">
        <v>0.2</v>
      </c>
      <c r="D841" s="31" t="n">
        <v>0.2</v>
      </c>
      <c r="E841" s="27" t="inlineStr">
        <is>
          <t>ON 20%/1M 40%/2M 20%/3M 20%</t>
        </is>
      </c>
      <c r="F841" s="27" t="n">
        <v>0</v>
      </c>
      <c r="G841" s="27">
        <f>A841*$B$7&gt;=$B$9</f>
        <v/>
      </c>
      <c r="H841" s="13">
        <f>$B$7*(A841*E$71+B841*F$71+C841*G$71+D841*H$71)+F841/100*$B$7*J$71-$C$71</f>
        <v/>
      </c>
      <c r="I841" s="13">
        <f>$B$7*(A841*L$71+B841*M$71+C841*N$71+D841*O$71)+F841/100*$B$7*Q$71-$C$71</f>
        <v/>
      </c>
      <c r="J841" s="13">
        <f>$B$7*(A841*S$71+B841*T$71+C841*U$71+D841*V$71)+F841/100*$B$7*X$71-$C$71</f>
        <v/>
      </c>
      <c r="K841" s="13">
        <f>$B$7*(A841*Z$71+B841*AA$71+C841*AB$71+D841*AC$71)+F841/100*$B$7*AE$71-$C$71</f>
        <v/>
      </c>
      <c r="L841" s="13">
        <f>$B$7*(A841*AG$71+B841*AH$71+C841*AI$71+D841*AJ$71)+F841/100*$B$7*AL$71-$C$71</f>
        <v/>
      </c>
      <c r="M841" s="13">
        <f>$B$7*(A841*AN$71+B841*AO$71+C841*AP$71+D841*AQ$71)+F841/100*$B$7*AS$71-$C$71</f>
        <v/>
      </c>
      <c r="N841" s="13">
        <f>SUMPRODUCT($H$24:$M$24,H841:M841)</f>
        <v/>
      </c>
      <c r="O841" s="14">
        <f>SQRT(SUMPRODUCT($H$24:$M$24,(H841:M841-N841)^2))</f>
        <v/>
      </c>
      <c r="P841" s="13">
        <f>MIN(H841:M841)</f>
        <v/>
      </c>
      <c r="Q841" s="13">
        <f>MAX(H841:M841)</f>
        <v/>
      </c>
      <c r="R841" s="27">
        <f>IF(G841,SUMPRODUCT(($G$76:$G$1505)*($N$76:$N$1505&gt;=N841)*($O$76:$O$1505&lt;=O841))=1,FALSE)</f>
        <v/>
      </c>
      <c r="S841" s="16">
        <f>IF(R841,ABS((O841-$AC$76)/MAX(0.0001,$AC$77-$AC$76)-(N841-$AC$78)/MAX(0.0001,$AC$79-$AC$78)),-1)</f>
        <v/>
      </c>
      <c r="T841" s="14">
        <f>IF(G841,O841,NA())</f>
        <v/>
      </c>
      <c r="U841" s="13">
        <f>IF(G841,N841,NA())</f>
        <v/>
      </c>
      <c r="V841" s="14">
        <f>IF(R841,O841,NA())</f>
        <v/>
      </c>
      <c r="W841" s="13">
        <f>IF(R841,N841,NA())</f>
        <v/>
      </c>
      <c r="X841" s="27">
        <f>IF(G841,P841,"")</f>
        <v/>
      </c>
      <c r="Y841" s="27">
        <f>IF(G841,N841,"")</f>
        <v/>
      </c>
      <c r="Z841" s="27">
        <f>IF(R841,O841,"")</f>
        <v/>
      </c>
      <c r="AA841" s="27">
        <f>IF(R841,N841,"")</f>
        <v/>
      </c>
    </row>
    <row r="842">
      <c r="A842" s="31" t="n">
        <v>0.2</v>
      </c>
      <c r="B842" s="31" t="n">
        <v>0.4</v>
      </c>
      <c r="C842" s="31" t="n">
        <v>0.2</v>
      </c>
      <c r="D842" s="31" t="n">
        <v>0.2</v>
      </c>
      <c r="E842" s="27" t="inlineStr">
        <is>
          <t>ON 20%/1M 40%/2M 20%/3M 20%</t>
        </is>
      </c>
      <c r="F842" s="27" t="n">
        <v>25</v>
      </c>
      <c r="G842" s="27">
        <f>A842*$B$7&gt;=$B$9</f>
        <v/>
      </c>
      <c r="H842" s="13">
        <f>$B$7*(A842*E$71+B842*F$71+C842*G$71+D842*H$71)+F842/100*$B$7*J$71-$C$71</f>
        <v/>
      </c>
      <c r="I842" s="13">
        <f>$B$7*(A842*L$71+B842*M$71+C842*N$71+D842*O$71)+F842/100*$B$7*Q$71-$C$71</f>
        <v/>
      </c>
      <c r="J842" s="13">
        <f>$B$7*(A842*S$71+B842*T$71+C842*U$71+D842*V$71)+F842/100*$B$7*X$71-$C$71</f>
        <v/>
      </c>
      <c r="K842" s="13">
        <f>$B$7*(A842*Z$71+B842*AA$71+C842*AB$71+D842*AC$71)+F842/100*$B$7*AE$71-$C$71</f>
        <v/>
      </c>
      <c r="L842" s="13">
        <f>$B$7*(A842*AG$71+B842*AH$71+C842*AI$71+D842*AJ$71)+F842/100*$B$7*AL$71-$C$71</f>
        <v/>
      </c>
      <c r="M842" s="13">
        <f>$B$7*(A842*AN$71+B842*AO$71+C842*AP$71+D842*AQ$71)+F842/100*$B$7*AS$71-$C$71</f>
        <v/>
      </c>
      <c r="N842" s="13">
        <f>SUMPRODUCT($H$24:$M$24,H842:M842)</f>
        <v/>
      </c>
      <c r="O842" s="14">
        <f>SQRT(SUMPRODUCT($H$24:$M$24,(H842:M842-N842)^2))</f>
        <v/>
      </c>
      <c r="P842" s="13">
        <f>MIN(H842:M842)</f>
        <v/>
      </c>
      <c r="Q842" s="13">
        <f>MAX(H842:M842)</f>
        <v/>
      </c>
      <c r="R842" s="27">
        <f>IF(G842,SUMPRODUCT(($G$76:$G$1505)*($N$76:$N$1505&gt;=N842)*($O$76:$O$1505&lt;=O842))=1,FALSE)</f>
        <v/>
      </c>
      <c r="S842" s="16">
        <f>IF(R842,ABS((O842-$AC$76)/MAX(0.0001,$AC$77-$AC$76)-(N842-$AC$78)/MAX(0.0001,$AC$79-$AC$78)),-1)</f>
        <v/>
      </c>
      <c r="T842" s="14">
        <f>IF(G842,O842,NA())</f>
        <v/>
      </c>
      <c r="U842" s="13">
        <f>IF(G842,N842,NA())</f>
        <v/>
      </c>
      <c r="V842" s="14">
        <f>IF(R842,O842,NA())</f>
        <v/>
      </c>
      <c r="W842" s="13">
        <f>IF(R842,N842,NA())</f>
        <v/>
      </c>
      <c r="X842" s="27">
        <f>IF(G842,P842,"")</f>
        <v/>
      </c>
      <c r="Y842" s="27">
        <f>IF(G842,N842,"")</f>
        <v/>
      </c>
      <c r="Z842" s="27">
        <f>IF(R842,O842,"")</f>
        <v/>
      </c>
      <c r="AA842" s="27">
        <f>IF(R842,N842,"")</f>
        <v/>
      </c>
    </row>
    <row r="843">
      <c r="A843" s="31" t="n">
        <v>0.2</v>
      </c>
      <c r="B843" s="31" t="n">
        <v>0.4</v>
      </c>
      <c r="C843" s="31" t="n">
        <v>0.2</v>
      </c>
      <c r="D843" s="31" t="n">
        <v>0.2</v>
      </c>
      <c r="E843" s="27" t="inlineStr">
        <is>
          <t>ON 20%/1M 40%/2M 20%/3M 20%</t>
        </is>
      </c>
      <c r="F843" s="27" t="n">
        <v>50</v>
      </c>
      <c r="G843" s="27">
        <f>A843*$B$7&gt;=$B$9</f>
        <v/>
      </c>
      <c r="H843" s="13">
        <f>$B$7*(A843*E$71+B843*F$71+C843*G$71+D843*H$71)+F843/100*$B$7*J$71-$C$71</f>
        <v/>
      </c>
      <c r="I843" s="13">
        <f>$B$7*(A843*L$71+B843*M$71+C843*N$71+D843*O$71)+F843/100*$B$7*Q$71-$C$71</f>
        <v/>
      </c>
      <c r="J843" s="13">
        <f>$B$7*(A843*S$71+B843*T$71+C843*U$71+D843*V$71)+F843/100*$B$7*X$71-$C$71</f>
        <v/>
      </c>
      <c r="K843" s="13">
        <f>$B$7*(A843*Z$71+B843*AA$71+C843*AB$71+D843*AC$71)+F843/100*$B$7*AE$71-$C$71</f>
        <v/>
      </c>
      <c r="L843" s="13">
        <f>$B$7*(A843*AG$71+B843*AH$71+C843*AI$71+D843*AJ$71)+F843/100*$B$7*AL$71-$C$71</f>
        <v/>
      </c>
      <c r="M843" s="13">
        <f>$B$7*(A843*AN$71+B843*AO$71+C843*AP$71+D843*AQ$71)+F843/100*$B$7*AS$71-$C$71</f>
        <v/>
      </c>
      <c r="N843" s="13">
        <f>SUMPRODUCT($H$24:$M$24,H843:M843)</f>
        <v/>
      </c>
      <c r="O843" s="14">
        <f>SQRT(SUMPRODUCT($H$24:$M$24,(H843:M843-N843)^2))</f>
        <v/>
      </c>
      <c r="P843" s="13">
        <f>MIN(H843:M843)</f>
        <v/>
      </c>
      <c r="Q843" s="13">
        <f>MAX(H843:M843)</f>
        <v/>
      </c>
      <c r="R843" s="27">
        <f>IF(G843,SUMPRODUCT(($G$76:$G$1505)*($N$76:$N$1505&gt;=N843)*($O$76:$O$1505&lt;=O843))=1,FALSE)</f>
        <v/>
      </c>
      <c r="S843" s="16">
        <f>IF(R843,ABS((O843-$AC$76)/MAX(0.0001,$AC$77-$AC$76)-(N843-$AC$78)/MAX(0.0001,$AC$79-$AC$78)),-1)</f>
        <v/>
      </c>
      <c r="T843" s="14">
        <f>IF(G843,O843,NA())</f>
        <v/>
      </c>
      <c r="U843" s="13">
        <f>IF(G843,N843,NA())</f>
        <v/>
      </c>
      <c r="V843" s="14">
        <f>IF(R843,O843,NA())</f>
        <v/>
      </c>
      <c r="W843" s="13">
        <f>IF(R843,N843,NA())</f>
        <v/>
      </c>
      <c r="X843" s="27">
        <f>IF(G843,P843,"")</f>
        <v/>
      </c>
      <c r="Y843" s="27">
        <f>IF(G843,N843,"")</f>
        <v/>
      </c>
      <c r="Z843" s="27">
        <f>IF(R843,O843,"")</f>
        <v/>
      </c>
      <c r="AA843" s="27">
        <f>IF(R843,N843,"")</f>
        <v/>
      </c>
    </row>
    <row r="844">
      <c r="A844" s="31" t="n">
        <v>0.2</v>
      </c>
      <c r="B844" s="31" t="n">
        <v>0.4</v>
      </c>
      <c r="C844" s="31" t="n">
        <v>0.2</v>
      </c>
      <c r="D844" s="31" t="n">
        <v>0.2</v>
      </c>
      <c r="E844" s="27" t="inlineStr">
        <is>
          <t>ON 20%/1M 40%/2M 20%/3M 20%</t>
        </is>
      </c>
      <c r="F844" s="27" t="n">
        <v>75</v>
      </c>
      <c r="G844" s="27">
        <f>A844*$B$7&gt;=$B$9</f>
        <v/>
      </c>
      <c r="H844" s="13">
        <f>$B$7*(A844*E$71+B844*F$71+C844*G$71+D844*H$71)+F844/100*$B$7*J$71-$C$71</f>
        <v/>
      </c>
      <c r="I844" s="13">
        <f>$B$7*(A844*L$71+B844*M$71+C844*N$71+D844*O$71)+F844/100*$B$7*Q$71-$C$71</f>
        <v/>
      </c>
      <c r="J844" s="13">
        <f>$B$7*(A844*S$71+B844*T$71+C844*U$71+D844*V$71)+F844/100*$B$7*X$71-$C$71</f>
        <v/>
      </c>
      <c r="K844" s="13">
        <f>$B$7*(A844*Z$71+B844*AA$71+C844*AB$71+D844*AC$71)+F844/100*$B$7*AE$71-$C$71</f>
        <v/>
      </c>
      <c r="L844" s="13">
        <f>$B$7*(A844*AG$71+B844*AH$71+C844*AI$71+D844*AJ$71)+F844/100*$B$7*AL$71-$C$71</f>
        <v/>
      </c>
      <c r="M844" s="13">
        <f>$B$7*(A844*AN$71+B844*AO$71+C844*AP$71+D844*AQ$71)+F844/100*$B$7*AS$71-$C$71</f>
        <v/>
      </c>
      <c r="N844" s="13">
        <f>SUMPRODUCT($H$24:$M$24,H844:M844)</f>
        <v/>
      </c>
      <c r="O844" s="14">
        <f>SQRT(SUMPRODUCT($H$24:$M$24,(H844:M844-N844)^2))</f>
        <v/>
      </c>
      <c r="P844" s="13">
        <f>MIN(H844:M844)</f>
        <v/>
      </c>
      <c r="Q844" s="13">
        <f>MAX(H844:M844)</f>
        <v/>
      </c>
      <c r="R844" s="27">
        <f>IF(G844,SUMPRODUCT(($G$76:$G$1505)*($N$76:$N$1505&gt;=N844)*($O$76:$O$1505&lt;=O844))=1,FALSE)</f>
        <v/>
      </c>
      <c r="S844" s="16">
        <f>IF(R844,ABS((O844-$AC$76)/MAX(0.0001,$AC$77-$AC$76)-(N844-$AC$78)/MAX(0.0001,$AC$79-$AC$78)),-1)</f>
        <v/>
      </c>
      <c r="T844" s="14">
        <f>IF(G844,O844,NA())</f>
        <v/>
      </c>
      <c r="U844" s="13">
        <f>IF(G844,N844,NA())</f>
        <v/>
      </c>
      <c r="V844" s="14">
        <f>IF(R844,O844,NA())</f>
        <v/>
      </c>
      <c r="W844" s="13">
        <f>IF(R844,N844,NA())</f>
        <v/>
      </c>
      <c r="X844" s="27">
        <f>IF(G844,P844,"")</f>
        <v/>
      </c>
      <c r="Y844" s="27">
        <f>IF(G844,N844,"")</f>
        <v/>
      </c>
      <c r="Z844" s="27">
        <f>IF(R844,O844,"")</f>
        <v/>
      </c>
      <c r="AA844" s="27">
        <f>IF(R844,N844,"")</f>
        <v/>
      </c>
    </row>
    <row r="845">
      <c r="A845" s="31" t="n">
        <v>0.2</v>
      </c>
      <c r="B845" s="31" t="n">
        <v>0.4</v>
      </c>
      <c r="C845" s="31" t="n">
        <v>0.2</v>
      </c>
      <c r="D845" s="31" t="n">
        <v>0.2</v>
      </c>
      <c r="E845" s="27" t="inlineStr">
        <is>
          <t>ON 20%/1M 40%/2M 20%/3M 20%</t>
        </is>
      </c>
      <c r="F845" s="27" t="n">
        <v>100</v>
      </c>
      <c r="G845" s="27">
        <f>A845*$B$7&gt;=$B$9</f>
        <v/>
      </c>
      <c r="H845" s="13">
        <f>$B$7*(A845*E$71+B845*F$71+C845*G$71+D845*H$71)+F845/100*$B$7*J$71-$C$71</f>
        <v/>
      </c>
      <c r="I845" s="13">
        <f>$B$7*(A845*L$71+B845*M$71+C845*N$71+D845*O$71)+F845/100*$B$7*Q$71-$C$71</f>
        <v/>
      </c>
      <c r="J845" s="13">
        <f>$B$7*(A845*S$71+B845*T$71+C845*U$71+D845*V$71)+F845/100*$B$7*X$71-$C$71</f>
        <v/>
      </c>
      <c r="K845" s="13">
        <f>$B$7*(A845*Z$71+B845*AA$71+C845*AB$71+D845*AC$71)+F845/100*$B$7*AE$71-$C$71</f>
        <v/>
      </c>
      <c r="L845" s="13">
        <f>$B$7*(A845*AG$71+B845*AH$71+C845*AI$71+D845*AJ$71)+F845/100*$B$7*AL$71-$C$71</f>
        <v/>
      </c>
      <c r="M845" s="13">
        <f>$B$7*(A845*AN$71+B845*AO$71+C845*AP$71+D845*AQ$71)+F845/100*$B$7*AS$71-$C$71</f>
        <v/>
      </c>
      <c r="N845" s="13">
        <f>SUMPRODUCT($H$24:$M$24,H845:M845)</f>
        <v/>
      </c>
      <c r="O845" s="14">
        <f>SQRT(SUMPRODUCT($H$24:$M$24,(H845:M845-N845)^2))</f>
        <v/>
      </c>
      <c r="P845" s="13">
        <f>MIN(H845:M845)</f>
        <v/>
      </c>
      <c r="Q845" s="13">
        <f>MAX(H845:M845)</f>
        <v/>
      </c>
      <c r="R845" s="27">
        <f>IF(G845,SUMPRODUCT(($G$76:$G$1505)*($N$76:$N$1505&gt;=N845)*($O$76:$O$1505&lt;=O845))=1,FALSE)</f>
        <v/>
      </c>
      <c r="S845" s="16">
        <f>IF(R845,ABS((O845-$AC$76)/MAX(0.0001,$AC$77-$AC$76)-(N845-$AC$78)/MAX(0.0001,$AC$79-$AC$78)),-1)</f>
        <v/>
      </c>
      <c r="T845" s="14">
        <f>IF(G845,O845,NA())</f>
        <v/>
      </c>
      <c r="U845" s="13">
        <f>IF(G845,N845,NA())</f>
        <v/>
      </c>
      <c r="V845" s="14">
        <f>IF(R845,O845,NA())</f>
        <v/>
      </c>
      <c r="W845" s="13">
        <f>IF(R845,N845,NA())</f>
        <v/>
      </c>
      <c r="X845" s="27">
        <f>IF(G845,P845,"")</f>
        <v/>
      </c>
      <c r="Y845" s="27">
        <f>IF(G845,N845,"")</f>
        <v/>
      </c>
      <c r="Z845" s="27">
        <f>IF(R845,O845,"")</f>
        <v/>
      </c>
      <c r="AA845" s="27">
        <f>IF(R845,N845,"")</f>
        <v/>
      </c>
    </row>
    <row r="846">
      <c r="A846" s="31" t="n">
        <v>0.2</v>
      </c>
      <c r="B846" s="31" t="n">
        <v>0.4</v>
      </c>
      <c r="C846" s="31" t="n">
        <v>0.3</v>
      </c>
      <c r="D846" s="31" t="n">
        <v>0.1</v>
      </c>
      <c r="E846" s="27" t="inlineStr">
        <is>
          <t>ON 20%/1M 40%/2M 30%/3M 10%</t>
        </is>
      </c>
      <c r="F846" s="27" t="n">
        <v>0</v>
      </c>
      <c r="G846" s="27">
        <f>A846*$B$7&gt;=$B$9</f>
        <v/>
      </c>
      <c r="H846" s="13">
        <f>$B$7*(A846*E$71+B846*F$71+C846*G$71+D846*H$71)+F846/100*$B$7*J$71-$C$71</f>
        <v/>
      </c>
      <c r="I846" s="13">
        <f>$B$7*(A846*L$71+B846*M$71+C846*N$71+D846*O$71)+F846/100*$B$7*Q$71-$C$71</f>
        <v/>
      </c>
      <c r="J846" s="13">
        <f>$B$7*(A846*S$71+B846*T$71+C846*U$71+D846*V$71)+F846/100*$B$7*X$71-$C$71</f>
        <v/>
      </c>
      <c r="K846" s="13">
        <f>$B$7*(A846*Z$71+B846*AA$71+C846*AB$71+D846*AC$71)+F846/100*$B$7*AE$71-$C$71</f>
        <v/>
      </c>
      <c r="L846" s="13">
        <f>$B$7*(A846*AG$71+B846*AH$71+C846*AI$71+D846*AJ$71)+F846/100*$B$7*AL$71-$C$71</f>
        <v/>
      </c>
      <c r="M846" s="13">
        <f>$B$7*(A846*AN$71+B846*AO$71+C846*AP$71+D846*AQ$71)+F846/100*$B$7*AS$71-$C$71</f>
        <v/>
      </c>
      <c r="N846" s="13">
        <f>SUMPRODUCT($H$24:$M$24,H846:M846)</f>
        <v/>
      </c>
      <c r="O846" s="14">
        <f>SQRT(SUMPRODUCT($H$24:$M$24,(H846:M846-N846)^2))</f>
        <v/>
      </c>
      <c r="P846" s="13">
        <f>MIN(H846:M846)</f>
        <v/>
      </c>
      <c r="Q846" s="13">
        <f>MAX(H846:M846)</f>
        <v/>
      </c>
      <c r="R846" s="27">
        <f>IF(G846,SUMPRODUCT(($G$76:$G$1505)*($N$76:$N$1505&gt;=N846)*($O$76:$O$1505&lt;=O846))=1,FALSE)</f>
        <v/>
      </c>
      <c r="S846" s="16">
        <f>IF(R846,ABS((O846-$AC$76)/MAX(0.0001,$AC$77-$AC$76)-(N846-$AC$78)/MAX(0.0001,$AC$79-$AC$78)),-1)</f>
        <v/>
      </c>
      <c r="T846" s="14">
        <f>IF(G846,O846,NA())</f>
        <v/>
      </c>
      <c r="U846" s="13">
        <f>IF(G846,N846,NA())</f>
        <v/>
      </c>
      <c r="V846" s="14">
        <f>IF(R846,O846,NA())</f>
        <v/>
      </c>
      <c r="W846" s="13">
        <f>IF(R846,N846,NA())</f>
        <v/>
      </c>
      <c r="X846" s="27">
        <f>IF(G846,P846,"")</f>
        <v/>
      </c>
      <c r="Y846" s="27">
        <f>IF(G846,N846,"")</f>
        <v/>
      </c>
      <c r="Z846" s="27">
        <f>IF(R846,O846,"")</f>
        <v/>
      </c>
      <c r="AA846" s="27">
        <f>IF(R846,N846,"")</f>
        <v/>
      </c>
    </row>
    <row r="847">
      <c r="A847" s="31" t="n">
        <v>0.2</v>
      </c>
      <c r="B847" s="31" t="n">
        <v>0.4</v>
      </c>
      <c r="C847" s="31" t="n">
        <v>0.3</v>
      </c>
      <c r="D847" s="31" t="n">
        <v>0.1</v>
      </c>
      <c r="E847" s="27" t="inlineStr">
        <is>
          <t>ON 20%/1M 40%/2M 30%/3M 10%</t>
        </is>
      </c>
      <c r="F847" s="27" t="n">
        <v>25</v>
      </c>
      <c r="G847" s="27">
        <f>A847*$B$7&gt;=$B$9</f>
        <v/>
      </c>
      <c r="H847" s="13">
        <f>$B$7*(A847*E$71+B847*F$71+C847*G$71+D847*H$71)+F847/100*$B$7*J$71-$C$71</f>
        <v/>
      </c>
      <c r="I847" s="13">
        <f>$B$7*(A847*L$71+B847*M$71+C847*N$71+D847*O$71)+F847/100*$B$7*Q$71-$C$71</f>
        <v/>
      </c>
      <c r="J847" s="13">
        <f>$B$7*(A847*S$71+B847*T$71+C847*U$71+D847*V$71)+F847/100*$B$7*X$71-$C$71</f>
        <v/>
      </c>
      <c r="K847" s="13">
        <f>$B$7*(A847*Z$71+B847*AA$71+C847*AB$71+D847*AC$71)+F847/100*$B$7*AE$71-$C$71</f>
        <v/>
      </c>
      <c r="L847" s="13">
        <f>$B$7*(A847*AG$71+B847*AH$71+C847*AI$71+D847*AJ$71)+F847/100*$B$7*AL$71-$C$71</f>
        <v/>
      </c>
      <c r="M847" s="13">
        <f>$B$7*(A847*AN$71+B847*AO$71+C847*AP$71+D847*AQ$71)+F847/100*$B$7*AS$71-$C$71</f>
        <v/>
      </c>
      <c r="N847" s="13">
        <f>SUMPRODUCT($H$24:$M$24,H847:M847)</f>
        <v/>
      </c>
      <c r="O847" s="14">
        <f>SQRT(SUMPRODUCT($H$24:$M$24,(H847:M847-N847)^2))</f>
        <v/>
      </c>
      <c r="P847" s="13">
        <f>MIN(H847:M847)</f>
        <v/>
      </c>
      <c r="Q847" s="13">
        <f>MAX(H847:M847)</f>
        <v/>
      </c>
      <c r="R847" s="27">
        <f>IF(G847,SUMPRODUCT(($G$76:$G$1505)*($N$76:$N$1505&gt;=N847)*($O$76:$O$1505&lt;=O847))=1,FALSE)</f>
        <v/>
      </c>
      <c r="S847" s="16">
        <f>IF(R847,ABS((O847-$AC$76)/MAX(0.0001,$AC$77-$AC$76)-(N847-$AC$78)/MAX(0.0001,$AC$79-$AC$78)),-1)</f>
        <v/>
      </c>
      <c r="T847" s="14">
        <f>IF(G847,O847,NA())</f>
        <v/>
      </c>
      <c r="U847" s="13">
        <f>IF(G847,N847,NA())</f>
        <v/>
      </c>
      <c r="V847" s="14">
        <f>IF(R847,O847,NA())</f>
        <v/>
      </c>
      <c r="W847" s="13">
        <f>IF(R847,N847,NA())</f>
        <v/>
      </c>
      <c r="X847" s="27">
        <f>IF(G847,P847,"")</f>
        <v/>
      </c>
      <c r="Y847" s="27">
        <f>IF(G847,N847,"")</f>
        <v/>
      </c>
      <c r="Z847" s="27">
        <f>IF(R847,O847,"")</f>
        <v/>
      </c>
      <c r="AA847" s="27">
        <f>IF(R847,N847,"")</f>
        <v/>
      </c>
    </row>
    <row r="848">
      <c r="A848" s="31" t="n">
        <v>0.2</v>
      </c>
      <c r="B848" s="31" t="n">
        <v>0.4</v>
      </c>
      <c r="C848" s="31" t="n">
        <v>0.3</v>
      </c>
      <c r="D848" s="31" t="n">
        <v>0.1</v>
      </c>
      <c r="E848" s="27" t="inlineStr">
        <is>
          <t>ON 20%/1M 40%/2M 30%/3M 10%</t>
        </is>
      </c>
      <c r="F848" s="27" t="n">
        <v>50</v>
      </c>
      <c r="G848" s="27">
        <f>A848*$B$7&gt;=$B$9</f>
        <v/>
      </c>
      <c r="H848" s="13">
        <f>$B$7*(A848*E$71+B848*F$71+C848*G$71+D848*H$71)+F848/100*$B$7*J$71-$C$71</f>
        <v/>
      </c>
      <c r="I848" s="13">
        <f>$B$7*(A848*L$71+B848*M$71+C848*N$71+D848*O$71)+F848/100*$B$7*Q$71-$C$71</f>
        <v/>
      </c>
      <c r="J848" s="13">
        <f>$B$7*(A848*S$71+B848*T$71+C848*U$71+D848*V$71)+F848/100*$B$7*X$71-$C$71</f>
        <v/>
      </c>
      <c r="K848" s="13">
        <f>$B$7*(A848*Z$71+B848*AA$71+C848*AB$71+D848*AC$71)+F848/100*$B$7*AE$71-$C$71</f>
        <v/>
      </c>
      <c r="L848" s="13">
        <f>$B$7*(A848*AG$71+B848*AH$71+C848*AI$71+D848*AJ$71)+F848/100*$B$7*AL$71-$C$71</f>
        <v/>
      </c>
      <c r="M848" s="13">
        <f>$B$7*(A848*AN$71+B848*AO$71+C848*AP$71+D848*AQ$71)+F848/100*$B$7*AS$71-$C$71</f>
        <v/>
      </c>
      <c r="N848" s="13">
        <f>SUMPRODUCT($H$24:$M$24,H848:M848)</f>
        <v/>
      </c>
      <c r="O848" s="14">
        <f>SQRT(SUMPRODUCT($H$24:$M$24,(H848:M848-N848)^2))</f>
        <v/>
      </c>
      <c r="P848" s="13">
        <f>MIN(H848:M848)</f>
        <v/>
      </c>
      <c r="Q848" s="13">
        <f>MAX(H848:M848)</f>
        <v/>
      </c>
      <c r="R848" s="27">
        <f>IF(G848,SUMPRODUCT(($G$76:$G$1505)*($N$76:$N$1505&gt;=N848)*($O$76:$O$1505&lt;=O848))=1,FALSE)</f>
        <v/>
      </c>
      <c r="S848" s="16">
        <f>IF(R848,ABS((O848-$AC$76)/MAX(0.0001,$AC$77-$AC$76)-(N848-$AC$78)/MAX(0.0001,$AC$79-$AC$78)),-1)</f>
        <v/>
      </c>
      <c r="T848" s="14">
        <f>IF(G848,O848,NA())</f>
        <v/>
      </c>
      <c r="U848" s="13">
        <f>IF(G848,N848,NA())</f>
        <v/>
      </c>
      <c r="V848" s="14">
        <f>IF(R848,O848,NA())</f>
        <v/>
      </c>
      <c r="W848" s="13">
        <f>IF(R848,N848,NA())</f>
        <v/>
      </c>
      <c r="X848" s="27">
        <f>IF(G848,P848,"")</f>
        <v/>
      </c>
      <c r="Y848" s="27">
        <f>IF(G848,N848,"")</f>
        <v/>
      </c>
      <c r="Z848" s="27">
        <f>IF(R848,O848,"")</f>
        <v/>
      </c>
      <c r="AA848" s="27">
        <f>IF(R848,N848,"")</f>
        <v/>
      </c>
    </row>
    <row r="849">
      <c r="A849" s="31" t="n">
        <v>0.2</v>
      </c>
      <c r="B849" s="31" t="n">
        <v>0.4</v>
      </c>
      <c r="C849" s="31" t="n">
        <v>0.3</v>
      </c>
      <c r="D849" s="31" t="n">
        <v>0.1</v>
      </c>
      <c r="E849" s="27" t="inlineStr">
        <is>
          <t>ON 20%/1M 40%/2M 30%/3M 10%</t>
        </is>
      </c>
      <c r="F849" s="27" t="n">
        <v>75</v>
      </c>
      <c r="G849" s="27">
        <f>A849*$B$7&gt;=$B$9</f>
        <v/>
      </c>
      <c r="H849" s="13">
        <f>$B$7*(A849*E$71+B849*F$71+C849*G$71+D849*H$71)+F849/100*$B$7*J$71-$C$71</f>
        <v/>
      </c>
      <c r="I849" s="13">
        <f>$B$7*(A849*L$71+B849*M$71+C849*N$71+D849*O$71)+F849/100*$B$7*Q$71-$C$71</f>
        <v/>
      </c>
      <c r="J849" s="13">
        <f>$B$7*(A849*S$71+B849*T$71+C849*U$71+D849*V$71)+F849/100*$B$7*X$71-$C$71</f>
        <v/>
      </c>
      <c r="K849" s="13">
        <f>$B$7*(A849*Z$71+B849*AA$71+C849*AB$71+D849*AC$71)+F849/100*$B$7*AE$71-$C$71</f>
        <v/>
      </c>
      <c r="L849" s="13">
        <f>$B$7*(A849*AG$71+B849*AH$71+C849*AI$71+D849*AJ$71)+F849/100*$B$7*AL$71-$C$71</f>
        <v/>
      </c>
      <c r="M849" s="13">
        <f>$B$7*(A849*AN$71+B849*AO$71+C849*AP$71+D849*AQ$71)+F849/100*$B$7*AS$71-$C$71</f>
        <v/>
      </c>
      <c r="N849" s="13">
        <f>SUMPRODUCT($H$24:$M$24,H849:M849)</f>
        <v/>
      </c>
      <c r="O849" s="14">
        <f>SQRT(SUMPRODUCT($H$24:$M$24,(H849:M849-N849)^2))</f>
        <v/>
      </c>
      <c r="P849" s="13">
        <f>MIN(H849:M849)</f>
        <v/>
      </c>
      <c r="Q849" s="13">
        <f>MAX(H849:M849)</f>
        <v/>
      </c>
      <c r="R849" s="27">
        <f>IF(G849,SUMPRODUCT(($G$76:$G$1505)*($N$76:$N$1505&gt;=N849)*($O$76:$O$1505&lt;=O849))=1,FALSE)</f>
        <v/>
      </c>
      <c r="S849" s="16">
        <f>IF(R849,ABS((O849-$AC$76)/MAX(0.0001,$AC$77-$AC$76)-(N849-$AC$78)/MAX(0.0001,$AC$79-$AC$78)),-1)</f>
        <v/>
      </c>
      <c r="T849" s="14">
        <f>IF(G849,O849,NA())</f>
        <v/>
      </c>
      <c r="U849" s="13">
        <f>IF(G849,N849,NA())</f>
        <v/>
      </c>
      <c r="V849" s="14">
        <f>IF(R849,O849,NA())</f>
        <v/>
      </c>
      <c r="W849" s="13">
        <f>IF(R849,N849,NA())</f>
        <v/>
      </c>
      <c r="X849" s="27">
        <f>IF(G849,P849,"")</f>
        <v/>
      </c>
      <c r="Y849" s="27">
        <f>IF(G849,N849,"")</f>
        <v/>
      </c>
      <c r="Z849" s="27">
        <f>IF(R849,O849,"")</f>
        <v/>
      </c>
      <c r="AA849" s="27">
        <f>IF(R849,N849,"")</f>
        <v/>
      </c>
    </row>
    <row r="850">
      <c r="A850" s="31" t="n">
        <v>0.2</v>
      </c>
      <c r="B850" s="31" t="n">
        <v>0.4</v>
      </c>
      <c r="C850" s="31" t="n">
        <v>0.3</v>
      </c>
      <c r="D850" s="31" t="n">
        <v>0.1</v>
      </c>
      <c r="E850" s="27" t="inlineStr">
        <is>
          <t>ON 20%/1M 40%/2M 30%/3M 10%</t>
        </is>
      </c>
      <c r="F850" s="27" t="n">
        <v>100</v>
      </c>
      <c r="G850" s="27">
        <f>A850*$B$7&gt;=$B$9</f>
        <v/>
      </c>
      <c r="H850" s="13">
        <f>$B$7*(A850*E$71+B850*F$71+C850*G$71+D850*H$71)+F850/100*$B$7*J$71-$C$71</f>
        <v/>
      </c>
      <c r="I850" s="13">
        <f>$B$7*(A850*L$71+B850*M$71+C850*N$71+D850*O$71)+F850/100*$B$7*Q$71-$C$71</f>
        <v/>
      </c>
      <c r="J850" s="13">
        <f>$B$7*(A850*S$71+B850*T$71+C850*U$71+D850*V$71)+F850/100*$B$7*X$71-$C$71</f>
        <v/>
      </c>
      <c r="K850" s="13">
        <f>$B$7*(A850*Z$71+B850*AA$71+C850*AB$71+D850*AC$71)+F850/100*$B$7*AE$71-$C$71</f>
        <v/>
      </c>
      <c r="L850" s="13">
        <f>$B$7*(A850*AG$71+B850*AH$71+C850*AI$71+D850*AJ$71)+F850/100*$B$7*AL$71-$C$71</f>
        <v/>
      </c>
      <c r="M850" s="13">
        <f>$B$7*(A850*AN$71+B850*AO$71+C850*AP$71+D850*AQ$71)+F850/100*$B$7*AS$71-$C$71</f>
        <v/>
      </c>
      <c r="N850" s="13">
        <f>SUMPRODUCT($H$24:$M$24,H850:M850)</f>
        <v/>
      </c>
      <c r="O850" s="14">
        <f>SQRT(SUMPRODUCT($H$24:$M$24,(H850:M850-N850)^2))</f>
        <v/>
      </c>
      <c r="P850" s="13">
        <f>MIN(H850:M850)</f>
        <v/>
      </c>
      <c r="Q850" s="13">
        <f>MAX(H850:M850)</f>
        <v/>
      </c>
      <c r="R850" s="27">
        <f>IF(G850,SUMPRODUCT(($G$76:$G$1505)*($N$76:$N$1505&gt;=N850)*($O$76:$O$1505&lt;=O850))=1,FALSE)</f>
        <v/>
      </c>
      <c r="S850" s="16">
        <f>IF(R850,ABS((O850-$AC$76)/MAX(0.0001,$AC$77-$AC$76)-(N850-$AC$78)/MAX(0.0001,$AC$79-$AC$78)),-1)</f>
        <v/>
      </c>
      <c r="T850" s="14">
        <f>IF(G850,O850,NA())</f>
        <v/>
      </c>
      <c r="U850" s="13">
        <f>IF(G850,N850,NA())</f>
        <v/>
      </c>
      <c r="V850" s="14">
        <f>IF(R850,O850,NA())</f>
        <v/>
      </c>
      <c r="W850" s="13">
        <f>IF(R850,N850,NA())</f>
        <v/>
      </c>
      <c r="X850" s="27">
        <f>IF(G850,P850,"")</f>
        <v/>
      </c>
      <c r="Y850" s="27">
        <f>IF(G850,N850,"")</f>
        <v/>
      </c>
      <c r="Z850" s="27">
        <f>IF(R850,O850,"")</f>
        <v/>
      </c>
      <c r="AA850" s="27">
        <f>IF(R850,N850,"")</f>
        <v/>
      </c>
    </row>
    <row r="851">
      <c r="A851" s="31" t="n">
        <v>0.2</v>
      </c>
      <c r="B851" s="31" t="n">
        <v>0.4</v>
      </c>
      <c r="C851" s="31" t="n">
        <v>0.4</v>
      </c>
      <c r="D851" s="31" t="n">
        <v>0</v>
      </c>
      <c r="E851" s="27" t="inlineStr">
        <is>
          <t>ON 20%/1M 40%/2M 40%</t>
        </is>
      </c>
      <c r="F851" s="27" t="n">
        <v>0</v>
      </c>
      <c r="G851" s="27">
        <f>A851*$B$7&gt;=$B$9</f>
        <v/>
      </c>
      <c r="H851" s="13">
        <f>$B$7*(A851*E$71+B851*F$71+C851*G$71+D851*H$71)+F851/100*$B$7*J$71-$C$71</f>
        <v/>
      </c>
      <c r="I851" s="13">
        <f>$B$7*(A851*L$71+B851*M$71+C851*N$71+D851*O$71)+F851/100*$B$7*Q$71-$C$71</f>
        <v/>
      </c>
      <c r="J851" s="13">
        <f>$B$7*(A851*S$71+B851*T$71+C851*U$71+D851*V$71)+F851/100*$B$7*X$71-$C$71</f>
        <v/>
      </c>
      <c r="K851" s="13">
        <f>$B$7*(A851*Z$71+B851*AA$71+C851*AB$71+D851*AC$71)+F851/100*$B$7*AE$71-$C$71</f>
        <v/>
      </c>
      <c r="L851" s="13">
        <f>$B$7*(A851*AG$71+B851*AH$71+C851*AI$71+D851*AJ$71)+F851/100*$B$7*AL$71-$C$71</f>
        <v/>
      </c>
      <c r="M851" s="13">
        <f>$B$7*(A851*AN$71+B851*AO$71+C851*AP$71+D851*AQ$71)+F851/100*$B$7*AS$71-$C$71</f>
        <v/>
      </c>
      <c r="N851" s="13">
        <f>SUMPRODUCT($H$24:$M$24,H851:M851)</f>
        <v/>
      </c>
      <c r="O851" s="14">
        <f>SQRT(SUMPRODUCT($H$24:$M$24,(H851:M851-N851)^2))</f>
        <v/>
      </c>
      <c r="P851" s="13">
        <f>MIN(H851:M851)</f>
        <v/>
      </c>
      <c r="Q851" s="13">
        <f>MAX(H851:M851)</f>
        <v/>
      </c>
      <c r="R851" s="27">
        <f>IF(G851,SUMPRODUCT(($G$76:$G$1505)*($N$76:$N$1505&gt;=N851)*($O$76:$O$1505&lt;=O851))=1,FALSE)</f>
        <v/>
      </c>
      <c r="S851" s="16">
        <f>IF(R851,ABS((O851-$AC$76)/MAX(0.0001,$AC$77-$AC$76)-(N851-$AC$78)/MAX(0.0001,$AC$79-$AC$78)),-1)</f>
        <v/>
      </c>
      <c r="T851" s="14">
        <f>IF(G851,O851,NA())</f>
        <v/>
      </c>
      <c r="U851" s="13">
        <f>IF(G851,N851,NA())</f>
        <v/>
      </c>
      <c r="V851" s="14">
        <f>IF(R851,O851,NA())</f>
        <v/>
      </c>
      <c r="W851" s="13">
        <f>IF(R851,N851,NA())</f>
        <v/>
      </c>
      <c r="X851" s="27">
        <f>IF(G851,P851,"")</f>
        <v/>
      </c>
      <c r="Y851" s="27">
        <f>IF(G851,N851,"")</f>
        <v/>
      </c>
      <c r="Z851" s="27">
        <f>IF(R851,O851,"")</f>
        <v/>
      </c>
      <c r="AA851" s="27">
        <f>IF(R851,N851,"")</f>
        <v/>
      </c>
    </row>
    <row r="852">
      <c r="A852" s="31" t="n">
        <v>0.2</v>
      </c>
      <c r="B852" s="31" t="n">
        <v>0.4</v>
      </c>
      <c r="C852" s="31" t="n">
        <v>0.4</v>
      </c>
      <c r="D852" s="31" t="n">
        <v>0</v>
      </c>
      <c r="E852" s="27" t="inlineStr">
        <is>
          <t>ON 20%/1M 40%/2M 40%</t>
        </is>
      </c>
      <c r="F852" s="27" t="n">
        <v>25</v>
      </c>
      <c r="G852" s="27">
        <f>A852*$B$7&gt;=$B$9</f>
        <v/>
      </c>
      <c r="H852" s="13">
        <f>$B$7*(A852*E$71+B852*F$71+C852*G$71+D852*H$71)+F852/100*$B$7*J$71-$C$71</f>
        <v/>
      </c>
      <c r="I852" s="13">
        <f>$B$7*(A852*L$71+B852*M$71+C852*N$71+D852*O$71)+F852/100*$B$7*Q$71-$C$71</f>
        <v/>
      </c>
      <c r="J852" s="13">
        <f>$B$7*(A852*S$71+B852*T$71+C852*U$71+D852*V$71)+F852/100*$B$7*X$71-$C$71</f>
        <v/>
      </c>
      <c r="K852" s="13">
        <f>$B$7*(A852*Z$71+B852*AA$71+C852*AB$71+D852*AC$71)+F852/100*$B$7*AE$71-$C$71</f>
        <v/>
      </c>
      <c r="L852" s="13">
        <f>$B$7*(A852*AG$71+B852*AH$71+C852*AI$71+D852*AJ$71)+F852/100*$B$7*AL$71-$C$71</f>
        <v/>
      </c>
      <c r="M852" s="13">
        <f>$B$7*(A852*AN$71+B852*AO$71+C852*AP$71+D852*AQ$71)+F852/100*$B$7*AS$71-$C$71</f>
        <v/>
      </c>
      <c r="N852" s="13">
        <f>SUMPRODUCT($H$24:$M$24,H852:M852)</f>
        <v/>
      </c>
      <c r="O852" s="14">
        <f>SQRT(SUMPRODUCT($H$24:$M$24,(H852:M852-N852)^2))</f>
        <v/>
      </c>
      <c r="P852" s="13">
        <f>MIN(H852:M852)</f>
        <v/>
      </c>
      <c r="Q852" s="13">
        <f>MAX(H852:M852)</f>
        <v/>
      </c>
      <c r="R852" s="27">
        <f>IF(G852,SUMPRODUCT(($G$76:$G$1505)*($N$76:$N$1505&gt;=N852)*($O$76:$O$1505&lt;=O852))=1,FALSE)</f>
        <v/>
      </c>
      <c r="S852" s="16">
        <f>IF(R852,ABS((O852-$AC$76)/MAX(0.0001,$AC$77-$AC$76)-(N852-$AC$78)/MAX(0.0001,$AC$79-$AC$78)),-1)</f>
        <v/>
      </c>
      <c r="T852" s="14">
        <f>IF(G852,O852,NA())</f>
        <v/>
      </c>
      <c r="U852" s="13">
        <f>IF(G852,N852,NA())</f>
        <v/>
      </c>
      <c r="V852" s="14">
        <f>IF(R852,O852,NA())</f>
        <v/>
      </c>
      <c r="W852" s="13">
        <f>IF(R852,N852,NA())</f>
        <v/>
      </c>
      <c r="X852" s="27">
        <f>IF(G852,P852,"")</f>
        <v/>
      </c>
      <c r="Y852" s="27">
        <f>IF(G852,N852,"")</f>
        <v/>
      </c>
      <c r="Z852" s="27">
        <f>IF(R852,O852,"")</f>
        <v/>
      </c>
      <c r="AA852" s="27">
        <f>IF(R852,N852,"")</f>
        <v/>
      </c>
    </row>
    <row r="853">
      <c r="A853" s="31" t="n">
        <v>0.2</v>
      </c>
      <c r="B853" s="31" t="n">
        <v>0.4</v>
      </c>
      <c r="C853" s="31" t="n">
        <v>0.4</v>
      </c>
      <c r="D853" s="31" t="n">
        <v>0</v>
      </c>
      <c r="E853" s="27" t="inlineStr">
        <is>
          <t>ON 20%/1M 40%/2M 40%</t>
        </is>
      </c>
      <c r="F853" s="27" t="n">
        <v>50</v>
      </c>
      <c r="G853" s="27">
        <f>A853*$B$7&gt;=$B$9</f>
        <v/>
      </c>
      <c r="H853" s="13">
        <f>$B$7*(A853*E$71+B853*F$71+C853*G$71+D853*H$71)+F853/100*$B$7*J$71-$C$71</f>
        <v/>
      </c>
      <c r="I853" s="13">
        <f>$B$7*(A853*L$71+B853*M$71+C853*N$71+D853*O$71)+F853/100*$B$7*Q$71-$C$71</f>
        <v/>
      </c>
      <c r="J853" s="13">
        <f>$B$7*(A853*S$71+B853*T$71+C853*U$71+D853*V$71)+F853/100*$B$7*X$71-$C$71</f>
        <v/>
      </c>
      <c r="K853" s="13">
        <f>$B$7*(A853*Z$71+B853*AA$71+C853*AB$71+D853*AC$71)+F853/100*$B$7*AE$71-$C$71</f>
        <v/>
      </c>
      <c r="L853" s="13">
        <f>$B$7*(A853*AG$71+B853*AH$71+C853*AI$71+D853*AJ$71)+F853/100*$B$7*AL$71-$C$71</f>
        <v/>
      </c>
      <c r="M853" s="13">
        <f>$B$7*(A853*AN$71+B853*AO$71+C853*AP$71+D853*AQ$71)+F853/100*$B$7*AS$71-$C$71</f>
        <v/>
      </c>
      <c r="N853" s="13">
        <f>SUMPRODUCT($H$24:$M$24,H853:M853)</f>
        <v/>
      </c>
      <c r="O853" s="14">
        <f>SQRT(SUMPRODUCT($H$24:$M$24,(H853:M853-N853)^2))</f>
        <v/>
      </c>
      <c r="P853" s="13">
        <f>MIN(H853:M853)</f>
        <v/>
      </c>
      <c r="Q853" s="13">
        <f>MAX(H853:M853)</f>
        <v/>
      </c>
      <c r="R853" s="27">
        <f>IF(G853,SUMPRODUCT(($G$76:$G$1505)*($N$76:$N$1505&gt;=N853)*($O$76:$O$1505&lt;=O853))=1,FALSE)</f>
        <v/>
      </c>
      <c r="S853" s="16">
        <f>IF(R853,ABS((O853-$AC$76)/MAX(0.0001,$AC$77-$AC$76)-(N853-$AC$78)/MAX(0.0001,$AC$79-$AC$78)),-1)</f>
        <v/>
      </c>
      <c r="T853" s="14">
        <f>IF(G853,O853,NA())</f>
        <v/>
      </c>
      <c r="U853" s="13">
        <f>IF(G853,N853,NA())</f>
        <v/>
      </c>
      <c r="V853" s="14">
        <f>IF(R853,O853,NA())</f>
        <v/>
      </c>
      <c r="W853" s="13">
        <f>IF(R853,N853,NA())</f>
        <v/>
      </c>
      <c r="X853" s="27">
        <f>IF(G853,P853,"")</f>
        <v/>
      </c>
      <c r="Y853" s="27">
        <f>IF(G853,N853,"")</f>
        <v/>
      </c>
      <c r="Z853" s="27">
        <f>IF(R853,O853,"")</f>
        <v/>
      </c>
      <c r="AA853" s="27">
        <f>IF(R853,N853,"")</f>
        <v/>
      </c>
    </row>
    <row r="854">
      <c r="A854" s="31" t="n">
        <v>0.2</v>
      </c>
      <c r="B854" s="31" t="n">
        <v>0.4</v>
      </c>
      <c r="C854" s="31" t="n">
        <v>0.4</v>
      </c>
      <c r="D854" s="31" t="n">
        <v>0</v>
      </c>
      <c r="E854" s="27" t="inlineStr">
        <is>
          <t>ON 20%/1M 40%/2M 40%</t>
        </is>
      </c>
      <c r="F854" s="27" t="n">
        <v>75</v>
      </c>
      <c r="G854" s="27">
        <f>A854*$B$7&gt;=$B$9</f>
        <v/>
      </c>
      <c r="H854" s="13">
        <f>$B$7*(A854*E$71+B854*F$71+C854*G$71+D854*H$71)+F854/100*$B$7*J$71-$C$71</f>
        <v/>
      </c>
      <c r="I854" s="13">
        <f>$B$7*(A854*L$71+B854*M$71+C854*N$71+D854*O$71)+F854/100*$B$7*Q$71-$C$71</f>
        <v/>
      </c>
      <c r="J854" s="13">
        <f>$B$7*(A854*S$71+B854*T$71+C854*U$71+D854*V$71)+F854/100*$B$7*X$71-$C$71</f>
        <v/>
      </c>
      <c r="K854" s="13">
        <f>$B$7*(A854*Z$71+B854*AA$71+C854*AB$71+D854*AC$71)+F854/100*$B$7*AE$71-$C$71</f>
        <v/>
      </c>
      <c r="L854" s="13">
        <f>$B$7*(A854*AG$71+B854*AH$71+C854*AI$71+D854*AJ$71)+F854/100*$B$7*AL$71-$C$71</f>
        <v/>
      </c>
      <c r="M854" s="13">
        <f>$B$7*(A854*AN$71+B854*AO$71+C854*AP$71+D854*AQ$71)+F854/100*$B$7*AS$71-$C$71</f>
        <v/>
      </c>
      <c r="N854" s="13">
        <f>SUMPRODUCT($H$24:$M$24,H854:M854)</f>
        <v/>
      </c>
      <c r="O854" s="14">
        <f>SQRT(SUMPRODUCT($H$24:$M$24,(H854:M854-N854)^2))</f>
        <v/>
      </c>
      <c r="P854" s="13">
        <f>MIN(H854:M854)</f>
        <v/>
      </c>
      <c r="Q854" s="13">
        <f>MAX(H854:M854)</f>
        <v/>
      </c>
      <c r="R854" s="27">
        <f>IF(G854,SUMPRODUCT(($G$76:$G$1505)*($N$76:$N$1505&gt;=N854)*($O$76:$O$1505&lt;=O854))=1,FALSE)</f>
        <v/>
      </c>
      <c r="S854" s="16">
        <f>IF(R854,ABS((O854-$AC$76)/MAX(0.0001,$AC$77-$AC$76)-(N854-$AC$78)/MAX(0.0001,$AC$79-$AC$78)),-1)</f>
        <v/>
      </c>
      <c r="T854" s="14">
        <f>IF(G854,O854,NA())</f>
        <v/>
      </c>
      <c r="U854" s="13">
        <f>IF(G854,N854,NA())</f>
        <v/>
      </c>
      <c r="V854" s="14">
        <f>IF(R854,O854,NA())</f>
        <v/>
      </c>
      <c r="W854" s="13">
        <f>IF(R854,N854,NA())</f>
        <v/>
      </c>
      <c r="X854" s="27">
        <f>IF(G854,P854,"")</f>
        <v/>
      </c>
      <c r="Y854" s="27">
        <f>IF(G854,N854,"")</f>
        <v/>
      </c>
      <c r="Z854" s="27">
        <f>IF(R854,O854,"")</f>
        <v/>
      </c>
      <c r="AA854" s="27">
        <f>IF(R854,N854,"")</f>
        <v/>
      </c>
    </row>
    <row r="855">
      <c r="A855" s="31" t="n">
        <v>0.2</v>
      </c>
      <c r="B855" s="31" t="n">
        <v>0.4</v>
      </c>
      <c r="C855" s="31" t="n">
        <v>0.4</v>
      </c>
      <c r="D855" s="31" t="n">
        <v>0</v>
      </c>
      <c r="E855" s="27" t="inlineStr">
        <is>
          <t>ON 20%/1M 40%/2M 40%</t>
        </is>
      </c>
      <c r="F855" s="27" t="n">
        <v>100</v>
      </c>
      <c r="G855" s="27">
        <f>A855*$B$7&gt;=$B$9</f>
        <v/>
      </c>
      <c r="H855" s="13">
        <f>$B$7*(A855*E$71+B855*F$71+C855*G$71+D855*H$71)+F855/100*$B$7*J$71-$C$71</f>
        <v/>
      </c>
      <c r="I855" s="13">
        <f>$B$7*(A855*L$71+B855*M$71+C855*N$71+D855*O$71)+F855/100*$B$7*Q$71-$C$71</f>
        <v/>
      </c>
      <c r="J855" s="13">
        <f>$B$7*(A855*S$71+B855*T$71+C855*U$71+D855*V$71)+F855/100*$B$7*X$71-$C$71</f>
        <v/>
      </c>
      <c r="K855" s="13">
        <f>$B$7*(A855*Z$71+B855*AA$71+C855*AB$71+D855*AC$71)+F855/100*$B$7*AE$71-$C$71</f>
        <v/>
      </c>
      <c r="L855" s="13">
        <f>$B$7*(A855*AG$71+B855*AH$71+C855*AI$71+D855*AJ$71)+F855/100*$B$7*AL$71-$C$71</f>
        <v/>
      </c>
      <c r="M855" s="13">
        <f>$B$7*(A855*AN$71+B855*AO$71+C855*AP$71+D855*AQ$71)+F855/100*$B$7*AS$71-$C$71</f>
        <v/>
      </c>
      <c r="N855" s="13">
        <f>SUMPRODUCT($H$24:$M$24,H855:M855)</f>
        <v/>
      </c>
      <c r="O855" s="14">
        <f>SQRT(SUMPRODUCT($H$24:$M$24,(H855:M855-N855)^2))</f>
        <v/>
      </c>
      <c r="P855" s="13">
        <f>MIN(H855:M855)</f>
        <v/>
      </c>
      <c r="Q855" s="13">
        <f>MAX(H855:M855)</f>
        <v/>
      </c>
      <c r="R855" s="27">
        <f>IF(G855,SUMPRODUCT(($G$76:$G$1505)*($N$76:$N$1505&gt;=N855)*($O$76:$O$1505&lt;=O855))=1,FALSE)</f>
        <v/>
      </c>
      <c r="S855" s="16">
        <f>IF(R855,ABS((O855-$AC$76)/MAX(0.0001,$AC$77-$AC$76)-(N855-$AC$78)/MAX(0.0001,$AC$79-$AC$78)),-1)</f>
        <v/>
      </c>
      <c r="T855" s="14">
        <f>IF(G855,O855,NA())</f>
        <v/>
      </c>
      <c r="U855" s="13">
        <f>IF(G855,N855,NA())</f>
        <v/>
      </c>
      <c r="V855" s="14">
        <f>IF(R855,O855,NA())</f>
        <v/>
      </c>
      <c r="W855" s="13">
        <f>IF(R855,N855,NA())</f>
        <v/>
      </c>
      <c r="X855" s="27">
        <f>IF(G855,P855,"")</f>
        <v/>
      </c>
      <c r="Y855" s="27">
        <f>IF(G855,N855,"")</f>
        <v/>
      </c>
      <c r="Z855" s="27">
        <f>IF(R855,O855,"")</f>
        <v/>
      </c>
      <c r="AA855" s="27">
        <f>IF(R855,N855,"")</f>
        <v/>
      </c>
    </row>
    <row r="856">
      <c r="A856" s="31" t="n">
        <v>0.2</v>
      </c>
      <c r="B856" s="31" t="n">
        <v>0.5</v>
      </c>
      <c r="C856" s="31" t="n">
        <v>0</v>
      </c>
      <c r="D856" s="31" t="n">
        <v>0.3</v>
      </c>
      <c r="E856" s="27" t="inlineStr">
        <is>
          <t>ON 20%/1M 50%/3M 30%</t>
        </is>
      </c>
      <c r="F856" s="27" t="n">
        <v>0</v>
      </c>
      <c r="G856" s="27">
        <f>A856*$B$7&gt;=$B$9</f>
        <v/>
      </c>
      <c r="H856" s="13">
        <f>$B$7*(A856*E$71+B856*F$71+C856*G$71+D856*H$71)+F856/100*$B$7*J$71-$C$71</f>
        <v/>
      </c>
      <c r="I856" s="13">
        <f>$B$7*(A856*L$71+B856*M$71+C856*N$71+D856*O$71)+F856/100*$B$7*Q$71-$C$71</f>
        <v/>
      </c>
      <c r="J856" s="13">
        <f>$B$7*(A856*S$71+B856*T$71+C856*U$71+D856*V$71)+F856/100*$B$7*X$71-$C$71</f>
        <v/>
      </c>
      <c r="K856" s="13">
        <f>$B$7*(A856*Z$71+B856*AA$71+C856*AB$71+D856*AC$71)+F856/100*$B$7*AE$71-$C$71</f>
        <v/>
      </c>
      <c r="L856" s="13">
        <f>$B$7*(A856*AG$71+B856*AH$71+C856*AI$71+D856*AJ$71)+F856/100*$B$7*AL$71-$C$71</f>
        <v/>
      </c>
      <c r="M856" s="13">
        <f>$B$7*(A856*AN$71+B856*AO$71+C856*AP$71+D856*AQ$71)+F856/100*$B$7*AS$71-$C$71</f>
        <v/>
      </c>
      <c r="N856" s="13">
        <f>SUMPRODUCT($H$24:$M$24,H856:M856)</f>
        <v/>
      </c>
      <c r="O856" s="14">
        <f>SQRT(SUMPRODUCT($H$24:$M$24,(H856:M856-N856)^2))</f>
        <v/>
      </c>
      <c r="P856" s="13">
        <f>MIN(H856:M856)</f>
        <v/>
      </c>
      <c r="Q856" s="13">
        <f>MAX(H856:M856)</f>
        <v/>
      </c>
      <c r="R856" s="27">
        <f>IF(G856,SUMPRODUCT(($G$76:$G$1505)*($N$76:$N$1505&gt;=N856)*($O$76:$O$1505&lt;=O856))=1,FALSE)</f>
        <v/>
      </c>
      <c r="S856" s="16">
        <f>IF(R856,ABS((O856-$AC$76)/MAX(0.0001,$AC$77-$AC$76)-(N856-$AC$78)/MAX(0.0001,$AC$79-$AC$78)),-1)</f>
        <v/>
      </c>
      <c r="T856" s="14">
        <f>IF(G856,O856,NA())</f>
        <v/>
      </c>
      <c r="U856" s="13">
        <f>IF(G856,N856,NA())</f>
        <v/>
      </c>
      <c r="V856" s="14">
        <f>IF(R856,O856,NA())</f>
        <v/>
      </c>
      <c r="W856" s="13">
        <f>IF(R856,N856,NA())</f>
        <v/>
      </c>
      <c r="X856" s="27">
        <f>IF(G856,P856,"")</f>
        <v/>
      </c>
      <c r="Y856" s="27">
        <f>IF(G856,N856,"")</f>
        <v/>
      </c>
      <c r="Z856" s="27">
        <f>IF(R856,O856,"")</f>
        <v/>
      </c>
      <c r="AA856" s="27">
        <f>IF(R856,N856,"")</f>
        <v/>
      </c>
    </row>
    <row r="857">
      <c r="A857" s="31" t="n">
        <v>0.2</v>
      </c>
      <c r="B857" s="31" t="n">
        <v>0.5</v>
      </c>
      <c r="C857" s="31" t="n">
        <v>0</v>
      </c>
      <c r="D857" s="31" t="n">
        <v>0.3</v>
      </c>
      <c r="E857" s="27" t="inlineStr">
        <is>
          <t>ON 20%/1M 50%/3M 30%</t>
        </is>
      </c>
      <c r="F857" s="27" t="n">
        <v>25</v>
      </c>
      <c r="G857" s="27">
        <f>A857*$B$7&gt;=$B$9</f>
        <v/>
      </c>
      <c r="H857" s="13">
        <f>$B$7*(A857*E$71+B857*F$71+C857*G$71+D857*H$71)+F857/100*$B$7*J$71-$C$71</f>
        <v/>
      </c>
      <c r="I857" s="13">
        <f>$B$7*(A857*L$71+B857*M$71+C857*N$71+D857*O$71)+F857/100*$B$7*Q$71-$C$71</f>
        <v/>
      </c>
      <c r="J857" s="13">
        <f>$B$7*(A857*S$71+B857*T$71+C857*U$71+D857*V$71)+F857/100*$B$7*X$71-$C$71</f>
        <v/>
      </c>
      <c r="K857" s="13">
        <f>$B$7*(A857*Z$71+B857*AA$71+C857*AB$71+D857*AC$71)+F857/100*$B$7*AE$71-$C$71</f>
        <v/>
      </c>
      <c r="L857" s="13">
        <f>$B$7*(A857*AG$71+B857*AH$71+C857*AI$71+D857*AJ$71)+F857/100*$B$7*AL$71-$C$71</f>
        <v/>
      </c>
      <c r="M857" s="13">
        <f>$B$7*(A857*AN$71+B857*AO$71+C857*AP$71+D857*AQ$71)+F857/100*$B$7*AS$71-$C$71</f>
        <v/>
      </c>
      <c r="N857" s="13">
        <f>SUMPRODUCT($H$24:$M$24,H857:M857)</f>
        <v/>
      </c>
      <c r="O857" s="14">
        <f>SQRT(SUMPRODUCT($H$24:$M$24,(H857:M857-N857)^2))</f>
        <v/>
      </c>
      <c r="P857" s="13">
        <f>MIN(H857:M857)</f>
        <v/>
      </c>
      <c r="Q857" s="13">
        <f>MAX(H857:M857)</f>
        <v/>
      </c>
      <c r="R857" s="27">
        <f>IF(G857,SUMPRODUCT(($G$76:$G$1505)*($N$76:$N$1505&gt;=N857)*($O$76:$O$1505&lt;=O857))=1,FALSE)</f>
        <v/>
      </c>
      <c r="S857" s="16">
        <f>IF(R857,ABS((O857-$AC$76)/MAX(0.0001,$AC$77-$AC$76)-(N857-$AC$78)/MAX(0.0001,$AC$79-$AC$78)),-1)</f>
        <v/>
      </c>
      <c r="T857" s="14">
        <f>IF(G857,O857,NA())</f>
        <v/>
      </c>
      <c r="U857" s="13">
        <f>IF(G857,N857,NA())</f>
        <v/>
      </c>
      <c r="V857" s="14">
        <f>IF(R857,O857,NA())</f>
        <v/>
      </c>
      <c r="W857" s="13">
        <f>IF(R857,N857,NA())</f>
        <v/>
      </c>
      <c r="X857" s="27">
        <f>IF(G857,P857,"")</f>
        <v/>
      </c>
      <c r="Y857" s="27">
        <f>IF(G857,N857,"")</f>
        <v/>
      </c>
      <c r="Z857" s="27">
        <f>IF(R857,O857,"")</f>
        <v/>
      </c>
      <c r="AA857" s="27">
        <f>IF(R857,N857,"")</f>
        <v/>
      </c>
    </row>
    <row r="858">
      <c r="A858" s="31" t="n">
        <v>0.2</v>
      </c>
      <c r="B858" s="31" t="n">
        <v>0.5</v>
      </c>
      <c r="C858" s="31" t="n">
        <v>0</v>
      </c>
      <c r="D858" s="31" t="n">
        <v>0.3</v>
      </c>
      <c r="E858" s="27" t="inlineStr">
        <is>
          <t>ON 20%/1M 50%/3M 30%</t>
        </is>
      </c>
      <c r="F858" s="27" t="n">
        <v>50</v>
      </c>
      <c r="G858" s="27">
        <f>A858*$B$7&gt;=$B$9</f>
        <v/>
      </c>
      <c r="H858" s="13">
        <f>$B$7*(A858*E$71+B858*F$71+C858*G$71+D858*H$71)+F858/100*$B$7*J$71-$C$71</f>
        <v/>
      </c>
      <c r="I858" s="13">
        <f>$B$7*(A858*L$71+B858*M$71+C858*N$71+D858*O$71)+F858/100*$B$7*Q$71-$C$71</f>
        <v/>
      </c>
      <c r="J858" s="13">
        <f>$B$7*(A858*S$71+B858*T$71+C858*U$71+D858*V$71)+F858/100*$B$7*X$71-$C$71</f>
        <v/>
      </c>
      <c r="K858" s="13">
        <f>$B$7*(A858*Z$71+B858*AA$71+C858*AB$71+D858*AC$71)+F858/100*$B$7*AE$71-$C$71</f>
        <v/>
      </c>
      <c r="L858" s="13">
        <f>$B$7*(A858*AG$71+B858*AH$71+C858*AI$71+D858*AJ$71)+F858/100*$B$7*AL$71-$C$71</f>
        <v/>
      </c>
      <c r="M858" s="13">
        <f>$B$7*(A858*AN$71+B858*AO$71+C858*AP$71+D858*AQ$71)+F858/100*$B$7*AS$71-$C$71</f>
        <v/>
      </c>
      <c r="N858" s="13">
        <f>SUMPRODUCT($H$24:$M$24,H858:M858)</f>
        <v/>
      </c>
      <c r="O858" s="14">
        <f>SQRT(SUMPRODUCT($H$24:$M$24,(H858:M858-N858)^2))</f>
        <v/>
      </c>
      <c r="P858" s="13">
        <f>MIN(H858:M858)</f>
        <v/>
      </c>
      <c r="Q858" s="13">
        <f>MAX(H858:M858)</f>
        <v/>
      </c>
      <c r="R858" s="27">
        <f>IF(G858,SUMPRODUCT(($G$76:$G$1505)*($N$76:$N$1505&gt;=N858)*($O$76:$O$1505&lt;=O858))=1,FALSE)</f>
        <v/>
      </c>
      <c r="S858" s="16">
        <f>IF(R858,ABS((O858-$AC$76)/MAX(0.0001,$AC$77-$AC$76)-(N858-$AC$78)/MAX(0.0001,$AC$79-$AC$78)),-1)</f>
        <v/>
      </c>
      <c r="T858" s="14">
        <f>IF(G858,O858,NA())</f>
        <v/>
      </c>
      <c r="U858" s="13">
        <f>IF(G858,N858,NA())</f>
        <v/>
      </c>
      <c r="V858" s="14">
        <f>IF(R858,O858,NA())</f>
        <v/>
      </c>
      <c r="W858" s="13">
        <f>IF(R858,N858,NA())</f>
        <v/>
      </c>
      <c r="X858" s="27">
        <f>IF(G858,P858,"")</f>
        <v/>
      </c>
      <c r="Y858" s="27">
        <f>IF(G858,N858,"")</f>
        <v/>
      </c>
      <c r="Z858" s="27">
        <f>IF(R858,O858,"")</f>
        <v/>
      </c>
      <c r="AA858" s="27">
        <f>IF(R858,N858,"")</f>
        <v/>
      </c>
    </row>
    <row r="859">
      <c r="A859" s="31" t="n">
        <v>0.2</v>
      </c>
      <c r="B859" s="31" t="n">
        <v>0.5</v>
      </c>
      <c r="C859" s="31" t="n">
        <v>0</v>
      </c>
      <c r="D859" s="31" t="n">
        <v>0.3</v>
      </c>
      <c r="E859" s="27" t="inlineStr">
        <is>
          <t>ON 20%/1M 50%/3M 30%</t>
        </is>
      </c>
      <c r="F859" s="27" t="n">
        <v>75</v>
      </c>
      <c r="G859" s="27">
        <f>A859*$B$7&gt;=$B$9</f>
        <v/>
      </c>
      <c r="H859" s="13">
        <f>$B$7*(A859*E$71+B859*F$71+C859*G$71+D859*H$71)+F859/100*$B$7*J$71-$C$71</f>
        <v/>
      </c>
      <c r="I859" s="13">
        <f>$B$7*(A859*L$71+B859*M$71+C859*N$71+D859*O$71)+F859/100*$B$7*Q$71-$C$71</f>
        <v/>
      </c>
      <c r="J859" s="13">
        <f>$B$7*(A859*S$71+B859*T$71+C859*U$71+D859*V$71)+F859/100*$B$7*X$71-$C$71</f>
        <v/>
      </c>
      <c r="K859" s="13">
        <f>$B$7*(A859*Z$71+B859*AA$71+C859*AB$71+D859*AC$71)+F859/100*$B$7*AE$71-$C$71</f>
        <v/>
      </c>
      <c r="L859" s="13">
        <f>$B$7*(A859*AG$71+B859*AH$71+C859*AI$71+D859*AJ$71)+F859/100*$B$7*AL$71-$C$71</f>
        <v/>
      </c>
      <c r="M859" s="13">
        <f>$B$7*(A859*AN$71+B859*AO$71+C859*AP$71+D859*AQ$71)+F859/100*$B$7*AS$71-$C$71</f>
        <v/>
      </c>
      <c r="N859" s="13">
        <f>SUMPRODUCT($H$24:$M$24,H859:M859)</f>
        <v/>
      </c>
      <c r="O859" s="14">
        <f>SQRT(SUMPRODUCT($H$24:$M$24,(H859:M859-N859)^2))</f>
        <v/>
      </c>
      <c r="P859" s="13">
        <f>MIN(H859:M859)</f>
        <v/>
      </c>
      <c r="Q859" s="13">
        <f>MAX(H859:M859)</f>
        <v/>
      </c>
      <c r="R859" s="27">
        <f>IF(G859,SUMPRODUCT(($G$76:$G$1505)*($N$76:$N$1505&gt;=N859)*($O$76:$O$1505&lt;=O859))=1,FALSE)</f>
        <v/>
      </c>
      <c r="S859" s="16">
        <f>IF(R859,ABS((O859-$AC$76)/MAX(0.0001,$AC$77-$AC$76)-(N859-$AC$78)/MAX(0.0001,$AC$79-$AC$78)),-1)</f>
        <v/>
      </c>
      <c r="T859" s="14">
        <f>IF(G859,O859,NA())</f>
        <v/>
      </c>
      <c r="U859" s="13">
        <f>IF(G859,N859,NA())</f>
        <v/>
      </c>
      <c r="V859" s="14">
        <f>IF(R859,O859,NA())</f>
        <v/>
      </c>
      <c r="W859" s="13">
        <f>IF(R859,N859,NA())</f>
        <v/>
      </c>
      <c r="X859" s="27">
        <f>IF(G859,P859,"")</f>
        <v/>
      </c>
      <c r="Y859" s="27">
        <f>IF(G859,N859,"")</f>
        <v/>
      </c>
      <c r="Z859" s="27">
        <f>IF(R859,O859,"")</f>
        <v/>
      </c>
      <c r="AA859" s="27">
        <f>IF(R859,N859,"")</f>
        <v/>
      </c>
    </row>
    <row r="860">
      <c r="A860" s="31" t="n">
        <v>0.2</v>
      </c>
      <c r="B860" s="31" t="n">
        <v>0.5</v>
      </c>
      <c r="C860" s="31" t="n">
        <v>0</v>
      </c>
      <c r="D860" s="31" t="n">
        <v>0.3</v>
      </c>
      <c r="E860" s="27" t="inlineStr">
        <is>
          <t>ON 20%/1M 50%/3M 30%</t>
        </is>
      </c>
      <c r="F860" s="27" t="n">
        <v>100</v>
      </c>
      <c r="G860" s="27">
        <f>A860*$B$7&gt;=$B$9</f>
        <v/>
      </c>
      <c r="H860" s="13">
        <f>$B$7*(A860*E$71+B860*F$71+C860*G$71+D860*H$71)+F860/100*$B$7*J$71-$C$71</f>
        <v/>
      </c>
      <c r="I860" s="13">
        <f>$B$7*(A860*L$71+B860*M$71+C860*N$71+D860*O$71)+F860/100*$B$7*Q$71-$C$71</f>
        <v/>
      </c>
      <c r="J860" s="13">
        <f>$B$7*(A860*S$71+B860*T$71+C860*U$71+D860*V$71)+F860/100*$B$7*X$71-$C$71</f>
        <v/>
      </c>
      <c r="K860" s="13">
        <f>$B$7*(A860*Z$71+B860*AA$71+C860*AB$71+D860*AC$71)+F860/100*$B$7*AE$71-$C$71</f>
        <v/>
      </c>
      <c r="L860" s="13">
        <f>$B$7*(A860*AG$71+B860*AH$71+C860*AI$71+D860*AJ$71)+F860/100*$B$7*AL$71-$C$71</f>
        <v/>
      </c>
      <c r="M860" s="13">
        <f>$B$7*(A860*AN$71+B860*AO$71+C860*AP$71+D860*AQ$71)+F860/100*$B$7*AS$71-$C$71</f>
        <v/>
      </c>
      <c r="N860" s="13">
        <f>SUMPRODUCT($H$24:$M$24,H860:M860)</f>
        <v/>
      </c>
      <c r="O860" s="14">
        <f>SQRT(SUMPRODUCT($H$24:$M$24,(H860:M860-N860)^2))</f>
        <v/>
      </c>
      <c r="P860" s="13">
        <f>MIN(H860:M860)</f>
        <v/>
      </c>
      <c r="Q860" s="13">
        <f>MAX(H860:M860)</f>
        <v/>
      </c>
      <c r="R860" s="27">
        <f>IF(G860,SUMPRODUCT(($G$76:$G$1505)*($N$76:$N$1505&gt;=N860)*($O$76:$O$1505&lt;=O860))=1,FALSE)</f>
        <v/>
      </c>
      <c r="S860" s="16">
        <f>IF(R860,ABS((O860-$AC$76)/MAX(0.0001,$AC$77-$AC$76)-(N860-$AC$78)/MAX(0.0001,$AC$79-$AC$78)),-1)</f>
        <v/>
      </c>
      <c r="T860" s="14">
        <f>IF(G860,O860,NA())</f>
        <v/>
      </c>
      <c r="U860" s="13">
        <f>IF(G860,N860,NA())</f>
        <v/>
      </c>
      <c r="V860" s="14">
        <f>IF(R860,O860,NA())</f>
        <v/>
      </c>
      <c r="W860" s="13">
        <f>IF(R860,N860,NA())</f>
        <v/>
      </c>
      <c r="X860" s="27">
        <f>IF(G860,P860,"")</f>
        <v/>
      </c>
      <c r="Y860" s="27">
        <f>IF(G860,N860,"")</f>
        <v/>
      </c>
      <c r="Z860" s="27">
        <f>IF(R860,O860,"")</f>
        <v/>
      </c>
      <c r="AA860" s="27">
        <f>IF(R860,N860,"")</f>
        <v/>
      </c>
    </row>
    <row r="861">
      <c r="A861" s="31" t="n">
        <v>0.2</v>
      </c>
      <c r="B861" s="31" t="n">
        <v>0.5</v>
      </c>
      <c r="C861" s="31" t="n">
        <v>0.1</v>
      </c>
      <c r="D861" s="31" t="n">
        <v>0.2</v>
      </c>
      <c r="E861" s="27" t="inlineStr">
        <is>
          <t>ON 20%/1M 50%/2M 10%/3M 20%</t>
        </is>
      </c>
      <c r="F861" s="27" t="n">
        <v>0</v>
      </c>
      <c r="G861" s="27">
        <f>A861*$B$7&gt;=$B$9</f>
        <v/>
      </c>
      <c r="H861" s="13">
        <f>$B$7*(A861*E$71+B861*F$71+C861*G$71+D861*H$71)+F861/100*$B$7*J$71-$C$71</f>
        <v/>
      </c>
      <c r="I861" s="13">
        <f>$B$7*(A861*L$71+B861*M$71+C861*N$71+D861*O$71)+F861/100*$B$7*Q$71-$C$71</f>
        <v/>
      </c>
      <c r="J861" s="13">
        <f>$B$7*(A861*S$71+B861*T$71+C861*U$71+D861*V$71)+F861/100*$B$7*X$71-$C$71</f>
        <v/>
      </c>
      <c r="K861" s="13">
        <f>$B$7*(A861*Z$71+B861*AA$71+C861*AB$71+D861*AC$71)+F861/100*$B$7*AE$71-$C$71</f>
        <v/>
      </c>
      <c r="L861" s="13">
        <f>$B$7*(A861*AG$71+B861*AH$71+C861*AI$71+D861*AJ$71)+F861/100*$B$7*AL$71-$C$71</f>
        <v/>
      </c>
      <c r="M861" s="13">
        <f>$B$7*(A861*AN$71+B861*AO$71+C861*AP$71+D861*AQ$71)+F861/100*$B$7*AS$71-$C$71</f>
        <v/>
      </c>
      <c r="N861" s="13">
        <f>SUMPRODUCT($H$24:$M$24,H861:M861)</f>
        <v/>
      </c>
      <c r="O861" s="14">
        <f>SQRT(SUMPRODUCT($H$24:$M$24,(H861:M861-N861)^2))</f>
        <v/>
      </c>
      <c r="P861" s="13">
        <f>MIN(H861:M861)</f>
        <v/>
      </c>
      <c r="Q861" s="13">
        <f>MAX(H861:M861)</f>
        <v/>
      </c>
      <c r="R861" s="27">
        <f>IF(G861,SUMPRODUCT(($G$76:$G$1505)*($N$76:$N$1505&gt;=N861)*($O$76:$O$1505&lt;=O861))=1,FALSE)</f>
        <v/>
      </c>
      <c r="S861" s="16">
        <f>IF(R861,ABS((O861-$AC$76)/MAX(0.0001,$AC$77-$AC$76)-(N861-$AC$78)/MAX(0.0001,$AC$79-$AC$78)),-1)</f>
        <v/>
      </c>
      <c r="T861" s="14">
        <f>IF(G861,O861,NA())</f>
        <v/>
      </c>
      <c r="U861" s="13">
        <f>IF(G861,N861,NA())</f>
        <v/>
      </c>
      <c r="V861" s="14">
        <f>IF(R861,O861,NA())</f>
        <v/>
      </c>
      <c r="W861" s="13">
        <f>IF(R861,N861,NA())</f>
        <v/>
      </c>
      <c r="X861" s="27">
        <f>IF(G861,P861,"")</f>
        <v/>
      </c>
      <c r="Y861" s="27">
        <f>IF(G861,N861,"")</f>
        <v/>
      </c>
      <c r="Z861" s="27">
        <f>IF(R861,O861,"")</f>
        <v/>
      </c>
      <c r="AA861" s="27">
        <f>IF(R861,N861,"")</f>
        <v/>
      </c>
    </row>
    <row r="862">
      <c r="A862" s="31" t="n">
        <v>0.2</v>
      </c>
      <c r="B862" s="31" t="n">
        <v>0.5</v>
      </c>
      <c r="C862" s="31" t="n">
        <v>0.1</v>
      </c>
      <c r="D862" s="31" t="n">
        <v>0.2</v>
      </c>
      <c r="E862" s="27" t="inlineStr">
        <is>
          <t>ON 20%/1M 50%/2M 10%/3M 20%</t>
        </is>
      </c>
      <c r="F862" s="27" t="n">
        <v>25</v>
      </c>
      <c r="G862" s="27">
        <f>A862*$B$7&gt;=$B$9</f>
        <v/>
      </c>
      <c r="H862" s="13">
        <f>$B$7*(A862*E$71+B862*F$71+C862*G$71+D862*H$71)+F862/100*$B$7*J$71-$C$71</f>
        <v/>
      </c>
      <c r="I862" s="13">
        <f>$B$7*(A862*L$71+B862*M$71+C862*N$71+D862*O$71)+F862/100*$B$7*Q$71-$C$71</f>
        <v/>
      </c>
      <c r="J862" s="13">
        <f>$B$7*(A862*S$71+B862*T$71+C862*U$71+D862*V$71)+F862/100*$B$7*X$71-$C$71</f>
        <v/>
      </c>
      <c r="K862" s="13">
        <f>$B$7*(A862*Z$71+B862*AA$71+C862*AB$71+D862*AC$71)+F862/100*$B$7*AE$71-$C$71</f>
        <v/>
      </c>
      <c r="L862" s="13">
        <f>$B$7*(A862*AG$71+B862*AH$71+C862*AI$71+D862*AJ$71)+F862/100*$B$7*AL$71-$C$71</f>
        <v/>
      </c>
      <c r="M862" s="13">
        <f>$B$7*(A862*AN$71+B862*AO$71+C862*AP$71+D862*AQ$71)+F862/100*$B$7*AS$71-$C$71</f>
        <v/>
      </c>
      <c r="N862" s="13">
        <f>SUMPRODUCT($H$24:$M$24,H862:M862)</f>
        <v/>
      </c>
      <c r="O862" s="14">
        <f>SQRT(SUMPRODUCT($H$24:$M$24,(H862:M862-N862)^2))</f>
        <v/>
      </c>
      <c r="P862" s="13">
        <f>MIN(H862:M862)</f>
        <v/>
      </c>
      <c r="Q862" s="13">
        <f>MAX(H862:M862)</f>
        <v/>
      </c>
      <c r="R862" s="27">
        <f>IF(G862,SUMPRODUCT(($G$76:$G$1505)*($N$76:$N$1505&gt;=N862)*($O$76:$O$1505&lt;=O862))=1,FALSE)</f>
        <v/>
      </c>
      <c r="S862" s="16">
        <f>IF(R862,ABS((O862-$AC$76)/MAX(0.0001,$AC$77-$AC$76)-(N862-$AC$78)/MAX(0.0001,$AC$79-$AC$78)),-1)</f>
        <v/>
      </c>
      <c r="T862" s="14">
        <f>IF(G862,O862,NA())</f>
        <v/>
      </c>
      <c r="U862" s="13">
        <f>IF(G862,N862,NA())</f>
        <v/>
      </c>
      <c r="V862" s="14">
        <f>IF(R862,O862,NA())</f>
        <v/>
      </c>
      <c r="W862" s="13">
        <f>IF(R862,N862,NA())</f>
        <v/>
      </c>
      <c r="X862" s="27">
        <f>IF(G862,P862,"")</f>
        <v/>
      </c>
      <c r="Y862" s="27">
        <f>IF(G862,N862,"")</f>
        <v/>
      </c>
      <c r="Z862" s="27">
        <f>IF(R862,O862,"")</f>
        <v/>
      </c>
      <c r="AA862" s="27">
        <f>IF(R862,N862,"")</f>
        <v/>
      </c>
    </row>
    <row r="863">
      <c r="A863" s="31" t="n">
        <v>0.2</v>
      </c>
      <c r="B863" s="31" t="n">
        <v>0.5</v>
      </c>
      <c r="C863" s="31" t="n">
        <v>0.1</v>
      </c>
      <c r="D863" s="31" t="n">
        <v>0.2</v>
      </c>
      <c r="E863" s="27" t="inlineStr">
        <is>
          <t>ON 20%/1M 50%/2M 10%/3M 20%</t>
        </is>
      </c>
      <c r="F863" s="27" t="n">
        <v>50</v>
      </c>
      <c r="G863" s="27">
        <f>A863*$B$7&gt;=$B$9</f>
        <v/>
      </c>
      <c r="H863" s="13">
        <f>$B$7*(A863*E$71+B863*F$71+C863*G$71+D863*H$71)+F863/100*$B$7*J$71-$C$71</f>
        <v/>
      </c>
      <c r="I863" s="13">
        <f>$B$7*(A863*L$71+B863*M$71+C863*N$71+D863*O$71)+F863/100*$B$7*Q$71-$C$71</f>
        <v/>
      </c>
      <c r="J863" s="13">
        <f>$B$7*(A863*S$71+B863*T$71+C863*U$71+D863*V$71)+F863/100*$B$7*X$71-$C$71</f>
        <v/>
      </c>
      <c r="K863" s="13">
        <f>$B$7*(A863*Z$71+B863*AA$71+C863*AB$71+D863*AC$71)+F863/100*$B$7*AE$71-$C$71</f>
        <v/>
      </c>
      <c r="L863" s="13">
        <f>$B$7*(A863*AG$71+B863*AH$71+C863*AI$71+D863*AJ$71)+F863/100*$B$7*AL$71-$C$71</f>
        <v/>
      </c>
      <c r="M863" s="13">
        <f>$B$7*(A863*AN$71+B863*AO$71+C863*AP$71+D863*AQ$71)+F863/100*$B$7*AS$71-$C$71</f>
        <v/>
      </c>
      <c r="N863" s="13">
        <f>SUMPRODUCT($H$24:$M$24,H863:M863)</f>
        <v/>
      </c>
      <c r="O863" s="14">
        <f>SQRT(SUMPRODUCT($H$24:$M$24,(H863:M863-N863)^2))</f>
        <v/>
      </c>
      <c r="P863" s="13">
        <f>MIN(H863:M863)</f>
        <v/>
      </c>
      <c r="Q863" s="13">
        <f>MAX(H863:M863)</f>
        <v/>
      </c>
      <c r="R863" s="27">
        <f>IF(G863,SUMPRODUCT(($G$76:$G$1505)*($N$76:$N$1505&gt;=N863)*($O$76:$O$1505&lt;=O863))=1,FALSE)</f>
        <v/>
      </c>
      <c r="S863" s="16">
        <f>IF(R863,ABS((O863-$AC$76)/MAX(0.0001,$AC$77-$AC$76)-(N863-$AC$78)/MAX(0.0001,$AC$79-$AC$78)),-1)</f>
        <v/>
      </c>
      <c r="T863" s="14">
        <f>IF(G863,O863,NA())</f>
        <v/>
      </c>
      <c r="U863" s="13">
        <f>IF(G863,N863,NA())</f>
        <v/>
      </c>
      <c r="V863" s="14">
        <f>IF(R863,O863,NA())</f>
        <v/>
      </c>
      <c r="W863" s="13">
        <f>IF(R863,N863,NA())</f>
        <v/>
      </c>
      <c r="X863" s="27">
        <f>IF(G863,P863,"")</f>
        <v/>
      </c>
      <c r="Y863" s="27">
        <f>IF(G863,N863,"")</f>
        <v/>
      </c>
      <c r="Z863" s="27">
        <f>IF(R863,O863,"")</f>
        <v/>
      </c>
      <c r="AA863" s="27">
        <f>IF(R863,N863,"")</f>
        <v/>
      </c>
    </row>
    <row r="864">
      <c r="A864" s="31" t="n">
        <v>0.2</v>
      </c>
      <c r="B864" s="31" t="n">
        <v>0.5</v>
      </c>
      <c r="C864" s="31" t="n">
        <v>0.1</v>
      </c>
      <c r="D864" s="31" t="n">
        <v>0.2</v>
      </c>
      <c r="E864" s="27" t="inlineStr">
        <is>
          <t>ON 20%/1M 50%/2M 10%/3M 20%</t>
        </is>
      </c>
      <c r="F864" s="27" t="n">
        <v>75</v>
      </c>
      <c r="G864" s="27">
        <f>A864*$B$7&gt;=$B$9</f>
        <v/>
      </c>
      <c r="H864" s="13">
        <f>$B$7*(A864*E$71+B864*F$71+C864*G$71+D864*H$71)+F864/100*$B$7*J$71-$C$71</f>
        <v/>
      </c>
      <c r="I864" s="13">
        <f>$B$7*(A864*L$71+B864*M$71+C864*N$71+D864*O$71)+F864/100*$B$7*Q$71-$C$71</f>
        <v/>
      </c>
      <c r="J864" s="13">
        <f>$B$7*(A864*S$71+B864*T$71+C864*U$71+D864*V$71)+F864/100*$B$7*X$71-$C$71</f>
        <v/>
      </c>
      <c r="K864" s="13">
        <f>$B$7*(A864*Z$71+B864*AA$71+C864*AB$71+D864*AC$71)+F864/100*$B$7*AE$71-$C$71</f>
        <v/>
      </c>
      <c r="L864" s="13">
        <f>$B$7*(A864*AG$71+B864*AH$71+C864*AI$71+D864*AJ$71)+F864/100*$B$7*AL$71-$C$71</f>
        <v/>
      </c>
      <c r="M864" s="13">
        <f>$B$7*(A864*AN$71+B864*AO$71+C864*AP$71+D864*AQ$71)+F864/100*$B$7*AS$71-$C$71</f>
        <v/>
      </c>
      <c r="N864" s="13">
        <f>SUMPRODUCT($H$24:$M$24,H864:M864)</f>
        <v/>
      </c>
      <c r="O864" s="14">
        <f>SQRT(SUMPRODUCT($H$24:$M$24,(H864:M864-N864)^2))</f>
        <v/>
      </c>
      <c r="P864" s="13">
        <f>MIN(H864:M864)</f>
        <v/>
      </c>
      <c r="Q864" s="13">
        <f>MAX(H864:M864)</f>
        <v/>
      </c>
      <c r="R864" s="27">
        <f>IF(G864,SUMPRODUCT(($G$76:$G$1505)*($N$76:$N$1505&gt;=N864)*($O$76:$O$1505&lt;=O864))=1,FALSE)</f>
        <v/>
      </c>
      <c r="S864" s="16">
        <f>IF(R864,ABS((O864-$AC$76)/MAX(0.0001,$AC$77-$AC$76)-(N864-$AC$78)/MAX(0.0001,$AC$79-$AC$78)),-1)</f>
        <v/>
      </c>
      <c r="T864" s="14">
        <f>IF(G864,O864,NA())</f>
        <v/>
      </c>
      <c r="U864" s="13">
        <f>IF(G864,N864,NA())</f>
        <v/>
      </c>
      <c r="V864" s="14">
        <f>IF(R864,O864,NA())</f>
        <v/>
      </c>
      <c r="W864" s="13">
        <f>IF(R864,N864,NA())</f>
        <v/>
      </c>
      <c r="X864" s="27">
        <f>IF(G864,P864,"")</f>
        <v/>
      </c>
      <c r="Y864" s="27">
        <f>IF(G864,N864,"")</f>
        <v/>
      </c>
      <c r="Z864" s="27">
        <f>IF(R864,O864,"")</f>
        <v/>
      </c>
      <c r="AA864" s="27">
        <f>IF(R864,N864,"")</f>
        <v/>
      </c>
    </row>
    <row r="865">
      <c r="A865" s="31" t="n">
        <v>0.2</v>
      </c>
      <c r="B865" s="31" t="n">
        <v>0.5</v>
      </c>
      <c r="C865" s="31" t="n">
        <v>0.1</v>
      </c>
      <c r="D865" s="31" t="n">
        <v>0.2</v>
      </c>
      <c r="E865" s="27" t="inlineStr">
        <is>
          <t>ON 20%/1M 50%/2M 10%/3M 20%</t>
        </is>
      </c>
      <c r="F865" s="27" t="n">
        <v>100</v>
      </c>
      <c r="G865" s="27">
        <f>A865*$B$7&gt;=$B$9</f>
        <v/>
      </c>
      <c r="H865" s="13">
        <f>$B$7*(A865*E$71+B865*F$71+C865*G$71+D865*H$71)+F865/100*$B$7*J$71-$C$71</f>
        <v/>
      </c>
      <c r="I865" s="13">
        <f>$B$7*(A865*L$71+B865*M$71+C865*N$71+D865*O$71)+F865/100*$B$7*Q$71-$C$71</f>
        <v/>
      </c>
      <c r="J865" s="13">
        <f>$B$7*(A865*S$71+B865*T$71+C865*U$71+D865*V$71)+F865/100*$B$7*X$71-$C$71</f>
        <v/>
      </c>
      <c r="K865" s="13">
        <f>$B$7*(A865*Z$71+B865*AA$71+C865*AB$71+D865*AC$71)+F865/100*$B$7*AE$71-$C$71</f>
        <v/>
      </c>
      <c r="L865" s="13">
        <f>$B$7*(A865*AG$71+B865*AH$71+C865*AI$71+D865*AJ$71)+F865/100*$B$7*AL$71-$C$71</f>
        <v/>
      </c>
      <c r="M865" s="13">
        <f>$B$7*(A865*AN$71+B865*AO$71+C865*AP$71+D865*AQ$71)+F865/100*$B$7*AS$71-$C$71</f>
        <v/>
      </c>
      <c r="N865" s="13">
        <f>SUMPRODUCT($H$24:$M$24,H865:M865)</f>
        <v/>
      </c>
      <c r="O865" s="14">
        <f>SQRT(SUMPRODUCT($H$24:$M$24,(H865:M865-N865)^2))</f>
        <v/>
      </c>
      <c r="P865" s="13">
        <f>MIN(H865:M865)</f>
        <v/>
      </c>
      <c r="Q865" s="13">
        <f>MAX(H865:M865)</f>
        <v/>
      </c>
      <c r="R865" s="27">
        <f>IF(G865,SUMPRODUCT(($G$76:$G$1505)*($N$76:$N$1505&gt;=N865)*($O$76:$O$1505&lt;=O865))=1,FALSE)</f>
        <v/>
      </c>
      <c r="S865" s="16">
        <f>IF(R865,ABS((O865-$AC$76)/MAX(0.0001,$AC$77-$AC$76)-(N865-$AC$78)/MAX(0.0001,$AC$79-$AC$78)),-1)</f>
        <v/>
      </c>
      <c r="T865" s="14">
        <f>IF(G865,O865,NA())</f>
        <v/>
      </c>
      <c r="U865" s="13">
        <f>IF(G865,N865,NA())</f>
        <v/>
      </c>
      <c r="V865" s="14">
        <f>IF(R865,O865,NA())</f>
        <v/>
      </c>
      <c r="W865" s="13">
        <f>IF(R865,N865,NA())</f>
        <v/>
      </c>
      <c r="X865" s="27">
        <f>IF(G865,P865,"")</f>
        <v/>
      </c>
      <c r="Y865" s="27">
        <f>IF(G865,N865,"")</f>
        <v/>
      </c>
      <c r="Z865" s="27">
        <f>IF(R865,O865,"")</f>
        <v/>
      </c>
      <c r="AA865" s="27">
        <f>IF(R865,N865,"")</f>
        <v/>
      </c>
    </row>
    <row r="866">
      <c r="A866" s="31" t="n">
        <v>0.2</v>
      </c>
      <c r="B866" s="31" t="n">
        <v>0.5</v>
      </c>
      <c r="C866" s="31" t="n">
        <v>0.2</v>
      </c>
      <c r="D866" s="31" t="n">
        <v>0.1</v>
      </c>
      <c r="E866" s="27" t="inlineStr">
        <is>
          <t>ON 20%/1M 50%/2M 20%/3M 10%</t>
        </is>
      </c>
      <c r="F866" s="27" t="n">
        <v>0</v>
      </c>
      <c r="G866" s="27">
        <f>A866*$B$7&gt;=$B$9</f>
        <v/>
      </c>
      <c r="H866" s="13">
        <f>$B$7*(A866*E$71+B866*F$71+C866*G$71+D866*H$71)+F866/100*$B$7*J$71-$C$71</f>
        <v/>
      </c>
      <c r="I866" s="13">
        <f>$B$7*(A866*L$71+B866*M$71+C866*N$71+D866*O$71)+F866/100*$B$7*Q$71-$C$71</f>
        <v/>
      </c>
      <c r="J866" s="13">
        <f>$B$7*(A866*S$71+B866*T$71+C866*U$71+D866*V$71)+F866/100*$B$7*X$71-$C$71</f>
        <v/>
      </c>
      <c r="K866" s="13">
        <f>$B$7*(A866*Z$71+B866*AA$71+C866*AB$71+D866*AC$71)+F866/100*$B$7*AE$71-$C$71</f>
        <v/>
      </c>
      <c r="L866" s="13">
        <f>$B$7*(A866*AG$71+B866*AH$71+C866*AI$71+D866*AJ$71)+F866/100*$B$7*AL$71-$C$71</f>
        <v/>
      </c>
      <c r="M866" s="13">
        <f>$B$7*(A866*AN$71+B866*AO$71+C866*AP$71+D866*AQ$71)+F866/100*$B$7*AS$71-$C$71</f>
        <v/>
      </c>
      <c r="N866" s="13">
        <f>SUMPRODUCT($H$24:$M$24,H866:M866)</f>
        <v/>
      </c>
      <c r="O866" s="14">
        <f>SQRT(SUMPRODUCT($H$24:$M$24,(H866:M866-N866)^2))</f>
        <v/>
      </c>
      <c r="P866" s="13">
        <f>MIN(H866:M866)</f>
        <v/>
      </c>
      <c r="Q866" s="13">
        <f>MAX(H866:M866)</f>
        <v/>
      </c>
      <c r="R866" s="27">
        <f>IF(G866,SUMPRODUCT(($G$76:$G$1505)*($N$76:$N$1505&gt;=N866)*($O$76:$O$1505&lt;=O866))=1,FALSE)</f>
        <v/>
      </c>
      <c r="S866" s="16">
        <f>IF(R866,ABS((O866-$AC$76)/MAX(0.0001,$AC$77-$AC$76)-(N866-$AC$78)/MAX(0.0001,$AC$79-$AC$78)),-1)</f>
        <v/>
      </c>
      <c r="T866" s="14">
        <f>IF(G866,O866,NA())</f>
        <v/>
      </c>
      <c r="U866" s="13">
        <f>IF(G866,N866,NA())</f>
        <v/>
      </c>
      <c r="V866" s="14">
        <f>IF(R866,O866,NA())</f>
        <v/>
      </c>
      <c r="W866" s="13">
        <f>IF(R866,N866,NA())</f>
        <v/>
      </c>
      <c r="X866" s="27">
        <f>IF(G866,P866,"")</f>
        <v/>
      </c>
      <c r="Y866" s="27">
        <f>IF(G866,N866,"")</f>
        <v/>
      </c>
      <c r="Z866" s="27">
        <f>IF(R866,O866,"")</f>
        <v/>
      </c>
      <c r="AA866" s="27">
        <f>IF(R866,N866,"")</f>
        <v/>
      </c>
    </row>
    <row r="867">
      <c r="A867" s="31" t="n">
        <v>0.2</v>
      </c>
      <c r="B867" s="31" t="n">
        <v>0.5</v>
      </c>
      <c r="C867" s="31" t="n">
        <v>0.2</v>
      </c>
      <c r="D867" s="31" t="n">
        <v>0.1</v>
      </c>
      <c r="E867" s="27" t="inlineStr">
        <is>
          <t>ON 20%/1M 50%/2M 20%/3M 10%</t>
        </is>
      </c>
      <c r="F867" s="27" t="n">
        <v>25</v>
      </c>
      <c r="G867" s="27">
        <f>A867*$B$7&gt;=$B$9</f>
        <v/>
      </c>
      <c r="H867" s="13">
        <f>$B$7*(A867*E$71+B867*F$71+C867*G$71+D867*H$71)+F867/100*$B$7*J$71-$C$71</f>
        <v/>
      </c>
      <c r="I867" s="13">
        <f>$B$7*(A867*L$71+B867*M$71+C867*N$71+D867*O$71)+F867/100*$B$7*Q$71-$C$71</f>
        <v/>
      </c>
      <c r="J867" s="13">
        <f>$B$7*(A867*S$71+B867*T$71+C867*U$71+D867*V$71)+F867/100*$B$7*X$71-$C$71</f>
        <v/>
      </c>
      <c r="K867" s="13">
        <f>$B$7*(A867*Z$71+B867*AA$71+C867*AB$71+D867*AC$71)+F867/100*$B$7*AE$71-$C$71</f>
        <v/>
      </c>
      <c r="L867" s="13">
        <f>$B$7*(A867*AG$71+B867*AH$71+C867*AI$71+D867*AJ$71)+F867/100*$B$7*AL$71-$C$71</f>
        <v/>
      </c>
      <c r="M867" s="13">
        <f>$B$7*(A867*AN$71+B867*AO$71+C867*AP$71+D867*AQ$71)+F867/100*$B$7*AS$71-$C$71</f>
        <v/>
      </c>
      <c r="N867" s="13">
        <f>SUMPRODUCT($H$24:$M$24,H867:M867)</f>
        <v/>
      </c>
      <c r="O867" s="14">
        <f>SQRT(SUMPRODUCT($H$24:$M$24,(H867:M867-N867)^2))</f>
        <v/>
      </c>
      <c r="P867" s="13">
        <f>MIN(H867:M867)</f>
        <v/>
      </c>
      <c r="Q867" s="13">
        <f>MAX(H867:M867)</f>
        <v/>
      </c>
      <c r="R867" s="27">
        <f>IF(G867,SUMPRODUCT(($G$76:$G$1505)*($N$76:$N$1505&gt;=N867)*($O$76:$O$1505&lt;=O867))=1,FALSE)</f>
        <v/>
      </c>
      <c r="S867" s="16">
        <f>IF(R867,ABS((O867-$AC$76)/MAX(0.0001,$AC$77-$AC$76)-(N867-$AC$78)/MAX(0.0001,$AC$79-$AC$78)),-1)</f>
        <v/>
      </c>
      <c r="T867" s="14">
        <f>IF(G867,O867,NA())</f>
        <v/>
      </c>
      <c r="U867" s="13">
        <f>IF(G867,N867,NA())</f>
        <v/>
      </c>
      <c r="V867" s="14">
        <f>IF(R867,O867,NA())</f>
        <v/>
      </c>
      <c r="W867" s="13">
        <f>IF(R867,N867,NA())</f>
        <v/>
      </c>
      <c r="X867" s="27">
        <f>IF(G867,P867,"")</f>
        <v/>
      </c>
      <c r="Y867" s="27">
        <f>IF(G867,N867,"")</f>
        <v/>
      </c>
      <c r="Z867" s="27">
        <f>IF(R867,O867,"")</f>
        <v/>
      </c>
      <c r="AA867" s="27">
        <f>IF(R867,N867,"")</f>
        <v/>
      </c>
    </row>
    <row r="868">
      <c r="A868" s="31" t="n">
        <v>0.2</v>
      </c>
      <c r="B868" s="31" t="n">
        <v>0.5</v>
      </c>
      <c r="C868" s="31" t="n">
        <v>0.2</v>
      </c>
      <c r="D868" s="31" t="n">
        <v>0.1</v>
      </c>
      <c r="E868" s="27" t="inlineStr">
        <is>
          <t>ON 20%/1M 50%/2M 20%/3M 10%</t>
        </is>
      </c>
      <c r="F868" s="27" t="n">
        <v>50</v>
      </c>
      <c r="G868" s="27">
        <f>A868*$B$7&gt;=$B$9</f>
        <v/>
      </c>
      <c r="H868" s="13">
        <f>$B$7*(A868*E$71+B868*F$71+C868*G$71+D868*H$71)+F868/100*$B$7*J$71-$C$71</f>
        <v/>
      </c>
      <c r="I868" s="13">
        <f>$B$7*(A868*L$71+B868*M$71+C868*N$71+D868*O$71)+F868/100*$B$7*Q$71-$C$71</f>
        <v/>
      </c>
      <c r="J868" s="13">
        <f>$B$7*(A868*S$71+B868*T$71+C868*U$71+D868*V$71)+F868/100*$B$7*X$71-$C$71</f>
        <v/>
      </c>
      <c r="K868" s="13">
        <f>$B$7*(A868*Z$71+B868*AA$71+C868*AB$71+D868*AC$71)+F868/100*$B$7*AE$71-$C$71</f>
        <v/>
      </c>
      <c r="L868" s="13">
        <f>$B$7*(A868*AG$71+B868*AH$71+C868*AI$71+D868*AJ$71)+F868/100*$B$7*AL$71-$C$71</f>
        <v/>
      </c>
      <c r="M868" s="13">
        <f>$B$7*(A868*AN$71+B868*AO$71+C868*AP$71+D868*AQ$71)+F868/100*$B$7*AS$71-$C$71</f>
        <v/>
      </c>
      <c r="N868" s="13">
        <f>SUMPRODUCT($H$24:$M$24,H868:M868)</f>
        <v/>
      </c>
      <c r="O868" s="14">
        <f>SQRT(SUMPRODUCT($H$24:$M$24,(H868:M868-N868)^2))</f>
        <v/>
      </c>
      <c r="P868" s="13">
        <f>MIN(H868:M868)</f>
        <v/>
      </c>
      <c r="Q868" s="13">
        <f>MAX(H868:M868)</f>
        <v/>
      </c>
      <c r="R868" s="27">
        <f>IF(G868,SUMPRODUCT(($G$76:$G$1505)*($N$76:$N$1505&gt;=N868)*($O$76:$O$1505&lt;=O868))=1,FALSE)</f>
        <v/>
      </c>
      <c r="S868" s="16">
        <f>IF(R868,ABS((O868-$AC$76)/MAX(0.0001,$AC$77-$AC$76)-(N868-$AC$78)/MAX(0.0001,$AC$79-$AC$78)),-1)</f>
        <v/>
      </c>
      <c r="T868" s="14">
        <f>IF(G868,O868,NA())</f>
        <v/>
      </c>
      <c r="U868" s="13">
        <f>IF(G868,N868,NA())</f>
        <v/>
      </c>
      <c r="V868" s="14">
        <f>IF(R868,O868,NA())</f>
        <v/>
      </c>
      <c r="W868" s="13">
        <f>IF(R868,N868,NA())</f>
        <v/>
      </c>
      <c r="X868" s="27">
        <f>IF(G868,P868,"")</f>
        <v/>
      </c>
      <c r="Y868" s="27">
        <f>IF(G868,N868,"")</f>
        <v/>
      </c>
      <c r="Z868" s="27">
        <f>IF(R868,O868,"")</f>
        <v/>
      </c>
      <c r="AA868" s="27">
        <f>IF(R868,N868,"")</f>
        <v/>
      </c>
    </row>
    <row r="869">
      <c r="A869" s="31" t="n">
        <v>0.2</v>
      </c>
      <c r="B869" s="31" t="n">
        <v>0.5</v>
      </c>
      <c r="C869" s="31" t="n">
        <v>0.2</v>
      </c>
      <c r="D869" s="31" t="n">
        <v>0.1</v>
      </c>
      <c r="E869" s="27" t="inlineStr">
        <is>
          <t>ON 20%/1M 50%/2M 20%/3M 10%</t>
        </is>
      </c>
      <c r="F869" s="27" t="n">
        <v>75</v>
      </c>
      <c r="G869" s="27">
        <f>A869*$B$7&gt;=$B$9</f>
        <v/>
      </c>
      <c r="H869" s="13">
        <f>$B$7*(A869*E$71+B869*F$71+C869*G$71+D869*H$71)+F869/100*$B$7*J$71-$C$71</f>
        <v/>
      </c>
      <c r="I869" s="13">
        <f>$B$7*(A869*L$71+B869*M$71+C869*N$71+D869*O$71)+F869/100*$B$7*Q$71-$C$71</f>
        <v/>
      </c>
      <c r="J869" s="13">
        <f>$B$7*(A869*S$71+B869*T$71+C869*U$71+D869*V$71)+F869/100*$B$7*X$71-$C$71</f>
        <v/>
      </c>
      <c r="K869" s="13">
        <f>$B$7*(A869*Z$71+B869*AA$71+C869*AB$71+D869*AC$71)+F869/100*$B$7*AE$71-$C$71</f>
        <v/>
      </c>
      <c r="L869" s="13">
        <f>$B$7*(A869*AG$71+B869*AH$71+C869*AI$71+D869*AJ$71)+F869/100*$B$7*AL$71-$C$71</f>
        <v/>
      </c>
      <c r="M869" s="13">
        <f>$B$7*(A869*AN$71+B869*AO$71+C869*AP$71+D869*AQ$71)+F869/100*$B$7*AS$71-$C$71</f>
        <v/>
      </c>
      <c r="N869" s="13">
        <f>SUMPRODUCT($H$24:$M$24,H869:M869)</f>
        <v/>
      </c>
      <c r="O869" s="14">
        <f>SQRT(SUMPRODUCT($H$24:$M$24,(H869:M869-N869)^2))</f>
        <v/>
      </c>
      <c r="P869" s="13">
        <f>MIN(H869:M869)</f>
        <v/>
      </c>
      <c r="Q869" s="13">
        <f>MAX(H869:M869)</f>
        <v/>
      </c>
      <c r="R869" s="27">
        <f>IF(G869,SUMPRODUCT(($G$76:$G$1505)*($N$76:$N$1505&gt;=N869)*($O$76:$O$1505&lt;=O869))=1,FALSE)</f>
        <v/>
      </c>
      <c r="S869" s="16">
        <f>IF(R869,ABS((O869-$AC$76)/MAX(0.0001,$AC$77-$AC$76)-(N869-$AC$78)/MAX(0.0001,$AC$79-$AC$78)),-1)</f>
        <v/>
      </c>
      <c r="T869" s="14">
        <f>IF(G869,O869,NA())</f>
        <v/>
      </c>
      <c r="U869" s="13">
        <f>IF(G869,N869,NA())</f>
        <v/>
      </c>
      <c r="V869" s="14">
        <f>IF(R869,O869,NA())</f>
        <v/>
      </c>
      <c r="W869" s="13">
        <f>IF(R869,N869,NA())</f>
        <v/>
      </c>
      <c r="X869" s="27">
        <f>IF(G869,P869,"")</f>
        <v/>
      </c>
      <c r="Y869" s="27">
        <f>IF(G869,N869,"")</f>
        <v/>
      </c>
      <c r="Z869" s="27">
        <f>IF(R869,O869,"")</f>
        <v/>
      </c>
      <c r="AA869" s="27">
        <f>IF(R869,N869,"")</f>
        <v/>
      </c>
    </row>
    <row r="870">
      <c r="A870" s="31" t="n">
        <v>0.2</v>
      </c>
      <c r="B870" s="31" t="n">
        <v>0.5</v>
      </c>
      <c r="C870" s="31" t="n">
        <v>0.2</v>
      </c>
      <c r="D870" s="31" t="n">
        <v>0.1</v>
      </c>
      <c r="E870" s="27" t="inlineStr">
        <is>
          <t>ON 20%/1M 50%/2M 20%/3M 10%</t>
        </is>
      </c>
      <c r="F870" s="27" t="n">
        <v>100</v>
      </c>
      <c r="G870" s="27">
        <f>A870*$B$7&gt;=$B$9</f>
        <v/>
      </c>
      <c r="H870" s="13">
        <f>$B$7*(A870*E$71+B870*F$71+C870*G$71+D870*H$71)+F870/100*$B$7*J$71-$C$71</f>
        <v/>
      </c>
      <c r="I870" s="13">
        <f>$B$7*(A870*L$71+B870*M$71+C870*N$71+D870*O$71)+F870/100*$B$7*Q$71-$C$71</f>
        <v/>
      </c>
      <c r="J870" s="13">
        <f>$B$7*(A870*S$71+B870*T$71+C870*U$71+D870*V$71)+F870/100*$B$7*X$71-$C$71</f>
        <v/>
      </c>
      <c r="K870" s="13">
        <f>$B$7*(A870*Z$71+B870*AA$71+C870*AB$71+D870*AC$71)+F870/100*$B$7*AE$71-$C$71</f>
        <v/>
      </c>
      <c r="L870" s="13">
        <f>$B$7*(A870*AG$71+B870*AH$71+C870*AI$71+D870*AJ$71)+F870/100*$B$7*AL$71-$C$71</f>
        <v/>
      </c>
      <c r="M870" s="13">
        <f>$B$7*(A870*AN$71+B870*AO$71+C870*AP$71+D870*AQ$71)+F870/100*$B$7*AS$71-$C$71</f>
        <v/>
      </c>
      <c r="N870" s="13">
        <f>SUMPRODUCT($H$24:$M$24,H870:M870)</f>
        <v/>
      </c>
      <c r="O870" s="14">
        <f>SQRT(SUMPRODUCT($H$24:$M$24,(H870:M870-N870)^2))</f>
        <v/>
      </c>
      <c r="P870" s="13">
        <f>MIN(H870:M870)</f>
        <v/>
      </c>
      <c r="Q870" s="13">
        <f>MAX(H870:M870)</f>
        <v/>
      </c>
      <c r="R870" s="27">
        <f>IF(G870,SUMPRODUCT(($G$76:$G$1505)*($N$76:$N$1505&gt;=N870)*($O$76:$O$1505&lt;=O870))=1,FALSE)</f>
        <v/>
      </c>
      <c r="S870" s="16">
        <f>IF(R870,ABS((O870-$AC$76)/MAX(0.0001,$AC$77-$AC$76)-(N870-$AC$78)/MAX(0.0001,$AC$79-$AC$78)),-1)</f>
        <v/>
      </c>
      <c r="T870" s="14">
        <f>IF(G870,O870,NA())</f>
        <v/>
      </c>
      <c r="U870" s="13">
        <f>IF(G870,N870,NA())</f>
        <v/>
      </c>
      <c r="V870" s="14">
        <f>IF(R870,O870,NA())</f>
        <v/>
      </c>
      <c r="W870" s="13">
        <f>IF(R870,N870,NA())</f>
        <v/>
      </c>
      <c r="X870" s="27">
        <f>IF(G870,P870,"")</f>
        <v/>
      </c>
      <c r="Y870" s="27">
        <f>IF(G870,N870,"")</f>
        <v/>
      </c>
      <c r="Z870" s="27">
        <f>IF(R870,O870,"")</f>
        <v/>
      </c>
      <c r="AA870" s="27">
        <f>IF(R870,N870,"")</f>
        <v/>
      </c>
    </row>
    <row r="871">
      <c r="A871" s="31" t="n">
        <v>0.2</v>
      </c>
      <c r="B871" s="31" t="n">
        <v>0.5</v>
      </c>
      <c r="C871" s="31" t="n">
        <v>0.3</v>
      </c>
      <c r="D871" s="31" t="n">
        <v>0</v>
      </c>
      <c r="E871" s="27" t="inlineStr">
        <is>
          <t>ON 20%/1M 50%/2M 30%</t>
        </is>
      </c>
      <c r="F871" s="27" t="n">
        <v>0</v>
      </c>
      <c r="G871" s="27">
        <f>A871*$B$7&gt;=$B$9</f>
        <v/>
      </c>
      <c r="H871" s="13">
        <f>$B$7*(A871*E$71+B871*F$71+C871*G$71+D871*H$71)+F871/100*$B$7*J$71-$C$71</f>
        <v/>
      </c>
      <c r="I871" s="13">
        <f>$B$7*(A871*L$71+B871*M$71+C871*N$71+D871*O$71)+F871/100*$B$7*Q$71-$C$71</f>
        <v/>
      </c>
      <c r="J871" s="13">
        <f>$B$7*(A871*S$71+B871*T$71+C871*U$71+D871*V$71)+F871/100*$B$7*X$71-$C$71</f>
        <v/>
      </c>
      <c r="K871" s="13">
        <f>$B$7*(A871*Z$71+B871*AA$71+C871*AB$71+D871*AC$71)+F871/100*$B$7*AE$71-$C$71</f>
        <v/>
      </c>
      <c r="L871" s="13">
        <f>$B$7*(A871*AG$71+B871*AH$71+C871*AI$71+D871*AJ$71)+F871/100*$B$7*AL$71-$C$71</f>
        <v/>
      </c>
      <c r="M871" s="13">
        <f>$B$7*(A871*AN$71+B871*AO$71+C871*AP$71+D871*AQ$71)+F871/100*$B$7*AS$71-$C$71</f>
        <v/>
      </c>
      <c r="N871" s="13">
        <f>SUMPRODUCT($H$24:$M$24,H871:M871)</f>
        <v/>
      </c>
      <c r="O871" s="14">
        <f>SQRT(SUMPRODUCT($H$24:$M$24,(H871:M871-N871)^2))</f>
        <v/>
      </c>
      <c r="P871" s="13">
        <f>MIN(H871:M871)</f>
        <v/>
      </c>
      <c r="Q871" s="13">
        <f>MAX(H871:M871)</f>
        <v/>
      </c>
      <c r="R871" s="27">
        <f>IF(G871,SUMPRODUCT(($G$76:$G$1505)*($N$76:$N$1505&gt;=N871)*($O$76:$O$1505&lt;=O871))=1,FALSE)</f>
        <v/>
      </c>
      <c r="S871" s="16">
        <f>IF(R871,ABS((O871-$AC$76)/MAX(0.0001,$AC$77-$AC$76)-(N871-$AC$78)/MAX(0.0001,$AC$79-$AC$78)),-1)</f>
        <v/>
      </c>
      <c r="T871" s="14">
        <f>IF(G871,O871,NA())</f>
        <v/>
      </c>
      <c r="U871" s="13">
        <f>IF(G871,N871,NA())</f>
        <v/>
      </c>
      <c r="V871" s="14">
        <f>IF(R871,O871,NA())</f>
        <v/>
      </c>
      <c r="W871" s="13">
        <f>IF(R871,N871,NA())</f>
        <v/>
      </c>
      <c r="X871" s="27">
        <f>IF(G871,P871,"")</f>
        <v/>
      </c>
      <c r="Y871" s="27">
        <f>IF(G871,N871,"")</f>
        <v/>
      </c>
      <c r="Z871" s="27">
        <f>IF(R871,O871,"")</f>
        <v/>
      </c>
      <c r="AA871" s="27">
        <f>IF(R871,N871,"")</f>
        <v/>
      </c>
    </row>
    <row r="872">
      <c r="A872" s="31" t="n">
        <v>0.2</v>
      </c>
      <c r="B872" s="31" t="n">
        <v>0.5</v>
      </c>
      <c r="C872" s="31" t="n">
        <v>0.3</v>
      </c>
      <c r="D872" s="31" t="n">
        <v>0</v>
      </c>
      <c r="E872" s="27" t="inlineStr">
        <is>
          <t>ON 20%/1M 50%/2M 30%</t>
        </is>
      </c>
      <c r="F872" s="27" t="n">
        <v>25</v>
      </c>
      <c r="G872" s="27">
        <f>A872*$B$7&gt;=$B$9</f>
        <v/>
      </c>
      <c r="H872" s="13">
        <f>$B$7*(A872*E$71+B872*F$71+C872*G$71+D872*H$71)+F872/100*$B$7*J$71-$C$71</f>
        <v/>
      </c>
      <c r="I872" s="13">
        <f>$B$7*(A872*L$71+B872*M$71+C872*N$71+D872*O$71)+F872/100*$B$7*Q$71-$C$71</f>
        <v/>
      </c>
      <c r="J872" s="13">
        <f>$B$7*(A872*S$71+B872*T$71+C872*U$71+D872*V$71)+F872/100*$B$7*X$71-$C$71</f>
        <v/>
      </c>
      <c r="K872" s="13">
        <f>$B$7*(A872*Z$71+B872*AA$71+C872*AB$71+D872*AC$71)+F872/100*$B$7*AE$71-$C$71</f>
        <v/>
      </c>
      <c r="L872" s="13">
        <f>$B$7*(A872*AG$71+B872*AH$71+C872*AI$71+D872*AJ$71)+F872/100*$B$7*AL$71-$C$71</f>
        <v/>
      </c>
      <c r="M872" s="13">
        <f>$B$7*(A872*AN$71+B872*AO$71+C872*AP$71+D872*AQ$71)+F872/100*$B$7*AS$71-$C$71</f>
        <v/>
      </c>
      <c r="N872" s="13">
        <f>SUMPRODUCT($H$24:$M$24,H872:M872)</f>
        <v/>
      </c>
      <c r="O872" s="14">
        <f>SQRT(SUMPRODUCT($H$24:$M$24,(H872:M872-N872)^2))</f>
        <v/>
      </c>
      <c r="P872" s="13">
        <f>MIN(H872:M872)</f>
        <v/>
      </c>
      <c r="Q872" s="13">
        <f>MAX(H872:M872)</f>
        <v/>
      </c>
      <c r="R872" s="27">
        <f>IF(G872,SUMPRODUCT(($G$76:$G$1505)*($N$76:$N$1505&gt;=N872)*($O$76:$O$1505&lt;=O872))=1,FALSE)</f>
        <v/>
      </c>
      <c r="S872" s="16">
        <f>IF(R872,ABS((O872-$AC$76)/MAX(0.0001,$AC$77-$AC$76)-(N872-$AC$78)/MAX(0.0001,$AC$79-$AC$78)),-1)</f>
        <v/>
      </c>
      <c r="T872" s="14">
        <f>IF(G872,O872,NA())</f>
        <v/>
      </c>
      <c r="U872" s="13">
        <f>IF(G872,N872,NA())</f>
        <v/>
      </c>
      <c r="V872" s="14">
        <f>IF(R872,O872,NA())</f>
        <v/>
      </c>
      <c r="W872" s="13">
        <f>IF(R872,N872,NA())</f>
        <v/>
      </c>
      <c r="X872" s="27">
        <f>IF(G872,P872,"")</f>
        <v/>
      </c>
      <c r="Y872" s="27">
        <f>IF(G872,N872,"")</f>
        <v/>
      </c>
      <c r="Z872" s="27">
        <f>IF(R872,O872,"")</f>
        <v/>
      </c>
      <c r="AA872" s="27">
        <f>IF(R872,N872,"")</f>
        <v/>
      </c>
    </row>
    <row r="873">
      <c r="A873" s="31" t="n">
        <v>0.2</v>
      </c>
      <c r="B873" s="31" t="n">
        <v>0.5</v>
      </c>
      <c r="C873" s="31" t="n">
        <v>0.3</v>
      </c>
      <c r="D873" s="31" t="n">
        <v>0</v>
      </c>
      <c r="E873" s="27" t="inlineStr">
        <is>
          <t>ON 20%/1M 50%/2M 30%</t>
        </is>
      </c>
      <c r="F873" s="27" t="n">
        <v>50</v>
      </c>
      <c r="G873" s="27">
        <f>A873*$B$7&gt;=$B$9</f>
        <v/>
      </c>
      <c r="H873" s="13">
        <f>$B$7*(A873*E$71+B873*F$71+C873*G$71+D873*H$71)+F873/100*$B$7*J$71-$C$71</f>
        <v/>
      </c>
      <c r="I873" s="13">
        <f>$B$7*(A873*L$71+B873*M$71+C873*N$71+D873*O$71)+F873/100*$B$7*Q$71-$C$71</f>
        <v/>
      </c>
      <c r="J873" s="13">
        <f>$B$7*(A873*S$71+B873*T$71+C873*U$71+D873*V$71)+F873/100*$B$7*X$71-$C$71</f>
        <v/>
      </c>
      <c r="K873" s="13">
        <f>$B$7*(A873*Z$71+B873*AA$71+C873*AB$71+D873*AC$71)+F873/100*$B$7*AE$71-$C$71</f>
        <v/>
      </c>
      <c r="L873" s="13">
        <f>$B$7*(A873*AG$71+B873*AH$71+C873*AI$71+D873*AJ$71)+F873/100*$B$7*AL$71-$C$71</f>
        <v/>
      </c>
      <c r="M873" s="13">
        <f>$B$7*(A873*AN$71+B873*AO$71+C873*AP$71+D873*AQ$71)+F873/100*$B$7*AS$71-$C$71</f>
        <v/>
      </c>
      <c r="N873" s="13">
        <f>SUMPRODUCT($H$24:$M$24,H873:M873)</f>
        <v/>
      </c>
      <c r="O873" s="14">
        <f>SQRT(SUMPRODUCT($H$24:$M$24,(H873:M873-N873)^2))</f>
        <v/>
      </c>
      <c r="P873" s="13">
        <f>MIN(H873:M873)</f>
        <v/>
      </c>
      <c r="Q873" s="13">
        <f>MAX(H873:M873)</f>
        <v/>
      </c>
      <c r="R873" s="27">
        <f>IF(G873,SUMPRODUCT(($G$76:$G$1505)*($N$76:$N$1505&gt;=N873)*($O$76:$O$1505&lt;=O873))=1,FALSE)</f>
        <v/>
      </c>
      <c r="S873" s="16">
        <f>IF(R873,ABS((O873-$AC$76)/MAX(0.0001,$AC$77-$AC$76)-(N873-$AC$78)/MAX(0.0001,$AC$79-$AC$78)),-1)</f>
        <v/>
      </c>
      <c r="T873" s="14">
        <f>IF(G873,O873,NA())</f>
        <v/>
      </c>
      <c r="U873" s="13">
        <f>IF(G873,N873,NA())</f>
        <v/>
      </c>
      <c r="V873" s="14">
        <f>IF(R873,O873,NA())</f>
        <v/>
      </c>
      <c r="W873" s="13">
        <f>IF(R873,N873,NA())</f>
        <v/>
      </c>
      <c r="X873" s="27">
        <f>IF(G873,P873,"")</f>
        <v/>
      </c>
      <c r="Y873" s="27">
        <f>IF(G873,N873,"")</f>
        <v/>
      </c>
      <c r="Z873" s="27">
        <f>IF(R873,O873,"")</f>
        <v/>
      </c>
      <c r="AA873" s="27">
        <f>IF(R873,N873,"")</f>
        <v/>
      </c>
    </row>
    <row r="874">
      <c r="A874" s="31" t="n">
        <v>0.2</v>
      </c>
      <c r="B874" s="31" t="n">
        <v>0.5</v>
      </c>
      <c r="C874" s="31" t="n">
        <v>0.3</v>
      </c>
      <c r="D874" s="31" t="n">
        <v>0</v>
      </c>
      <c r="E874" s="27" t="inlineStr">
        <is>
          <t>ON 20%/1M 50%/2M 30%</t>
        </is>
      </c>
      <c r="F874" s="27" t="n">
        <v>75</v>
      </c>
      <c r="G874" s="27">
        <f>A874*$B$7&gt;=$B$9</f>
        <v/>
      </c>
      <c r="H874" s="13">
        <f>$B$7*(A874*E$71+B874*F$71+C874*G$71+D874*H$71)+F874/100*$B$7*J$71-$C$71</f>
        <v/>
      </c>
      <c r="I874" s="13">
        <f>$B$7*(A874*L$71+B874*M$71+C874*N$71+D874*O$71)+F874/100*$B$7*Q$71-$C$71</f>
        <v/>
      </c>
      <c r="J874" s="13">
        <f>$B$7*(A874*S$71+B874*T$71+C874*U$71+D874*V$71)+F874/100*$B$7*X$71-$C$71</f>
        <v/>
      </c>
      <c r="K874" s="13">
        <f>$B$7*(A874*Z$71+B874*AA$71+C874*AB$71+D874*AC$71)+F874/100*$B$7*AE$71-$C$71</f>
        <v/>
      </c>
      <c r="L874" s="13">
        <f>$B$7*(A874*AG$71+B874*AH$71+C874*AI$71+D874*AJ$71)+F874/100*$B$7*AL$71-$C$71</f>
        <v/>
      </c>
      <c r="M874" s="13">
        <f>$B$7*(A874*AN$71+B874*AO$71+C874*AP$71+D874*AQ$71)+F874/100*$B$7*AS$71-$C$71</f>
        <v/>
      </c>
      <c r="N874" s="13">
        <f>SUMPRODUCT($H$24:$M$24,H874:M874)</f>
        <v/>
      </c>
      <c r="O874" s="14">
        <f>SQRT(SUMPRODUCT($H$24:$M$24,(H874:M874-N874)^2))</f>
        <v/>
      </c>
      <c r="P874" s="13">
        <f>MIN(H874:M874)</f>
        <v/>
      </c>
      <c r="Q874" s="13">
        <f>MAX(H874:M874)</f>
        <v/>
      </c>
      <c r="R874" s="27">
        <f>IF(G874,SUMPRODUCT(($G$76:$G$1505)*($N$76:$N$1505&gt;=N874)*($O$76:$O$1505&lt;=O874))=1,FALSE)</f>
        <v/>
      </c>
      <c r="S874" s="16">
        <f>IF(R874,ABS((O874-$AC$76)/MAX(0.0001,$AC$77-$AC$76)-(N874-$AC$78)/MAX(0.0001,$AC$79-$AC$78)),-1)</f>
        <v/>
      </c>
      <c r="T874" s="14">
        <f>IF(G874,O874,NA())</f>
        <v/>
      </c>
      <c r="U874" s="13">
        <f>IF(G874,N874,NA())</f>
        <v/>
      </c>
      <c r="V874" s="14">
        <f>IF(R874,O874,NA())</f>
        <v/>
      </c>
      <c r="W874" s="13">
        <f>IF(R874,N874,NA())</f>
        <v/>
      </c>
      <c r="X874" s="27">
        <f>IF(G874,P874,"")</f>
        <v/>
      </c>
      <c r="Y874" s="27">
        <f>IF(G874,N874,"")</f>
        <v/>
      </c>
      <c r="Z874" s="27">
        <f>IF(R874,O874,"")</f>
        <v/>
      </c>
      <c r="AA874" s="27">
        <f>IF(R874,N874,"")</f>
        <v/>
      </c>
    </row>
    <row r="875">
      <c r="A875" s="31" t="n">
        <v>0.2</v>
      </c>
      <c r="B875" s="31" t="n">
        <v>0.5</v>
      </c>
      <c r="C875" s="31" t="n">
        <v>0.3</v>
      </c>
      <c r="D875" s="31" t="n">
        <v>0</v>
      </c>
      <c r="E875" s="27" t="inlineStr">
        <is>
          <t>ON 20%/1M 50%/2M 30%</t>
        </is>
      </c>
      <c r="F875" s="27" t="n">
        <v>100</v>
      </c>
      <c r="G875" s="27">
        <f>A875*$B$7&gt;=$B$9</f>
        <v/>
      </c>
      <c r="H875" s="13">
        <f>$B$7*(A875*E$71+B875*F$71+C875*G$71+D875*H$71)+F875/100*$B$7*J$71-$C$71</f>
        <v/>
      </c>
      <c r="I875" s="13">
        <f>$B$7*(A875*L$71+B875*M$71+C875*N$71+D875*O$71)+F875/100*$B$7*Q$71-$C$71</f>
        <v/>
      </c>
      <c r="J875" s="13">
        <f>$B$7*(A875*S$71+B875*T$71+C875*U$71+D875*V$71)+F875/100*$B$7*X$71-$C$71</f>
        <v/>
      </c>
      <c r="K875" s="13">
        <f>$B$7*(A875*Z$71+B875*AA$71+C875*AB$71+D875*AC$71)+F875/100*$B$7*AE$71-$C$71</f>
        <v/>
      </c>
      <c r="L875" s="13">
        <f>$B$7*(A875*AG$71+B875*AH$71+C875*AI$71+D875*AJ$71)+F875/100*$B$7*AL$71-$C$71</f>
        <v/>
      </c>
      <c r="M875" s="13">
        <f>$B$7*(A875*AN$71+B875*AO$71+C875*AP$71+D875*AQ$71)+F875/100*$B$7*AS$71-$C$71</f>
        <v/>
      </c>
      <c r="N875" s="13">
        <f>SUMPRODUCT($H$24:$M$24,H875:M875)</f>
        <v/>
      </c>
      <c r="O875" s="14">
        <f>SQRT(SUMPRODUCT($H$24:$M$24,(H875:M875-N875)^2))</f>
        <v/>
      </c>
      <c r="P875" s="13">
        <f>MIN(H875:M875)</f>
        <v/>
      </c>
      <c r="Q875" s="13">
        <f>MAX(H875:M875)</f>
        <v/>
      </c>
      <c r="R875" s="27">
        <f>IF(G875,SUMPRODUCT(($G$76:$G$1505)*($N$76:$N$1505&gt;=N875)*($O$76:$O$1505&lt;=O875))=1,FALSE)</f>
        <v/>
      </c>
      <c r="S875" s="16">
        <f>IF(R875,ABS((O875-$AC$76)/MAX(0.0001,$AC$77-$AC$76)-(N875-$AC$78)/MAX(0.0001,$AC$79-$AC$78)),-1)</f>
        <v/>
      </c>
      <c r="T875" s="14">
        <f>IF(G875,O875,NA())</f>
        <v/>
      </c>
      <c r="U875" s="13">
        <f>IF(G875,N875,NA())</f>
        <v/>
      </c>
      <c r="V875" s="14">
        <f>IF(R875,O875,NA())</f>
        <v/>
      </c>
      <c r="W875" s="13">
        <f>IF(R875,N875,NA())</f>
        <v/>
      </c>
      <c r="X875" s="27">
        <f>IF(G875,P875,"")</f>
        <v/>
      </c>
      <c r="Y875" s="27">
        <f>IF(G875,N875,"")</f>
        <v/>
      </c>
      <c r="Z875" s="27">
        <f>IF(R875,O875,"")</f>
        <v/>
      </c>
      <c r="AA875" s="27">
        <f>IF(R875,N875,"")</f>
        <v/>
      </c>
    </row>
    <row r="876">
      <c r="A876" s="31" t="n">
        <v>0.2</v>
      </c>
      <c r="B876" s="31" t="n">
        <v>0.6</v>
      </c>
      <c r="C876" s="31" t="n">
        <v>0</v>
      </c>
      <c r="D876" s="31" t="n">
        <v>0.2</v>
      </c>
      <c r="E876" s="27" t="inlineStr">
        <is>
          <t>ON 20%/1M 60%/3M 20%</t>
        </is>
      </c>
      <c r="F876" s="27" t="n">
        <v>0</v>
      </c>
      <c r="G876" s="27">
        <f>A876*$B$7&gt;=$B$9</f>
        <v/>
      </c>
      <c r="H876" s="13">
        <f>$B$7*(A876*E$71+B876*F$71+C876*G$71+D876*H$71)+F876/100*$B$7*J$71-$C$71</f>
        <v/>
      </c>
      <c r="I876" s="13">
        <f>$B$7*(A876*L$71+B876*M$71+C876*N$71+D876*O$71)+F876/100*$B$7*Q$71-$C$71</f>
        <v/>
      </c>
      <c r="J876" s="13">
        <f>$B$7*(A876*S$71+B876*T$71+C876*U$71+D876*V$71)+F876/100*$B$7*X$71-$C$71</f>
        <v/>
      </c>
      <c r="K876" s="13">
        <f>$B$7*(A876*Z$71+B876*AA$71+C876*AB$71+D876*AC$71)+F876/100*$B$7*AE$71-$C$71</f>
        <v/>
      </c>
      <c r="L876" s="13">
        <f>$B$7*(A876*AG$71+B876*AH$71+C876*AI$71+D876*AJ$71)+F876/100*$B$7*AL$71-$C$71</f>
        <v/>
      </c>
      <c r="M876" s="13">
        <f>$B$7*(A876*AN$71+B876*AO$71+C876*AP$71+D876*AQ$71)+F876/100*$B$7*AS$71-$C$71</f>
        <v/>
      </c>
      <c r="N876" s="13">
        <f>SUMPRODUCT($H$24:$M$24,H876:M876)</f>
        <v/>
      </c>
      <c r="O876" s="14">
        <f>SQRT(SUMPRODUCT($H$24:$M$24,(H876:M876-N876)^2))</f>
        <v/>
      </c>
      <c r="P876" s="13">
        <f>MIN(H876:M876)</f>
        <v/>
      </c>
      <c r="Q876" s="13">
        <f>MAX(H876:M876)</f>
        <v/>
      </c>
      <c r="R876" s="27">
        <f>IF(G876,SUMPRODUCT(($G$76:$G$1505)*($N$76:$N$1505&gt;=N876)*($O$76:$O$1505&lt;=O876))=1,FALSE)</f>
        <v/>
      </c>
      <c r="S876" s="16">
        <f>IF(R876,ABS((O876-$AC$76)/MAX(0.0001,$AC$77-$AC$76)-(N876-$AC$78)/MAX(0.0001,$AC$79-$AC$78)),-1)</f>
        <v/>
      </c>
      <c r="T876" s="14">
        <f>IF(G876,O876,NA())</f>
        <v/>
      </c>
      <c r="U876" s="13">
        <f>IF(G876,N876,NA())</f>
        <v/>
      </c>
      <c r="V876" s="14">
        <f>IF(R876,O876,NA())</f>
        <v/>
      </c>
      <c r="W876" s="13">
        <f>IF(R876,N876,NA())</f>
        <v/>
      </c>
      <c r="X876" s="27">
        <f>IF(G876,P876,"")</f>
        <v/>
      </c>
      <c r="Y876" s="27">
        <f>IF(G876,N876,"")</f>
        <v/>
      </c>
      <c r="Z876" s="27">
        <f>IF(R876,O876,"")</f>
        <v/>
      </c>
      <c r="AA876" s="27">
        <f>IF(R876,N876,"")</f>
        <v/>
      </c>
    </row>
    <row r="877">
      <c r="A877" s="31" t="n">
        <v>0.2</v>
      </c>
      <c r="B877" s="31" t="n">
        <v>0.6</v>
      </c>
      <c r="C877" s="31" t="n">
        <v>0</v>
      </c>
      <c r="D877" s="31" t="n">
        <v>0.2</v>
      </c>
      <c r="E877" s="27" t="inlineStr">
        <is>
          <t>ON 20%/1M 60%/3M 20%</t>
        </is>
      </c>
      <c r="F877" s="27" t="n">
        <v>25</v>
      </c>
      <c r="G877" s="27">
        <f>A877*$B$7&gt;=$B$9</f>
        <v/>
      </c>
      <c r="H877" s="13">
        <f>$B$7*(A877*E$71+B877*F$71+C877*G$71+D877*H$71)+F877/100*$B$7*J$71-$C$71</f>
        <v/>
      </c>
      <c r="I877" s="13">
        <f>$B$7*(A877*L$71+B877*M$71+C877*N$71+D877*O$71)+F877/100*$B$7*Q$71-$C$71</f>
        <v/>
      </c>
      <c r="J877" s="13">
        <f>$B$7*(A877*S$71+B877*T$71+C877*U$71+D877*V$71)+F877/100*$B$7*X$71-$C$71</f>
        <v/>
      </c>
      <c r="K877" s="13">
        <f>$B$7*(A877*Z$71+B877*AA$71+C877*AB$71+D877*AC$71)+F877/100*$B$7*AE$71-$C$71</f>
        <v/>
      </c>
      <c r="L877" s="13">
        <f>$B$7*(A877*AG$71+B877*AH$71+C877*AI$71+D877*AJ$71)+F877/100*$B$7*AL$71-$C$71</f>
        <v/>
      </c>
      <c r="M877" s="13">
        <f>$B$7*(A877*AN$71+B877*AO$71+C877*AP$71+D877*AQ$71)+F877/100*$B$7*AS$71-$C$71</f>
        <v/>
      </c>
      <c r="N877" s="13">
        <f>SUMPRODUCT($H$24:$M$24,H877:M877)</f>
        <v/>
      </c>
      <c r="O877" s="14">
        <f>SQRT(SUMPRODUCT($H$24:$M$24,(H877:M877-N877)^2))</f>
        <v/>
      </c>
      <c r="P877" s="13">
        <f>MIN(H877:M877)</f>
        <v/>
      </c>
      <c r="Q877" s="13">
        <f>MAX(H877:M877)</f>
        <v/>
      </c>
      <c r="R877" s="27">
        <f>IF(G877,SUMPRODUCT(($G$76:$G$1505)*($N$76:$N$1505&gt;=N877)*($O$76:$O$1505&lt;=O877))=1,FALSE)</f>
        <v/>
      </c>
      <c r="S877" s="16">
        <f>IF(R877,ABS((O877-$AC$76)/MAX(0.0001,$AC$77-$AC$76)-(N877-$AC$78)/MAX(0.0001,$AC$79-$AC$78)),-1)</f>
        <v/>
      </c>
      <c r="T877" s="14">
        <f>IF(G877,O877,NA())</f>
        <v/>
      </c>
      <c r="U877" s="13">
        <f>IF(G877,N877,NA())</f>
        <v/>
      </c>
      <c r="V877" s="14">
        <f>IF(R877,O877,NA())</f>
        <v/>
      </c>
      <c r="W877" s="13">
        <f>IF(R877,N877,NA())</f>
        <v/>
      </c>
      <c r="X877" s="27">
        <f>IF(G877,P877,"")</f>
        <v/>
      </c>
      <c r="Y877" s="27">
        <f>IF(G877,N877,"")</f>
        <v/>
      </c>
      <c r="Z877" s="27">
        <f>IF(R877,O877,"")</f>
        <v/>
      </c>
      <c r="AA877" s="27">
        <f>IF(R877,N877,"")</f>
        <v/>
      </c>
    </row>
    <row r="878">
      <c r="A878" s="31" t="n">
        <v>0.2</v>
      </c>
      <c r="B878" s="31" t="n">
        <v>0.6</v>
      </c>
      <c r="C878" s="31" t="n">
        <v>0</v>
      </c>
      <c r="D878" s="31" t="n">
        <v>0.2</v>
      </c>
      <c r="E878" s="27" t="inlineStr">
        <is>
          <t>ON 20%/1M 60%/3M 20%</t>
        </is>
      </c>
      <c r="F878" s="27" t="n">
        <v>50</v>
      </c>
      <c r="G878" s="27">
        <f>A878*$B$7&gt;=$B$9</f>
        <v/>
      </c>
      <c r="H878" s="13">
        <f>$B$7*(A878*E$71+B878*F$71+C878*G$71+D878*H$71)+F878/100*$B$7*J$71-$C$71</f>
        <v/>
      </c>
      <c r="I878" s="13">
        <f>$B$7*(A878*L$71+B878*M$71+C878*N$71+D878*O$71)+F878/100*$B$7*Q$71-$C$71</f>
        <v/>
      </c>
      <c r="J878" s="13">
        <f>$B$7*(A878*S$71+B878*T$71+C878*U$71+D878*V$71)+F878/100*$B$7*X$71-$C$71</f>
        <v/>
      </c>
      <c r="K878" s="13">
        <f>$B$7*(A878*Z$71+B878*AA$71+C878*AB$71+D878*AC$71)+F878/100*$B$7*AE$71-$C$71</f>
        <v/>
      </c>
      <c r="L878" s="13">
        <f>$B$7*(A878*AG$71+B878*AH$71+C878*AI$71+D878*AJ$71)+F878/100*$B$7*AL$71-$C$71</f>
        <v/>
      </c>
      <c r="M878" s="13">
        <f>$B$7*(A878*AN$71+B878*AO$71+C878*AP$71+D878*AQ$71)+F878/100*$B$7*AS$71-$C$71</f>
        <v/>
      </c>
      <c r="N878" s="13">
        <f>SUMPRODUCT($H$24:$M$24,H878:M878)</f>
        <v/>
      </c>
      <c r="O878" s="14">
        <f>SQRT(SUMPRODUCT($H$24:$M$24,(H878:M878-N878)^2))</f>
        <v/>
      </c>
      <c r="P878" s="13">
        <f>MIN(H878:M878)</f>
        <v/>
      </c>
      <c r="Q878" s="13">
        <f>MAX(H878:M878)</f>
        <v/>
      </c>
      <c r="R878" s="27">
        <f>IF(G878,SUMPRODUCT(($G$76:$G$1505)*($N$76:$N$1505&gt;=N878)*($O$76:$O$1505&lt;=O878))=1,FALSE)</f>
        <v/>
      </c>
      <c r="S878" s="16">
        <f>IF(R878,ABS((O878-$AC$76)/MAX(0.0001,$AC$77-$AC$76)-(N878-$AC$78)/MAX(0.0001,$AC$79-$AC$78)),-1)</f>
        <v/>
      </c>
      <c r="T878" s="14">
        <f>IF(G878,O878,NA())</f>
        <v/>
      </c>
      <c r="U878" s="13">
        <f>IF(G878,N878,NA())</f>
        <v/>
      </c>
      <c r="V878" s="14">
        <f>IF(R878,O878,NA())</f>
        <v/>
      </c>
      <c r="W878" s="13">
        <f>IF(R878,N878,NA())</f>
        <v/>
      </c>
      <c r="X878" s="27">
        <f>IF(G878,P878,"")</f>
        <v/>
      </c>
      <c r="Y878" s="27">
        <f>IF(G878,N878,"")</f>
        <v/>
      </c>
      <c r="Z878" s="27">
        <f>IF(R878,O878,"")</f>
        <v/>
      </c>
      <c r="AA878" s="27">
        <f>IF(R878,N878,"")</f>
        <v/>
      </c>
    </row>
    <row r="879">
      <c r="A879" s="31" t="n">
        <v>0.2</v>
      </c>
      <c r="B879" s="31" t="n">
        <v>0.6</v>
      </c>
      <c r="C879" s="31" t="n">
        <v>0</v>
      </c>
      <c r="D879" s="31" t="n">
        <v>0.2</v>
      </c>
      <c r="E879" s="27" t="inlineStr">
        <is>
          <t>ON 20%/1M 60%/3M 20%</t>
        </is>
      </c>
      <c r="F879" s="27" t="n">
        <v>75</v>
      </c>
      <c r="G879" s="27">
        <f>A879*$B$7&gt;=$B$9</f>
        <v/>
      </c>
      <c r="H879" s="13">
        <f>$B$7*(A879*E$71+B879*F$71+C879*G$71+D879*H$71)+F879/100*$B$7*J$71-$C$71</f>
        <v/>
      </c>
      <c r="I879" s="13">
        <f>$B$7*(A879*L$71+B879*M$71+C879*N$71+D879*O$71)+F879/100*$B$7*Q$71-$C$71</f>
        <v/>
      </c>
      <c r="J879" s="13">
        <f>$B$7*(A879*S$71+B879*T$71+C879*U$71+D879*V$71)+F879/100*$B$7*X$71-$C$71</f>
        <v/>
      </c>
      <c r="K879" s="13">
        <f>$B$7*(A879*Z$71+B879*AA$71+C879*AB$71+D879*AC$71)+F879/100*$B$7*AE$71-$C$71</f>
        <v/>
      </c>
      <c r="L879" s="13">
        <f>$B$7*(A879*AG$71+B879*AH$71+C879*AI$71+D879*AJ$71)+F879/100*$B$7*AL$71-$C$71</f>
        <v/>
      </c>
      <c r="M879" s="13">
        <f>$B$7*(A879*AN$71+B879*AO$71+C879*AP$71+D879*AQ$71)+F879/100*$B$7*AS$71-$C$71</f>
        <v/>
      </c>
      <c r="N879" s="13">
        <f>SUMPRODUCT($H$24:$M$24,H879:M879)</f>
        <v/>
      </c>
      <c r="O879" s="14">
        <f>SQRT(SUMPRODUCT($H$24:$M$24,(H879:M879-N879)^2))</f>
        <v/>
      </c>
      <c r="P879" s="13">
        <f>MIN(H879:M879)</f>
        <v/>
      </c>
      <c r="Q879" s="13">
        <f>MAX(H879:M879)</f>
        <v/>
      </c>
      <c r="R879" s="27">
        <f>IF(G879,SUMPRODUCT(($G$76:$G$1505)*($N$76:$N$1505&gt;=N879)*($O$76:$O$1505&lt;=O879))=1,FALSE)</f>
        <v/>
      </c>
      <c r="S879" s="16">
        <f>IF(R879,ABS((O879-$AC$76)/MAX(0.0001,$AC$77-$AC$76)-(N879-$AC$78)/MAX(0.0001,$AC$79-$AC$78)),-1)</f>
        <v/>
      </c>
      <c r="T879" s="14">
        <f>IF(G879,O879,NA())</f>
        <v/>
      </c>
      <c r="U879" s="13">
        <f>IF(G879,N879,NA())</f>
        <v/>
      </c>
      <c r="V879" s="14">
        <f>IF(R879,O879,NA())</f>
        <v/>
      </c>
      <c r="W879" s="13">
        <f>IF(R879,N879,NA())</f>
        <v/>
      </c>
      <c r="X879" s="27">
        <f>IF(G879,P879,"")</f>
        <v/>
      </c>
      <c r="Y879" s="27">
        <f>IF(G879,N879,"")</f>
        <v/>
      </c>
      <c r="Z879" s="27">
        <f>IF(R879,O879,"")</f>
        <v/>
      </c>
      <c r="AA879" s="27">
        <f>IF(R879,N879,"")</f>
        <v/>
      </c>
    </row>
    <row r="880">
      <c r="A880" s="31" t="n">
        <v>0.2</v>
      </c>
      <c r="B880" s="31" t="n">
        <v>0.6</v>
      </c>
      <c r="C880" s="31" t="n">
        <v>0</v>
      </c>
      <c r="D880" s="31" t="n">
        <v>0.2</v>
      </c>
      <c r="E880" s="27" t="inlineStr">
        <is>
          <t>ON 20%/1M 60%/3M 20%</t>
        </is>
      </c>
      <c r="F880" s="27" t="n">
        <v>100</v>
      </c>
      <c r="G880" s="27">
        <f>A880*$B$7&gt;=$B$9</f>
        <v/>
      </c>
      <c r="H880" s="13">
        <f>$B$7*(A880*E$71+B880*F$71+C880*G$71+D880*H$71)+F880/100*$B$7*J$71-$C$71</f>
        <v/>
      </c>
      <c r="I880" s="13">
        <f>$B$7*(A880*L$71+B880*M$71+C880*N$71+D880*O$71)+F880/100*$B$7*Q$71-$C$71</f>
        <v/>
      </c>
      <c r="J880" s="13">
        <f>$B$7*(A880*S$71+B880*T$71+C880*U$71+D880*V$71)+F880/100*$B$7*X$71-$C$71</f>
        <v/>
      </c>
      <c r="K880" s="13">
        <f>$B$7*(A880*Z$71+B880*AA$71+C880*AB$71+D880*AC$71)+F880/100*$B$7*AE$71-$C$71</f>
        <v/>
      </c>
      <c r="L880" s="13">
        <f>$B$7*(A880*AG$71+B880*AH$71+C880*AI$71+D880*AJ$71)+F880/100*$B$7*AL$71-$C$71</f>
        <v/>
      </c>
      <c r="M880" s="13">
        <f>$B$7*(A880*AN$71+B880*AO$71+C880*AP$71+D880*AQ$71)+F880/100*$B$7*AS$71-$C$71</f>
        <v/>
      </c>
      <c r="N880" s="13">
        <f>SUMPRODUCT($H$24:$M$24,H880:M880)</f>
        <v/>
      </c>
      <c r="O880" s="14">
        <f>SQRT(SUMPRODUCT($H$24:$M$24,(H880:M880-N880)^2))</f>
        <v/>
      </c>
      <c r="P880" s="13">
        <f>MIN(H880:M880)</f>
        <v/>
      </c>
      <c r="Q880" s="13">
        <f>MAX(H880:M880)</f>
        <v/>
      </c>
      <c r="R880" s="27">
        <f>IF(G880,SUMPRODUCT(($G$76:$G$1505)*($N$76:$N$1505&gt;=N880)*($O$76:$O$1505&lt;=O880))=1,FALSE)</f>
        <v/>
      </c>
      <c r="S880" s="16">
        <f>IF(R880,ABS((O880-$AC$76)/MAX(0.0001,$AC$77-$AC$76)-(N880-$AC$78)/MAX(0.0001,$AC$79-$AC$78)),-1)</f>
        <v/>
      </c>
      <c r="T880" s="14">
        <f>IF(G880,O880,NA())</f>
        <v/>
      </c>
      <c r="U880" s="13">
        <f>IF(G880,N880,NA())</f>
        <v/>
      </c>
      <c r="V880" s="14">
        <f>IF(R880,O880,NA())</f>
        <v/>
      </c>
      <c r="W880" s="13">
        <f>IF(R880,N880,NA())</f>
        <v/>
      </c>
      <c r="X880" s="27">
        <f>IF(G880,P880,"")</f>
        <v/>
      </c>
      <c r="Y880" s="27">
        <f>IF(G880,N880,"")</f>
        <v/>
      </c>
      <c r="Z880" s="27">
        <f>IF(R880,O880,"")</f>
        <v/>
      </c>
      <c r="AA880" s="27">
        <f>IF(R880,N880,"")</f>
        <v/>
      </c>
    </row>
    <row r="881">
      <c r="A881" s="31" t="n">
        <v>0.2</v>
      </c>
      <c r="B881" s="31" t="n">
        <v>0.6</v>
      </c>
      <c r="C881" s="31" t="n">
        <v>0.1</v>
      </c>
      <c r="D881" s="31" t="n">
        <v>0.1</v>
      </c>
      <c r="E881" s="27" t="inlineStr">
        <is>
          <t>ON 20%/1M 60%/2M 10%/3M 10%</t>
        </is>
      </c>
      <c r="F881" s="27" t="n">
        <v>0</v>
      </c>
      <c r="G881" s="27">
        <f>A881*$B$7&gt;=$B$9</f>
        <v/>
      </c>
      <c r="H881" s="13">
        <f>$B$7*(A881*E$71+B881*F$71+C881*G$71+D881*H$71)+F881/100*$B$7*J$71-$C$71</f>
        <v/>
      </c>
      <c r="I881" s="13">
        <f>$B$7*(A881*L$71+B881*M$71+C881*N$71+D881*O$71)+F881/100*$B$7*Q$71-$C$71</f>
        <v/>
      </c>
      <c r="J881" s="13">
        <f>$B$7*(A881*S$71+B881*T$71+C881*U$71+D881*V$71)+F881/100*$B$7*X$71-$C$71</f>
        <v/>
      </c>
      <c r="K881" s="13">
        <f>$B$7*(A881*Z$71+B881*AA$71+C881*AB$71+D881*AC$71)+F881/100*$B$7*AE$71-$C$71</f>
        <v/>
      </c>
      <c r="L881" s="13">
        <f>$B$7*(A881*AG$71+B881*AH$71+C881*AI$71+D881*AJ$71)+F881/100*$B$7*AL$71-$C$71</f>
        <v/>
      </c>
      <c r="M881" s="13">
        <f>$B$7*(A881*AN$71+B881*AO$71+C881*AP$71+D881*AQ$71)+F881/100*$B$7*AS$71-$C$71</f>
        <v/>
      </c>
      <c r="N881" s="13">
        <f>SUMPRODUCT($H$24:$M$24,H881:M881)</f>
        <v/>
      </c>
      <c r="O881" s="14">
        <f>SQRT(SUMPRODUCT($H$24:$M$24,(H881:M881-N881)^2))</f>
        <v/>
      </c>
      <c r="P881" s="13">
        <f>MIN(H881:M881)</f>
        <v/>
      </c>
      <c r="Q881" s="13">
        <f>MAX(H881:M881)</f>
        <v/>
      </c>
      <c r="R881" s="27">
        <f>IF(G881,SUMPRODUCT(($G$76:$G$1505)*($N$76:$N$1505&gt;=N881)*($O$76:$O$1505&lt;=O881))=1,FALSE)</f>
        <v/>
      </c>
      <c r="S881" s="16">
        <f>IF(R881,ABS((O881-$AC$76)/MAX(0.0001,$AC$77-$AC$76)-(N881-$AC$78)/MAX(0.0001,$AC$79-$AC$78)),-1)</f>
        <v/>
      </c>
      <c r="T881" s="14">
        <f>IF(G881,O881,NA())</f>
        <v/>
      </c>
      <c r="U881" s="13">
        <f>IF(G881,N881,NA())</f>
        <v/>
      </c>
      <c r="V881" s="14">
        <f>IF(R881,O881,NA())</f>
        <v/>
      </c>
      <c r="W881" s="13">
        <f>IF(R881,N881,NA())</f>
        <v/>
      </c>
      <c r="X881" s="27">
        <f>IF(G881,P881,"")</f>
        <v/>
      </c>
      <c r="Y881" s="27">
        <f>IF(G881,N881,"")</f>
        <v/>
      </c>
      <c r="Z881" s="27">
        <f>IF(R881,O881,"")</f>
        <v/>
      </c>
      <c r="AA881" s="27">
        <f>IF(R881,N881,"")</f>
        <v/>
      </c>
    </row>
    <row r="882">
      <c r="A882" s="31" t="n">
        <v>0.2</v>
      </c>
      <c r="B882" s="31" t="n">
        <v>0.6</v>
      </c>
      <c r="C882" s="31" t="n">
        <v>0.1</v>
      </c>
      <c r="D882" s="31" t="n">
        <v>0.1</v>
      </c>
      <c r="E882" s="27" t="inlineStr">
        <is>
          <t>ON 20%/1M 60%/2M 10%/3M 10%</t>
        </is>
      </c>
      <c r="F882" s="27" t="n">
        <v>25</v>
      </c>
      <c r="G882" s="27">
        <f>A882*$B$7&gt;=$B$9</f>
        <v/>
      </c>
      <c r="H882" s="13">
        <f>$B$7*(A882*E$71+B882*F$71+C882*G$71+D882*H$71)+F882/100*$B$7*J$71-$C$71</f>
        <v/>
      </c>
      <c r="I882" s="13">
        <f>$B$7*(A882*L$71+B882*M$71+C882*N$71+D882*O$71)+F882/100*$B$7*Q$71-$C$71</f>
        <v/>
      </c>
      <c r="J882" s="13">
        <f>$B$7*(A882*S$71+B882*T$71+C882*U$71+D882*V$71)+F882/100*$B$7*X$71-$C$71</f>
        <v/>
      </c>
      <c r="K882" s="13">
        <f>$B$7*(A882*Z$71+B882*AA$71+C882*AB$71+D882*AC$71)+F882/100*$B$7*AE$71-$C$71</f>
        <v/>
      </c>
      <c r="L882" s="13">
        <f>$B$7*(A882*AG$71+B882*AH$71+C882*AI$71+D882*AJ$71)+F882/100*$B$7*AL$71-$C$71</f>
        <v/>
      </c>
      <c r="M882" s="13">
        <f>$B$7*(A882*AN$71+B882*AO$71+C882*AP$71+D882*AQ$71)+F882/100*$B$7*AS$71-$C$71</f>
        <v/>
      </c>
      <c r="N882" s="13">
        <f>SUMPRODUCT($H$24:$M$24,H882:M882)</f>
        <v/>
      </c>
      <c r="O882" s="14">
        <f>SQRT(SUMPRODUCT($H$24:$M$24,(H882:M882-N882)^2))</f>
        <v/>
      </c>
      <c r="P882" s="13">
        <f>MIN(H882:M882)</f>
        <v/>
      </c>
      <c r="Q882" s="13">
        <f>MAX(H882:M882)</f>
        <v/>
      </c>
      <c r="R882" s="27">
        <f>IF(G882,SUMPRODUCT(($G$76:$G$1505)*($N$76:$N$1505&gt;=N882)*($O$76:$O$1505&lt;=O882))=1,FALSE)</f>
        <v/>
      </c>
      <c r="S882" s="16">
        <f>IF(R882,ABS((O882-$AC$76)/MAX(0.0001,$AC$77-$AC$76)-(N882-$AC$78)/MAX(0.0001,$AC$79-$AC$78)),-1)</f>
        <v/>
      </c>
      <c r="T882" s="14">
        <f>IF(G882,O882,NA())</f>
        <v/>
      </c>
      <c r="U882" s="13">
        <f>IF(G882,N882,NA())</f>
        <v/>
      </c>
      <c r="V882" s="14">
        <f>IF(R882,O882,NA())</f>
        <v/>
      </c>
      <c r="W882" s="13">
        <f>IF(R882,N882,NA())</f>
        <v/>
      </c>
      <c r="X882" s="27">
        <f>IF(G882,P882,"")</f>
        <v/>
      </c>
      <c r="Y882" s="27">
        <f>IF(G882,N882,"")</f>
        <v/>
      </c>
      <c r="Z882" s="27">
        <f>IF(R882,O882,"")</f>
        <v/>
      </c>
      <c r="AA882" s="27">
        <f>IF(R882,N882,"")</f>
        <v/>
      </c>
    </row>
    <row r="883">
      <c r="A883" s="31" t="n">
        <v>0.2</v>
      </c>
      <c r="B883" s="31" t="n">
        <v>0.6</v>
      </c>
      <c r="C883" s="31" t="n">
        <v>0.1</v>
      </c>
      <c r="D883" s="31" t="n">
        <v>0.1</v>
      </c>
      <c r="E883" s="27" t="inlineStr">
        <is>
          <t>ON 20%/1M 60%/2M 10%/3M 10%</t>
        </is>
      </c>
      <c r="F883" s="27" t="n">
        <v>50</v>
      </c>
      <c r="G883" s="27">
        <f>A883*$B$7&gt;=$B$9</f>
        <v/>
      </c>
      <c r="H883" s="13">
        <f>$B$7*(A883*E$71+B883*F$71+C883*G$71+D883*H$71)+F883/100*$B$7*J$71-$C$71</f>
        <v/>
      </c>
      <c r="I883" s="13">
        <f>$B$7*(A883*L$71+B883*M$71+C883*N$71+D883*O$71)+F883/100*$B$7*Q$71-$C$71</f>
        <v/>
      </c>
      <c r="J883" s="13">
        <f>$B$7*(A883*S$71+B883*T$71+C883*U$71+D883*V$71)+F883/100*$B$7*X$71-$C$71</f>
        <v/>
      </c>
      <c r="K883" s="13">
        <f>$B$7*(A883*Z$71+B883*AA$71+C883*AB$71+D883*AC$71)+F883/100*$B$7*AE$71-$C$71</f>
        <v/>
      </c>
      <c r="L883" s="13">
        <f>$B$7*(A883*AG$71+B883*AH$71+C883*AI$71+D883*AJ$71)+F883/100*$B$7*AL$71-$C$71</f>
        <v/>
      </c>
      <c r="M883" s="13">
        <f>$B$7*(A883*AN$71+B883*AO$71+C883*AP$71+D883*AQ$71)+F883/100*$B$7*AS$71-$C$71</f>
        <v/>
      </c>
      <c r="N883" s="13">
        <f>SUMPRODUCT($H$24:$M$24,H883:M883)</f>
        <v/>
      </c>
      <c r="O883" s="14">
        <f>SQRT(SUMPRODUCT($H$24:$M$24,(H883:M883-N883)^2))</f>
        <v/>
      </c>
      <c r="P883" s="13">
        <f>MIN(H883:M883)</f>
        <v/>
      </c>
      <c r="Q883" s="13">
        <f>MAX(H883:M883)</f>
        <v/>
      </c>
      <c r="R883" s="27">
        <f>IF(G883,SUMPRODUCT(($G$76:$G$1505)*($N$76:$N$1505&gt;=N883)*($O$76:$O$1505&lt;=O883))=1,FALSE)</f>
        <v/>
      </c>
      <c r="S883" s="16">
        <f>IF(R883,ABS((O883-$AC$76)/MAX(0.0001,$AC$77-$AC$76)-(N883-$AC$78)/MAX(0.0001,$AC$79-$AC$78)),-1)</f>
        <v/>
      </c>
      <c r="T883" s="14">
        <f>IF(G883,O883,NA())</f>
        <v/>
      </c>
      <c r="U883" s="13">
        <f>IF(G883,N883,NA())</f>
        <v/>
      </c>
      <c r="V883" s="14">
        <f>IF(R883,O883,NA())</f>
        <v/>
      </c>
      <c r="W883" s="13">
        <f>IF(R883,N883,NA())</f>
        <v/>
      </c>
      <c r="X883" s="27">
        <f>IF(G883,P883,"")</f>
        <v/>
      </c>
      <c r="Y883" s="27">
        <f>IF(G883,N883,"")</f>
        <v/>
      </c>
      <c r="Z883" s="27">
        <f>IF(R883,O883,"")</f>
        <v/>
      </c>
      <c r="AA883" s="27">
        <f>IF(R883,N883,"")</f>
        <v/>
      </c>
    </row>
    <row r="884">
      <c r="A884" s="31" t="n">
        <v>0.2</v>
      </c>
      <c r="B884" s="31" t="n">
        <v>0.6</v>
      </c>
      <c r="C884" s="31" t="n">
        <v>0.1</v>
      </c>
      <c r="D884" s="31" t="n">
        <v>0.1</v>
      </c>
      <c r="E884" s="27" t="inlineStr">
        <is>
          <t>ON 20%/1M 60%/2M 10%/3M 10%</t>
        </is>
      </c>
      <c r="F884" s="27" t="n">
        <v>75</v>
      </c>
      <c r="G884" s="27">
        <f>A884*$B$7&gt;=$B$9</f>
        <v/>
      </c>
      <c r="H884" s="13">
        <f>$B$7*(A884*E$71+B884*F$71+C884*G$71+D884*H$71)+F884/100*$B$7*J$71-$C$71</f>
        <v/>
      </c>
      <c r="I884" s="13">
        <f>$B$7*(A884*L$71+B884*M$71+C884*N$71+D884*O$71)+F884/100*$B$7*Q$71-$C$71</f>
        <v/>
      </c>
      <c r="J884" s="13">
        <f>$B$7*(A884*S$71+B884*T$71+C884*U$71+D884*V$71)+F884/100*$B$7*X$71-$C$71</f>
        <v/>
      </c>
      <c r="K884" s="13">
        <f>$B$7*(A884*Z$71+B884*AA$71+C884*AB$71+D884*AC$71)+F884/100*$B$7*AE$71-$C$71</f>
        <v/>
      </c>
      <c r="L884" s="13">
        <f>$B$7*(A884*AG$71+B884*AH$71+C884*AI$71+D884*AJ$71)+F884/100*$B$7*AL$71-$C$71</f>
        <v/>
      </c>
      <c r="M884" s="13">
        <f>$B$7*(A884*AN$71+B884*AO$71+C884*AP$71+D884*AQ$71)+F884/100*$B$7*AS$71-$C$71</f>
        <v/>
      </c>
      <c r="N884" s="13">
        <f>SUMPRODUCT($H$24:$M$24,H884:M884)</f>
        <v/>
      </c>
      <c r="O884" s="14">
        <f>SQRT(SUMPRODUCT($H$24:$M$24,(H884:M884-N884)^2))</f>
        <v/>
      </c>
      <c r="P884" s="13">
        <f>MIN(H884:M884)</f>
        <v/>
      </c>
      <c r="Q884" s="13">
        <f>MAX(H884:M884)</f>
        <v/>
      </c>
      <c r="R884" s="27">
        <f>IF(G884,SUMPRODUCT(($G$76:$G$1505)*($N$76:$N$1505&gt;=N884)*($O$76:$O$1505&lt;=O884))=1,FALSE)</f>
        <v/>
      </c>
      <c r="S884" s="16">
        <f>IF(R884,ABS((O884-$AC$76)/MAX(0.0001,$AC$77-$AC$76)-(N884-$AC$78)/MAX(0.0001,$AC$79-$AC$78)),-1)</f>
        <v/>
      </c>
      <c r="T884" s="14">
        <f>IF(G884,O884,NA())</f>
        <v/>
      </c>
      <c r="U884" s="13">
        <f>IF(G884,N884,NA())</f>
        <v/>
      </c>
      <c r="V884" s="14">
        <f>IF(R884,O884,NA())</f>
        <v/>
      </c>
      <c r="W884" s="13">
        <f>IF(R884,N884,NA())</f>
        <v/>
      </c>
      <c r="X884" s="27">
        <f>IF(G884,P884,"")</f>
        <v/>
      </c>
      <c r="Y884" s="27">
        <f>IF(G884,N884,"")</f>
        <v/>
      </c>
      <c r="Z884" s="27">
        <f>IF(R884,O884,"")</f>
        <v/>
      </c>
      <c r="AA884" s="27">
        <f>IF(R884,N884,"")</f>
        <v/>
      </c>
    </row>
    <row r="885">
      <c r="A885" s="31" t="n">
        <v>0.2</v>
      </c>
      <c r="B885" s="31" t="n">
        <v>0.6</v>
      </c>
      <c r="C885" s="31" t="n">
        <v>0.1</v>
      </c>
      <c r="D885" s="31" t="n">
        <v>0.1</v>
      </c>
      <c r="E885" s="27" t="inlineStr">
        <is>
          <t>ON 20%/1M 60%/2M 10%/3M 10%</t>
        </is>
      </c>
      <c r="F885" s="27" t="n">
        <v>100</v>
      </c>
      <c r="G885" s="27">
        <f>A885*$B$7&gt;=$B$9</f>
        <v/>
      </c>
      <c r="H885" s="13">
        <f>$B$7*(A885*E$71+B885*F$71+C885*G$71+D885*H$71)+F885/100*$B$7*J$71-$C$71</f>
        <v/>
      </c>
      <c r="I885" s="13">
        <f>$B$7*(A885*L$71+B885*M$71+C885*N$71+D885*O$71)+F885/100*$B$7*Q$71-$C$71</f>
        <v/>
      </c>
      <c r="J885" s="13">
        <f>$B$7*(A885*S$71+B885*T$71+C885*U$71+D885*V$71)+F885/100*$B$7*X$71-$C$71</f>
        <v/>
      </c>
      <c r="K885" s="13">
        <f>$B$7*(A885*Z$71+B885*AA$71+C885*AB$71+D885*AC$71)+F885/100*$B$7*AE$71-$C$71</f>
        <v/>
      </c>
      <c r="L885" s="13">
        <f>$B$7*(A885*AG$71+B885*AH$71+C885*AI$71+D885*AJ$71)+F885/100*$B$7*AL$71-$C$71</f>
        <v/>
      </c>
      <c r="M885" s="13">
        <f>$B$7*(A885*AN$71+B885*AO$71+C885*AP$71+D885*AQ$71)+F885/100*$B$7*AS$71-$C$71</f>
        <v/>
      </c>
      <c r="N885" s="13">
        <f>SUMPRODUCT($H$24:$M$24,H885:M885)</f>
        <v/>
      </c>
      <c r="O885" s="14">
        <f>SQRT(SUMPRODUCT($H$24:$M$24,(H885:M885-N885)^2))</f>
        <v/>
      </c>
      <c r="P885" s="13">
        <f>MIN(H885:M885)</f>
        <v/>
      </c>
      <c r="Q885" s="13">
        <f>MAX(H885:M885)</f>
        <v/>
      </c>
      <c r="R885" s="27">
        <f>IF(G885,SUMPRODUCT(($G$76:$G$1505)*($N$76:$N$1505&gt;=N885)*($O$76:$O$1505&lt;=O885))=1,FALSE)</f>
        <v/>
      </c>
      <c r="S885" s="16">
        <f>IF(R885,ABS((O885-$AC$76)/MAX(0.0001,$AC$77-$AC$76)-(N885-$AC$78)/MAX(0.0001,$AC$79-$AC$78)),-1)</f>
        <v/>
      </c>
      <c r="T885" s="14">
        <f>IF(G885,O885,NA())</f>
        <v/>
      </c>
      <c r="U885" s="13">
        <f>IF(G885,N885,NA())</f>
        <v/>
      </c>
      <c r="V885" s="14">
        <f>IF(R885,O885,NA())</f>
        <v/>
      </c>
      <c r="W885" s="13">
        <f>IF(R885,N885,NA())</f>
        <v/>
      </c>
      <c r="X885" s="27">
        <f>IF(G885,P885,"")</f>
        <v/>
      </c>
      <c r="Y885" s="27">
        <f>IF(G885,N885,"")</f>
        <v/>
      </c>
      <c r="Z885" s="27">
        <f>IF(R885,O885,"")</f>
        <v/>
      </c>
      <c r="AA885" s="27">
        <f>IF(R885,N885,"")</f>
        <v/>
      </c>
    </row>
    <row r="886">
      <c r="A886" s="31" t="n">
        <v>0.2</v>
      </c>
      <c r="B886" s="31" t="n">
        <v>0.6</v>
      </c>
      <c r="C886" s="31" t="n">
        <v>0.2</v>
      </c>
      <c r="D886" s="31" t="n">
        <v>0</v>
      </c>
      <c r="E886" s="27" t="inlineStr">
        <is>
          <t>ON 20%/1M 60%/2M 20%</t>
        </is>
      </c>
      <c r="F886" s="27" t="n">
        <v>0</v>
      </c>
      <c r="G886" s="27">
        <f>A886*$B$7&gt;=$B$9</f>
        <v/>
      </c>
      <c r="H886" s="13">
        <f>$B$7*(A886*E$71+B886*F$71+C886*G$71+D886*H$71)+F886/100*$B$7*J$71-$C$71</f>
        <v/>
      </c>
      <c r="I886" s="13">
        <f>$B$7*(A886*L$71+B886*M$71+C886*N$71+D886*O$71)+F886/100*$B$7*Q$71-$C$71</f>
        <v/>
      </c>
      <c r="J886" s="13">
        <f>$B$7*(A886*S$71+B886*T$71+C886*U$71+D886*V$71)+F886/100*$B$7*X$71-$C$71</f>
        <v/>
      </c>
      <c r="K886" s="13">
        <f>$B$7*(A886*Z$71+B886*AA$71+C886*AB$71+D886*AC$71)+F886/100*$B$7*AE$71-$C$71</f>
        <v/>
      </c>
      <c r="L886" s="13">
        <f>$B$7*(A886*AG$71+B886*AH$71+C886*AI$71+D886*AJ$71)+F886/100*$B$7*AL$71-$C$71</f>
        <v/>
      </c>
      <c r="M886" s="13">
        <f>$B$7*(A886*AN$71+B886*AO$71+C886*AP$71+D886*AQ$71)+F886/100*$B$7*AS$71-$C$71</f>
        <v/>
      </c>
      <c r="N886" s="13">
        <f>SUMPRODUCT($H$24:$M$24,H886:M886)</f>
        <v/>
      </c>
      <c r="O886" s="14">
        <f>SQRT(SUMPRODUCT($H$24:$M$24,(H886:M886-N886)^2))</f>
        <v/>
      </c>
      <c r="P886" s="13">
        <f>MIN(H886:M886)</f>
        <v/>
      </c>
      <c r="Q886" s="13">
        <f>MAX(H886:M886)</f>
        <v/>
      </c>
      <c r="R886" s="27">
        <f>IF(G886,SUMPRODUCT(($G$76:$G$1505)*($N$76:$N$1505&gt;=N886)*($O$76:$O$1505&lt;=O886))=1,FALSE)</f>
        <v/>
      </c>
      <c r="S886" s="16">
        <f>IF(R886,ABS((O886-$AC$76)/MAX(0.0001,$AC$77-$AC$76)-(N886-$AC$78)/MAX(0.0001,$AC$79-$AC$78)),-1)</f>
        <v/>
      </c>
      <c r="T886" s="14">
        <f>IF(G886,O886,NA())</f>
        <v/>
      </c>
      <c r="U886" s="13">
        <f>IF(G886,N886,NA())</f>
        <v/>
      </c>
      <c r="V886" s="14">
        <f>IF(R886,O886,NA())</f>
        <v/>
      </c>
      <c r="W886" s="13">
        <f>IF(R886,N886,NA())</f>
        <v/>
      </c>
      <c r="X886" s="27">
        <f>IF(G886,P886,"")</f>
        <v/>
      </c>
      <c r="Y886" s="27">
        <f>IF(G886,N886,"")</f>
        <v/>
      </c>
      <c r="Z886" s="27">
        <f>IF(R886,O886,"")</f>
        <v/>
      </c>
      <c r="AA886" s="27">
        <f>IF(R886,N886,"")</f>
        <v/>
      </c>
    </row>
    <row r="887">
      <c r="A887" s="31" t="n">
        <v>0.2</v>
      </c>
      <c r="B887" s="31" t="n">
        <v>0.6</v>
      </c>
      <c r="C887" s="31" t="n">
        <v>0.2</v>
      </c>
      <c r="D887" s="31" t="n">
        <v>0</v>
      </c>
      <c r="E887" s="27" t="inlineStr">
        <is>
          <t>ON 20%/1M 60%/2M 20%</t>
        </is>
      </c>
      <c r="F887" s="27" t="n">
        <v>25</v>
      </c>
      <c r="G887" s="27">
        <f>A887*$B$7&gt;=$B$9</f>
        <v/>
      </c>
      <c r="H887" s="13">
        <f>$B$7*(A887*E$71+B887*F$71+C887*G$71+D887*H$71)+F887/100*$B$7*J$71-$C$71</f>
        <v/>
      </c>
      <c r="I887" s="13">
        <f>$B$7*(A887*L$71+B887*M$71+C887*N$71+D887*O$71)+F887/100*$B$7*Q$71-$C$71</f>
        <v/>
      </c>
      <c r="J887" s="13">
        <f>$B$7*(A887*S$71+B887*T$71+C887*U$71+D887*V$71)+F887/100*$B$7*X$71-$C$71</f>
        <v/>
      </c>
      <c r="K887" s="13">
        <f>$B$7*(A887*Z$71+B887*AA$71+C887*AB$71+D887*AC$71)+F887/100*$B$7*AE$71-$C$71</f>
        <v/>
      </c>
      <c r="L887" s="13">
        <f>$B$7*(A887*AG$71+B887*AH$71+C887*AI$71+D887*AJ$71)+F887/100*$B$7*AL$71-$C$71</f>
        <v/>
      </c>
      <c r="M887" s="13">
        <f>$B$7*(A887*AN$71+B887*AO$71+C887*AP$71+D887*AQ$71)+F887/100*$B$7*AS$71-$C$71</f>
        <v/>
      </c>
      <c r="N887" s="13">
        <f>SUMPRODUCT($H$24:$M$24,H887:M887)</f>
        <v/>
      </c>
      <c r="O887" s="14">
        <f>SQRT(SUMPRODUCT($H$24:$M$24,(H887:M887-N887)^2))</f>
        <v/>
      </c>
      <c r="P887" s="13">
        <f>MIN(H887:M887)</f>
        <v/>
      </c>
      <c r="Q887" s="13">
        <f>MAX(H887:M887)</f>
        <v/>
      </c>
      <c r="R887" s="27">
        <f>IF(G887,SUMPRODUCT(($G$76:$G$1505)*($N$76:$N$1505&gt;=N887)*($O$76:$O$1505&lt;=O887))=1,FALSE)</f>
        <v/>
      </c>
      <c r="S887" s="16">
        <f>IF(R887,ABS((O887-$AC$76)/MAX(0.0001,$AC$77-$AC$76)-(N887-$AC$78)/MAX(0.0001,$AC$79-$AC$78)),-1)</f>
        <v/>
      </c>
      <c r="T887" s="14">
        <f>IF(G887,O887,NA())</f>
        <v/>
      </c>
      <c r="U887" s="13">
        <f>IF(G887,N887,NA())</f>
        <v/>
      </c>
      <c r="V887" s="14">
        <f>IF(R887,O887,NA())</f>
        <v/>
      </c>
      <c r="W887" s="13">
        <f>IF(R887,N887,NA())</f>
        <v/>
      </c>
      <c r="X887" s="27">
        <f>IF(G887,P887,"")</f>
        <v/>
      </c>
      <c r="Y887" s="27">
        <f>IF(G887,N887,"")</f>
        <v/>
      </c>
      <c r="Z887" s="27">
        <f>IF(R887,O887,"")</f>
        <v/>
      </c>
      <c r="AA887" s="27">
        <f>IF(R887,N887,"")</f>
        <v/>
      </c>
    </row>
    <row r="888">
      <c r="A888" s="31" t="n">
        <v>0.2</v>
      </c>
      <c r="B888" s="31" t="n">
        <v>0.6</v>
      </c>
      <c r="C888" s="31" t="n">
        <v>0.2</v>
      </c>
      <c r="D888" s="31" t="n">
        <v>0</v>
      </c>
      <c r="E888" s="27" t="inlineStr">
        <is>
          <t>ON 20%/1M 60%/2M 20%</t>
        </is>
      </c>
      <c r="F888" s="27" t="n">
        <v>50</v>
      </c>
      <c r="G888" s="27">
        <f>A888*$B$7&gt;=$B$9</f>
        <v/>
      </c>
      <c r="H888" s="13">
        <f>$B$7*(A888*E$71+B888*F$71+C888*G$71+D888*H$71)+F888/100*$B$7*J$71-$C$71</f>
        <v/>
      </c>
      <c r="I888" s="13">
        <f>$B$7*(A888*L$71+B888*M$71+C888*N$71+D888*O$71)+F888/100*$B$7*Q$71-$C$71</f>
        <v/>
      </c>
      <c r="J888" s="13">
        <f>$B$7*(A888*S$71+B888*T$71+C888*U$71+D888*V$71)+F888/100*$B$7*X$71-$C$71</f>
        <v/>
      </c>
      <c r="K888" s="13">
        <f>$B$7*(A888*Z$71+B888*AA$71+C888*AB$71+D888*AC$71)+F888/100*$B$7*AE$71-$C$71</f>
        <v/>
      </c>
      <c r="L888" s="13">
        <f>$B$7*(A888*AG$71+B888*AH$71+C888*AI$71+D888*AJ$71)+F888/100*$B$7*AL$71-$C$71</f>
        <v/>
      </c>
      <c r="M888" s="13">
        <f>$B$7*(A888*AN$71+B888*AO$71+C888*AP$71+D888*AQ$71)+F888/100*$B$7*AS$71-$C$71</f>
        <v/>
      </c>
      <c r="N888" s="13">
        <f>SUMPRODUCT($H$24:$M$24,H888:M888)</f>
        <v/>
      </c>
      <c r="O888" s="14">
        <f>SQRT(SUMPRODUCT($H$24:$M$24,(H888:M888-N888)^2))</f>
        <v/>
      </c>
      <c r="P888" s="13">
        <f>MIN(H888:M888)</f>
        <v/>
      </c>
      <c r="Q888" s="13">
        <f>MAX(H888:M888)</f>
        <v/>
      </c>
      <c r="R888" s="27">
        <f>IF(G888,SUMPRODUCT(($G$76:$G$1505)*($N$76:$N$1505&gt;=N888)*($O$76:$O$1505&lt;=O888))=1,FALSE)</f>
        <v/>
      </c>
      <c r="S888" s="16">
        <f>IF(R888,ABS((O888-$AC$76)/MAX(0.0001,$AC$77-$AC$76)-(N888-$AC$78)/MAX(0.0001,$AC$79-$AC$78)),-1)</f>
        <v/>
      </c>
      <c r="T888" s="14">
        <f>IF(G888,O888,NA())</f>
        <v/>
      </c>
      <c r="U888" s="13">
        <f>IF(G888,N888,NA())</f>
        <v/>
      </c>
      <c r="V888" s="14">
        <f>IF(R888,O888,NA())</f>
        <v/>
      </c>
      <c r="W888" s="13">
        <f>IF(R888,N888,NA())</f>
        <v/>
      </c>
      <c r="X888" s="27">
        <f>IF(G888,P888,"")</f>
        <v/>
      </c>
      <c r="Y888" s="27">
        <f>IF(G888,N888,"")</f>
        <v/>
      </c>
      <c r="Z888" s="27">
        <f>IF(R888,O888,"")</f>
        <v/>
      </c>
      <c r="AA888" s="27">
        <f>IF(R888,N888,"")</f>
        <v/>
      </c>
    </row>
    <row r="889">
      <c r="A889" s="31" t="n">
        <v>0.2</v>
      </c>
      <c r="B889" s="31" t="n">
        <v>0.6</v>
      </c>
      <c r="C889" s="31" t="n">
        <v>0.2</v>
      </c>
      <c r="D889" s="31" t="n">
        <v>0</v>
      </c>
      <c r="E889" s="27" t="inlineStr">
        <is>
          <t>ON 20%/1M 60%/2M 20%</t>
        </is>
      </c>
      <c r="F889" s="27" t="n">
        <v>75</v>
      </c>
      <c r="G889" s="27">
        <f>A889*$B$7&gt;=$B$9</f>
        <v/>
      </c>
      <c r="H889" s="13">
        <f>$B$7*(A889*E$71+B889*F$71+C889*G$71+D889*H$71)+F889/100*$B$7*J$71-$C$71</f>
        <v/>
      </c>
      <c r="I889" s="13">
        <f>$B$7*(A889*L$71+B889*M$71+C889*N$71+D889*O$71)+F889/100*$B$7*Q$71-$C$71</f>
        <v/>
      </c>
      <c r="J889" s="13">
        <f>$B$7*(A889*S$71+B889*T$71+C889*U$71+D889*V$71)+F889/100*$B$7*X$71-$C$71</f>
        <v/>
      </c>
      <c r="K889" s="13">
        <f>$B$7*(A889*Z$71+B889*AA$71+C889*AB$71+D889*AC$71)+F889/100*$B$7*AE$71-$C$71</f>
        <v/>
      </c>
      <c r="L889" s="13">
        <f>$B$7*(A889*AG$71+B889*AH$71+C889*AI$71+D889*AJ$71)+F889/100*$B$7*AL$71-$C$71</f>
        <v/>
      </c>
      <c r="M889" s="13">
        <f>$B$7*(A889*AN$71+B889*AO$71+C889*AP$71+D889*AQ$71)+F889/100*$B$7*AS$71-$C$71</f>
        <v/>
      </c>
      <c r="N889" s="13">
        <f>SUMPRODUCT($H$24:$M$24,H889:M889)</f>
        <v/>
      </c>
      <c r="O889" s="14">
        <f>SQRT(SUMPRODUCT($H$24:$M$24,(H889:M889-N889)^2))</f>
        <v/>
      </c>
      <c r="P889" s="13">
        <f>MIN(H889:M889)</f>
        <v/>
      </c>
      <c r="Q889" s="13">
        <f>MAX(H889:M889)</f>
        <v/>
      </c>
      <c r="R889" s="27">
        <f>IF(G889,SUMPRODUCT(($G$76:$G$1505)*($N$76:$N$1505&gt;=N889)*($O$76:$O$1505&lt;=O889))=1,FALSE)</f>
        <v/>
      </c>
      <c r="S889" s="16">
        <f>IF(R889,ABS((O889-$AC$76)/MAX(0.0001,$AC$77-$AC$76)-(N889-$AC$78)/MAX(0.0001,$AC$79-$AC$78)),-1)</f>
        <v/>
      </c>
      <c r="T889" s="14">
        <f>IF(G889,O889,NA())</f>
        <v/>
      </c>
      <c r="U889" s="13">
        <f>IF(G889,N889,NA())</f>
        <v/>
      </c>
      <c r="V889" s="14">
        <f>IF(R889,O889,NA())</f>
        <v/>
      </c>
      <c r="W889" s="13">
        <f>IF(R889,N889,NA())</f>
        <v/>
      </c>
      <c r="X889" s="27">
        <f>IF(G889,P889,"")</f>
        <v/>
      </c>
      <c r="Y889" s="27">
        <f>IF(G889,N889,"")</f>
        <v/>
      </c>
      <c r="Z889" s="27">
        <f>IF(R889,O889,"")</f>
        <v/>
      </c>
      <c r="AA889" s="27">
        <f>IF(R889,N889,"")</f>
        <v/>
      </c>
    </row>
    <row r="890">
      <c r="A890" s="31" t="n">
        <v>0.2</v>
      </c>
      <c r="B890" s="31" t="n">
        <v>0.6</v>
      </c>
      <c r="C890" s="31" t="n">
        <v>0.2</v>
      </c>
      <c r="D890" s="31" t="n">
        <v>0</v>
      </c>
      <c r="E890" s="27" t="inlineStr">
        <is>
          <t>ON 20%/1M 60%/2M 20%</t>
        </is>
      </c>
      <c r="F890" s="27" t="n">
        <v>100</v>
      </c>
      <c r="G890" s="27">
        <f>A890*$B$7&gt;=$B$9</f>
        <v/>
      </c>
      <c r="H890" s="13">
        <f>$B$7*(A890*E$71+B890*F$71+C890*G$71+D890*H$71)+F890/100*$B$7*J$71-$C$71</f>
        <v/>
      </c>
      <c r="I890" s="13">
        <f>$B$7*(A890*L$71+B890*M$71+C890*N$71+D890*O$71)+F890/100*$B$7*Q$71-$C$71</f>
        <v/>
      </c>
      <c r="J890" s="13">
        <f>$B$7*(A890*S$71+B890*T$71+C890*U$71+D890*V$71)+F890/100*$B$7*X$71-$C$71</f>
        <v/>
      </c>
      <c r="K890" s="13">
        <f>$B$7*(A890*Z$71+B890*AA$71+C890*AB$71+D890*AC$71)+F890/100*$B$7*AE$71-$C$71</f>
        <v/>
      </c>
      <c r="L890" s="13">
        <f>$B$7*(A890*AG$71+B890*AH$71+C890*AI$71+D890*AJ$71)+F890/100*$B$7*AL$71-$C$71</f>
        <v/>
      </c>
      <c r="M890" s="13">
        <f>$B$7*(A890*AN$71+B890*AO$71+C890*AP$71+D890*AQ$71)+F890/100*$B$7*AS$71-$C$71</f>
        <v/>
      </c>
      <c r="N890" s="13">
        <f>SUMPRODUCT($H$24:$M$24,H890:M890)</f>
        <v/>
      </c>
      <c r="O890" s="14">
        <f>SQRT(SUMPRODUCT($H$24:$M$24,(H890:M890-N890)^2))</f>
        <v/>
      </c>
      <c r="P890" s="13">
        <f>MIN(H890:M890)</f>
        <v/>
      </c>
      <c r="Q890" s="13">
        <f>MAX(H890:M890)</f>
        <v/>
      </c>
      <c r="R890" s="27">
        <f>IF(G890,SUMPRODUCT(($G$76:$G$1505)*($N$76:$N$1505&gt;=N890)*($O$76:$O$1505&lt;=O890))=1,FALSE)</f>
        <v/>
      </c>
      <c r="S890" s="16">
        <f>IF(R890,ABS((O890-$AC$76)/MAX(0.0001,$AC$77-$AC$76)-(N890-$AC$78)/MAX(0.0001,$AC$79-$AC$78)),-1)</f>
        <v/>
      </c>
      <c r="T890" s="14">
        <f>IF(G890,O890,NA())</f>
        <v/>
      </c>
      <c r="U890" s="13">
        <f>IF(G890,N890,NA())</f>
        <v/>
      </c>
      <c r="V890" s="14">
        <f>IF(R890,O890,NA())</f>
        <v/>
      </c>
      <c r="W890" s="13">
        <f>IF(R890,N890,NA())</f>
        <v/>
      </c>
      <c r="X890" s="27">
        <f>IF(G890,P890,"")</f>
        <v/>
      </c>
      <c r="Y890" s="27">
        <f>IF(G890,N890,"")</f>
        <v/>
      </c>
      <c r="Z890" s="27">
        <f>IF(R890,O890,"")</f>
        <v/>
      </c>
      <c r="AA890" s="27">
        <f>IF(R890,N890,"")</f>
        <v/>
      </c>
    </row>
    <row r="891">
      <c r="A891" s="31" t="n">
        <v>0.2</v>
      </c>
      <c r="B891" s="31" t="n">
        <v>0.7</v>
      </c>
      <c r="C891" s="31" t="n">
        <v>0</v>
      </c>
      <c r="D891" s="31" t="n">
        <v>0.1</v>
      </c>
      <c r="E891" s="27" t="inlineStr">
        <is>
          <t>ON 20%/1M 70%/3M 10%</t>
        </is>
      </c>
      <c r="F891" s="27" t="n">
        <v>0</v>
      </c>
      <c r="G891" s="27">
        <f>A891*$B$7&gt;=$B$9</f>
        <v/>
      </c>
      <c r="H891" s="13">
        <f>$B$7*(A891*E$71+B891*F$71+C891*G$71+D891*H$71)+F891/100*$B$7*J$71-$C$71</f>
        <v/>
      </c>
      <c r="I891" s="13">
        <f>$B$7*(A891*L$71+B891*M$71+C891*N$71+D891*O$71)+F891/100*$B$7*Q$71-$C$71</f>
        <v/>
      </c>
      <c r="J891" s="13">
        <f>$B$7*(A891*S$71+B891*T$71+C891*U$71+D891*V$71)+F891/100*$B$7*X$71-$C$71</f>
        <v/>
      </c>
      <c r="K891" s="13">
        <f>$B$7*(A891*Z$71+B891*AA$71+C891*AB$71+D891*AC$71)+F891/100*$B$7*AE$71-$C$71</f>
        <v/>
      </c>
      <c r="L891" s="13">
        <f>$B$7*(A891*AG$71+B891*AH$71+C891*AI$71+D891*AJ$71)+F891/100*$B$7*AL$71-$C$71</f>
        <v/>
      </c>
      <c r="M891" s="13">
        <f>$B$7*(A891*AN$71+B891*AO$71+C891*AP$71+D891*AQ$71)+F891/100*$B$7*AS$71-$C$71</f>
        <v/>
      </c>
      <c r="N891" s="13">
        <f>SUMPRODUCT($H$24:$M$24,H891:M891)</f>
        <v/>
      </c>
      <c r="O891" s="14">
        <f>SQRT(SUMPRODUCT($H$24:$M$24,(H891:M891-N891)^2))</f>
        <v/>
      </c>
      <c r="P891" s="13">
        <f>MIN(H891:M891)</f>
        <v/>
      </c>
      <c r="Q891" s="13">
        <f>MAX(H891:M891)</f>
        <v/>
      </c>
      <c r="R891" s="27">
        <f>IF(G891,SUMPRODUCT(($G$76:$G$1505)*($N$76:$N$1505&gt;=N891)*($O$76:$O$1505&lt;=O891))=1,FALSE)</f>
        <v/>
      </c>
      <c r="S891" s="16">
        <f>IF(R891,ABS((O891-$AC$76)/MAX(0.0001,$AC$77-$AC$76)-(N891-$AC$78)/MAX(0.0001,$AC$79-$AC$78)),-1)</f>
        <v/>
      </c>
      <c r="T891" s="14">
        <f>IF(G891,O891,NA())</f>
        <v/>
      </c>
      <c r="U891" s="13">
        <f>IF(G891,N891,NA())</f>
        <v/>
      </c>
      <c r="V891" s="14">
        <f>IF(R891,O891,NA())</f>
        <v/>
      </c>
      <c r="W891" s="13">
        <f>IF(R891,N891,NA())</f>
        <v/>
      </c>
      <c r="X891" s="27">
        <f>IF(G891,P891,"")</f>
        <v/>
      </c>
      <c r="Y891" s="27">
        <f>IF(G891,N891,"")</f>
        <v/>
      </c>
      <c r="Z891" s="27">
        <f>IF(R891,O891,"")</f>
        <v/>
      </c>
      <c r="AA891" s="27">
        <f>IF(R891,N891,"")</f>
        <v/>
      </c>
    </row>
    <row r="892">
      <c r="A892" s="31" t="n">
        <v>0.2</v>
      </c>
      <c r="B892" s="31" t="n">
        <v>0.7</v>
      </c>
      <c r="C892" s="31" t="n">
        <v>0</v>
      </c>
      <c r="D892" s="31" t="n">
        <v>0.1</v>
      </c>
      <c r="E892" s="27" t="inlineStr">
        <is>
          <t>ON 20%/1M 70%/3M 10%</t>
        </is>
      </c>
      <c r="F892" s="27" t="n">
        <v>25</v>
      </c>
      <c r="G892" s="27">
        <f>A892*$B$7&gt;=$B$9</f>
        <v/>
      </c>
      <c r="H892" s="13">
        <f>$B$7*(A892*E$71+B892*F$71+C892*G$71+D892*H$71)+F892/100*$B$7*J$71-$C$71</f>
        <v/>
      </c>
      <c r="I892" s="13">
        <f>$B$7*(A892*L$71+B892*M$71+C892*N$71+D892*O$71)+F892/100*$B$7*Q$71-$C$71</f>
        <v/>
      </c>
      <c r="J892" s="13">
        <f>$B$7*(A892*S$71+B892*T$71+C892*U$71+D892*V$71)+F892/100*$B$7*X$71-$C$71</f>
        <v/>
      </c>
      <c r="K892" s="13">
        <f>$B$7*(A892*Z$71+B892*AA$71+C892*AB$71+D892*AC$71)+F892/100*$B$7*AE$71-$C$71</f>
        <v/>
      </c>
      <c r="L892" s="13">
        <f>$B$7*(A892*AG$71+B892*AH$71+C892*AI$71+D892*AJ$71)+F892/100*$B$7*AL$71-$C$71</f>
        <v/>
      </c>
      <c r="M892" s="13">
        <f>$B$7*(A892*AN$71+B892*AO$71+C892*AP$71+D892*AQ$71)+F892/100*$B$7*AS$71-$C$71</f>
        <v/>
      </c>
      <c r="N892" s="13">
        <f>SUMPRODUCT($H$24:$M$24,H892:M892)</f>
        <v/>
      </c>
      <c r="O892" s="14">
        <f>SQRT(SUMPRODUCT($H$24:$M$24,(H892:M892-N892)^2))</f>
        <v/>
      </c>
      <c r="P892" s="13">
        <f>MIN(H892:M892)</f>
        <v/>
      </c>
      <c r="Q892" s="13">
        <f>MAX(H892:M892)</f>
        <v/>
      </c>
      <c r="R892" s="27">
        <f>IF(G892,SUMPRODUCT(($G$76:$G$1505)*($N$76:$N$1505&gt;=N892)*($O$76:$O$1505&lt;=O892))=1,FALSE)</f>
        <v/>
      </c>
      <c r="S892" s="16">
        <f>IF(R892,ABS((O892-$AC$76)/MAX(0.0001,$AC$77-$AC$76)-(N892-$AC$78)/MAX(0.0001,$AC$79-$AC$78)),-1)</f>
        <v/>
      </c>
      <c r="T892" s="14">
        <f>IF(G892,O892,NA())</f>
        <v/>
      </c>
      <c r="U892" s="13">
        <f>IF(G892,N892,NA())</f>
        <v/>
      </c>
      <c r="V892" s="14">
        <f>IF(R892,O892,NA())</f>
        <v/>
      </c>
      <c r="W892" s="13">
        <f>IF(R892,N892,NA())</f>
        <v/>
      </c>
      <c r="X892" s="27">
        <f>IF(G892,P892,"")</f>
        <v/>
      </c>
      <c r="Y892" s="27">
        <f>IF(G892,N892,"")</f>
        <v/>
      </c>
      <c r="Z892" s="27">
        <f>IF(R892,O892,"")</f>
        <v/>
      </c>
      <c r="AA892" s="27">
        <f>IF(R892,N892,"")</f>
        <v/>
      </c>
    </row>
    <row r="893">
      <c r="A893" s="31" t="n">
        <v>0.2</v>
      </c>
      <c r="B893" s="31" t="n">
        <v>0.7</v>
      </c>
      <c r="C893" s="31" t="n">
        <v>0</v>
      </c>
      <c r="D893" s="31" t="n">
        <v>0.1</v>
      </c>
      <c r="E893" s="27" t="inlineStr">
        <is>
          <t>ON 20%/1M 70%/3M 10%</t>
        </is>
      </c>
      <c r="F893" s="27" t="n">
        <v>50</v>
      </c>
      <c r="G893" s="27">
        <f>A893*$B$7&gt;=$B$9</f>
        <v/>
      </c>
      <c r="H893" s="13">
        <f>$B$7*(A893*E$71+B893*F$71+C893*G$71+D893*H$71)+F893/100*$B$7*J$71-$C$71</f>
        <v/>
      </c>
      <c r="I893" s="13">
        <f>$B$7*(A893*L$71+B893*M$71+C893*N$71+D893*O$71)+F893/100*$B$7*Q$71-$C$71</f>
        <v/>
      </c>
      <c r="J893" s="13">
        <f>$B$7*(A893*S$71+B893*T$71+C893*U$71+D893*V$71)+F893/100*$B$7*X$71-$C$71</f>
        <v/>
      </c>
      <c r="K893" s="13">
        <f>$B$7*(A893*Z$71+B893*AA$71+C893*AB$71+D893*AC$71)+F893/100*$B$7*AE$71-$C$71</f>
        <v/>
      </c>
      <c r="L893" s="13">
        <f>$B$7*(A893*AG$71+B893*AH$71+C893*AI$71+D893*AJ$71)+F893/100*$B$7*AL$71-$C$71</f>
        <v/>
      </c>
      <c r="M893" s="13">
        <f>$B$7*(A893*AN$71+B893*AO$71+C893*AP$71+D893*AQ$71)+F893/100*$B$7*AS$71-$C$71</f>
        <v/>
      </c>
      <c r="N893" s="13">
        <f>SUMPRODUCT($H$24:$M$24,H893:M893)</f>
        <v/>
      </c>
      <c r="O893" s="14">
        <f>SQRT(SUMPRODUCT($H$24:$M$24,(H893:M893-N893)^2))</f>
        <v/>
      </c>
      <c r="P893" s="13">
        <f>MIN(H893:M893)</f>
        <v/>
      </c>
      <c r="Q893" s="13">
        <f>MAX(H893:M893)</f>
        <v/>
      </c>
      <c r="R893" s="27">
        <f>IF(G893,SUMPRODUCT(($G$76:$G$1505)*($N$76:$N$1505&gt;=N893)*($O$76:$O$1505&lt;=O893))=1,FALSE)</f>
        <v/>
      </c>
      <c r="S893" s="16">
        <f>IF(R893,ABS((O893-$AC$76)/MAX(0.0001,$AC$77-$AC$76)-(N893-$AC$78)/MAX(0.0001,$AC$79-$AC$78)),-1)</f>
        <v/>
      </c>
      <c r="T893" s="14">
        <f>IF(G893,O893,NA())</f>
        <v/>
      </c>
      <c r="U893" s="13">
        <f>IF(G893,N893,NA())</f>
        <v/>
      </c>
      <c r="V893" s="14">
        <f>IF(R893,O893,NA())</f>
        <v/>
      </c>
      <c r="W893" s="13">
        <f>IF(R893,N893,NA())</f>
        <v/>
      </c>
      <c r="X893" s="27">
        <f>IF(G893,P893,"")</f>
        <v/>
      </c>
      <c r="Y893" s="27">
        <f>IF(G893,N893,"")</f>
        <v/>
      </c>
      <c r="Z893" s="27">
        <f>IF(R893,O893,"")</f>
        <v/>
      </c>
      <c r="AA893" s="27">
        <f>IF(R893,N893,"")</f>
        <v/>
      </c>
    </row>
    <row r="894">
      <c r="A894" s="31" t="n">
        <v>0.2</v>
      </c>
      <c r="B894" s="31" t="n">
        <v>0.7</v>
      </c>
      <c r="C894" s="31" t="n">
        <v>0</v>
      </c>
      <c r="D894" s="31" t="n">
        <v>0.1</v>
      </c>
      <c r="E894" s="27" t="inlineStr">
        <is>
          <t>ON 20%/1M 70%/3M 10%</t>
        </is>
      </c>
      <c r="F894" s="27" t="n">
        <v>75</v>
      </c>
      <c r="G894" s="27">
        <f>A894*$B$7&gt;=$B$9</f>
        <v/>
      </c>
      <c r="H894" s="13">
        <f>$B$7*(A894*E$71+B894*F$71+C894*G$71+D894*H$71)+F894/100*$B$7*J$71-$C$71</f>
        <v/>
      </c>
      <c r="I894" s="13">
        <f>$B$7*(A894*L$71+B894*M$71+C894*N$71+D894*O$71)+F894/100*$B$7*Q$71-$C$71</f>
        <v/>
      </c>
      <c r="J894" s="13">
        <f>$B$7*(A894*S$71+B894*T$71+C894*U$71+D894*V$71)+F894/100*$B$7*X$71-$C$71</f>
        <v/>
      </c>
      <c r="K894" s="13">
        <f>$B$7*(A894*Z$71+B894*AA$71+C894*AB$71+D894*AC$71)+F894/100*$B$7*AE$71-$C$71</f>
        <v/>
      </c>
      <c r="L894" s="13">
        <f>$B$7*(A894*AG$71+B894*AH$71+C894*AI$71+D894*AJ$71)+F894/100*$B$7*AL$71-$C$71</f>
        <v/>
      </c>
      <c r="M894" s="13">
        <f>$B$7*(A894*AN$71+B894*AO$71+C894*AP$71+D894*AQ$71)+F894/100*$B$7*AS$71-$C$71</f>
        <v/>
      </c>
      <c r="N894" s="13">
        <f>SUMPRODUCT($H$24:$M$24,H894:M894)</f>
        <v/>
      </c>
      <c r="O894" s="14">
        <f>SQRT(SUMPRODUCT($H$24:$M$24,(H894:M894-N894)^2))</f>
        <v/>
      </c>
      <c r="P894" s="13">
        <f>MIN(H894:M894)</f>
        <v/>
      </c>
      <c r="Q894" s="13">
        <f>MAX(H894:M894)</f>
        <v/>
      </c>
      <c r="R894" s="27">
        <f>IF(G894,SUMPRODUCT(($G$76:$G$1505)*($N$76:$N$1505&gt;=N894)*($O$76:$O$1505&lt;=O894))=1,FALSE)</f>
        <v/>
      </c>
      <c r="S894" s="16">
        <f>IF(R894,ABS((O894-$AC$76)/MAX(0.0001,$AC$77-$AC$76)-(N894-$AC$78)/MAX(0.0001,$AC$79-$AC$78)),-1)</f>
        <v/>
      </c>
      <c r="T894" s="14">
        <f>IF(G894,O894,NA())</f>
        <v/>
      </c>
      <c r="U894" s="13">
        <f>IF(G894,N894,NA())</f>
        <v/>
      </c>
      <c r="V894" s="14">
        <f>IF(R894,O894,NA())</f>
        <v/>
      </c>
      <c r="W894" s="13">
        <f>IF(R894,N894,NA())</f>
        <v/>
      </c>
      <c r="X894" s="27">
        <f>IF(G894,P894,"")</f>
        <v/>
      </c>
      <c r="Y894" s="27">
        <f>IF(G894,N894,"")</f>
        <v/>
      </c>
      <c r="Z894" s="27">
        <f>IF(R894,O894,"")</f>
        <v/>
      </c>
      <c r="AA894" s="27">
        <f>IF(R894,N894,"")</f>
        <v/>
      </c>
    </row>
    <row r="895">
      <c r="A895" s="31" t="n">
        <v>0.2</v>
      </c>
      <c r="B895" s="31" t="n">
        <v>0.7</v>
      </c>
      <c r="C895" s="31" t="n">
        <v>0</v>
      </c>
      <c r="D895" s="31" t="n">
        <v>0.1</v>
      </c>
      <c r="E895" s="27" t="inlineStr">
        <is>
          <t>ON 20%/1M 70%/3M 10%</t>
        </is>
      </c>
      <c r="F895" s="27" t="n">
        <v>100</v>
      </c>
      <c r="G895" s="27">
        <f>A895*$B$7&gt;=$B$9</f>
        <v/>
      </c>
      <c r="H895" s="13">
        <f>$B$7*(A895*E$71+B895*F$71+C895*G$71+D895*H$71)+F895/100*$B$7*J$71-$C$71</f>
        <v/>
      </c>
      <c r="I895" s="13">
        <f>$B$7*(A895*L$71+B895*M$71+C895*N$71+D895*O$71)+F895/100*$B$7*Q$71-$C$71</f>
        <v/>
      </c>
      <c r="J895" s="13">
        <f>$B$7*(A895*S$71+B895*T$71+C895*U$71+D895*V$71)+F895/100*$B$7*X$71-$C$71</f>
        <v/>
      </c>
      <c r="K895" s="13">
        <f>$B$7*(A895*Z$71+B895*AA$71+C895*AB$71+D895*AC$71)+F895/100*$B$7*AE$71-$C$71</f>
        <v/>
      </c>
      <c r="L895" s="13">
        <f>$B$7*(A895*AG$71+B895*AH$71+C895*AI$71+D895*AJ$71)+F895/100*$B$7*AL$71-$C$71</f>
        <v/>
      </c>
      <c r="M895" s="13">
        <f>$B$7*(A895*AN$71+B895*AO$71+C895*AP$71+D895*AQ$71)+F895/100*$B$7*AS$71-$C$71</f>
        <v/>
      </c>
      <c r="N895" s="13">
        <f>SUMPRODUCT($H$24:$M$24,H895:M895)</f>
        <v/>
      </c>
      <c r="O895" s="14">
        <f>SQRT(SUMPRODUCT($H$24:$M$24,(H895:M895-N895)^2))</f>
        <v/>
      </c>
      <c r="P895" s="13">
        <f>MIN(H895:M895)</f>
        <v/>
      </c>
      <c r="Q895" s="13">
        <f>MAX(H895:M895)</f>
        <v/>
      </c>
      <c r="R895" s="27">
        <f>IF(G895,SUMPRODUCT(($G$76:$G$1505)*($N$76:$N$1505&gt;=N895)*($O$76:$O$1505&lt;=O895))=1,FALSE)</f>
        <v/>
      </c>
      <c r="S895" s="16">
        <f>IF(R895,ABS((O895-$AC$76)/MAX(0.0001,$AC$77-$AC$76)-(N895-$AC$78)/MAX(0.0001,$AC$79-$AC$78)),-1)</f>
        <v/>
      </c>
      <c r="T895" s="14">
        <f>IF(G895,O895,NA())</f>
        <v/>
      </c>
      <c r="U895" s="13">
        <f>IF(G895,N895,NA())</f>
        <v/>
      </c>
      <c r="V895" s="14">
        <f>IF(R895,O895,NA())</f>
        <v/>
      </c>
      <c r="W895" s="13">
        <f>IF(R895,N895,NA())</f>
        <v/>
      </c>
      <c r="X895" s="27">
        <f>IF(G895,P895,"")</f>
        <v/>
      </c>
      <c r="Y895" s="27">
        <f>IF(G895,N895,"")</f>
        <v/>
      </c>
      <c r="Z895" s="27">
        <f>IF(R895,O895,"")</f>
        <v/>
      </c>
      <c r="AA895" s="27">
        <f>IF(R895,N895,"")</f>
        <v/>
      </c>
    </row>
    <row r="896">
      <c r="A896" s="31" t="n">
        <v>0.2</v>
      </c>
      <c r="B896" s="31" t="n">
        <v>0.7</v>
      </c>
      <c r="C896" s="31" t="n">
        <v>0.1</v>
      </c>
      <c r="D896" s="31" t="n">
        <v>0</v>
      </c>
      <c r="E896" s="27" t="inlineStr">
        <is>
          <t>ON 20%/1M 70%/2M 10%</t>
        </is>
      </c>
      <c r="F896" s="27" t="n">
        <v>0</v>
      </c>
      <c r="G896" s="27">
        <f>A896*$B$7&gt;=$B$9</f>
        <v/>
      </c>
      <c r="H896" s="13">
        <f>$B$7*(A896*E$71+B896*F$71+C896*G$71+D896*H$71)+F896/100*$B$7*J$71-$C$71</f>
        <v/>
      </c>
      <c r="I896" s="13">
        <f>$B$7*(A896*L$71+B896*M$71+C896*N$71+D896*O$71)+F896/100*$B$7*Q$71-$C$71</f>
        <v/>
      </c>
      <c r="J896" s="13">
        <f>$B$7*(A896*S$71+B896*T$71+C896*U$71+D896*V$71)+F896/100*$B$7*X$71-$C$71</f>
        <v/>
      </c>
      <c r="K896" s="13">
        <f>$B$7*(A896*Z$71+B896*AA$71+C896*AB$71+D896*AC$71)+F896/100*$B$7*AE$71-$C$71</f>
        <v/>
      </c>
      <c r="L896" s="13">
        <f>$B$7*(A896*AG$71+B896*AH$71+C896*AI$71+D896*AJ$71)+F896/100*$B$7*AL$71-$C$71</f>
        <v/>
      </c>
      <c r="M896" s="13">
        <f>$B$7*(A896*AN$71+B896*AO$71+C896*AP$71+D896*AQ$71)+F896/100*$B$7*AS$71-$C$71</f>
        <v/>
      </c>
      <c r="N896" s="13">
        <f>SUMPRODUCT($H$24:$M$24,H896:M896)</f>
        <v/>
      </c>
      <c r="O896" s="14">
        <f>SQRT(SUMPRODUCT($H$24:$M$24,(H896:M896-N896)^2))</f>
        <v/>
      </c>
      <c r="P896" s="13">
        <f>MIN(H896:M896)</f>
        <v/>
      </c>
      <c r="Q896" s="13">
        <f>MAX(H896:M896)</f>
        <v/>
      </c>
      <c r="R896" s="27">
        <f>IF(G896,SUMPRODUCT(($G$76:$G$1505)*($N$76:$N$1505&gt;=N896)*($O$76:$O$1505&lt;=O896))=1,FALSE)</f>
        <v/>
      </c>
      <c r="S896" s="16">
        <f>IF(R896,ABS((O896-$AC$76)/MAX(0.0001,$AC$77-$AC$76)-(N896-$AC$78)/MAX(0.0001,$AC$79-$AC$78)),-1)</f>
        <v/>
      </c>
      <c r="T896" s="14">
        <f>IF(G896,O896,NA())</f>
        <v/>
      </c>
      <c r="U896" s="13">
        <f>IF(G896,N896,NA())</f>
        <v/>
      </c>
      <c r="V896" s="14">
        <f>IF(R896,O896,NA())</f>
        <v/>
      </c>
      <c r="W896" s="13">
        <f>IF(R896,N896,NA())</f>
        <v/>
      </c>
      <c r="X896" s="27">
        <f>IF(G896,P896,"")</f>
        <v/>
      </c>
      <c r="Y896" s="27">
        <f>IF(G896,N896,"")</f>
        <v/>
      </c>
      <c r="Z896" s="27">
        <f>IF(R896,O896,"")</f>
        <v/>
      </c>
      <c r="AA896" s="27">
        <f>IF(R896,N896,"")</f>
        <v/>
      </c>
    </row>
    <row r="897">
      <c r="A897" s="31" t="n">
        <v>0.2</v>
      </c>
      <c r="B897" s="31" t="n">
        <v>0.7</v>
      </c>
      <c r="C897" s="31" t="n">
        <v>0.1</v>
      </c>
      <c r="D897" s="31" t="n">
        <v>0</v>
      </c>
      <c r="E897" s="27" t="inlineStr">
        <is>
          <t>ON 20%/1M 70%/2M 10%</t>
        </is>
      </c>
      <c r="F897" s="27" t="n">
        <v>25</v>
      </c>
      <c r="G897" s="27">
        <f>A897*$B$7&gt;=$B$9</f>
        <v/>
      </c>
      <c r="H897" s="13">
        <f>$B$7*(A897*E$71+B897*F$71+C897*G$71+D897*H$71)+F897/100*$B$7*J$71-$C$71</f>
        <v/>
      </c>
      <c r="I897" s="13">
        <f>$B$7*(A897*L$71+B897*M$71+C897*N$71+D897*O$71)+F897/100*$B$7*Q$71-$C$71</f>
        <v/>
      </c>
      <c r="J897" s="13">
        <f>$B$7*(A897*S$71+B897*T$71+C897*U$71+D897*V$71)+F897/100*$B$7*X$71-$C$71</f>
        <v/>
      </c>
      <c r="K897" s="13">
        <f>$B$7*(A897*Z$71+B897*AA$71+C897*AB$71+D897*AC$71)+F897/100*$B$7*AE$71-$C$71</f>
        <v/>
      </c>
      <c r="L897" s="13">
        <f>$B$7*(A897*AG$71+B897*AH$71+C897*AI$71+D897*AJ$71)+F897/100*$B$7*AL$71-$C$71</f>
        <v/>
      </c>
      <c r="M897" s="13">
        <f>$B$7*(A897*AN$71+B897*AO$71+C897*AP$71+D897*AQ$71)+F897/100*$B$7*AS$71-$C$71</f>
        <v/>
      </c>
      <c r="N897" s="13">
        <f>SUMPRODUCT($H$24:$M$24,H897:M897)</f>
        <v/>
      </c>
      <c r="O897" s="14">
        <f>SQRT(SUMPRODUCT($H$24:$M$24,(H897:M897-N897)^2))</f>
        <v/>
      </c>
      <c r="P897" s="13">
        <f>MIN(H897:M897)</f>
        <v/>
      </c>
      <c r="Q897" s="13">
        <f>MAX(H897:M897)</f>
        <v/>
      </c>
      <c r="R897" s="27">
        <f>IF(G897,SUMPRODUCT(($G$76:$G$1505)*($N$76:$N$1505&gt;=N897)*($O$76:$O$1505&lt;=O897))=1,FALSE)</f>
        <v/>
      </c>
      <c r="S897" s="16">
        <f>IF(R897,ABS((O897-$AC$76)/MAX(0.0001,$AC$77-$AC$76)-(N897-$AC$78)/MAX(0.0001,$AC$79-$AC$78)),-1)</f>
        <v/>
      </c>
      <c r="T897" s="14">
        <f>IF(G897,O897,NA())</f>
        <v/>
      </c>
      <c r="U897" s="13">
        <f>IF(G897,N897,NA())</f>
        <v/>
      </c>
      <c r="V897" s="14">
        <f>IF(R897,O897,NA())</f>
        <v/>
      </c>
      <c r="W897" s="13">
        <f>IF(R897,N897,NA())</f>
        <v/>
      </c>
      <c r="X897" s="27">
        <f>IF(G897,P897,"")</f>
        <v/>
      </c>
      <c r="Y897" s="27">
        <f>IF(G897,N897,"")</f>
        <v/>
      </c>
      <c r="Z897" s="27">
        <f>IF(R897,O897,"")</f>
        <v/>
      </c>
      <c r="AA897" s="27">
        <f>IF(R897,N897,"")</f>
        <v/>
      </c>
    </row>
    <row r="898">
      <c r="A898" s="31" t="n">
        <v>0.2</v>
      </c>
      <c r="B898" s="31" t="n">
        <v>0.7</v>
      </c>
      <c r="C898" s="31" t="n">
        <v>0.1</v>
      </c>
      <c r="D898" s="31" t="n">
        <v>0</v>
      </c>
      <c r="E898" s="27" t="inlineStr">
        <is>
          <t>ON 20%/1M 70%/2M 10%</t>
        </is>
      </c>
      <c r="F898" s="27" t="n">
        <v>50</v>
      </c>
      <c r="G898" s="27">
        <f>A898*$B$7&gt;=$B$9</f>
        <v/>
      </c>
      <c r="H898" s="13">
        <f>$B$7*(A898*E$71+B898*F$71+C898*G$71+D898*H$71)+F898/100*$B$7*J$71-$C$71</f>
        <v/>
      </c>
      <c r="I898" s="13">
        <f>$B$7*(A898*L$71+B898*M$71+C898*N$71+D898*O$71)+F898/100*$B$7*Q$71-$C$71</f>
        <v/>
      </c>
      <c r="J898" s="13">
        <f>$B$7*(A898*S$71+B898*T$71+C898*U$71+D898*V$71)+F898/100*$B$7*X$71-$C$71</f>
        <v/>
      </c>
      <c r="K898" s="13">
        <f>$B$7*(A898*Z$71+B898*AA$71+C898*AB$71+D898*AC$71)+F898/100*$B$7*AE$71-$C$71</f>
        <v/>
      </c>
      <c r="L898" s="13">
        <f>$B$7*(A898*AG$71+B898*AH$71+C898*AI$71+D898*AJ$71)+F898/100*$B$7*AL$71-$C$71</f>
        <v/>
      </c>
      <c r="M898" s="13">
        <f>$B$7*(A898*AN$71+B898*AO$71+C898*AP$71+D898*AQ$71)+F898/100*$B$7*AS$71-$C$71</f>
        <v/>
      </c>
      <c r="N898" s="13">
        <f>SUMPRODUCT($H$24:$M$24,H898:M898)</f>
        <v/>
      </c>
      <c r="O898" s="14">
        <f>SQRT(SUMPRODUCT($H$24:$M$24,(H898:M898-N898)^2))</f>
        <v/>
      </c>
      <c r="P898" s="13">
        <f>MIN(H898:M898)</f>
        <v/>
      </c>
      <c r="Q898" s="13">
        <f>MAX(H898:M898)</f>
        <v/>
      </c>
      <c r="R898" s="27">
        <f>IF(G898,SUMPRODUCT(($G$76:$G$1505)*($N$76:$N$1505&gt;=N898)*($O$76:$O$1505&lt;=O898))=1,FALSE)</f>
        <v/>
      </c>
      <c r="S898" s="16">
        <f>IF(R898,ABS((O898-$AC$76)/MAX(0.0001,$AC$77-$AC$76)-(N898-$AC$78)/MAX(0.0001,$AC$79-$AC$78)),-1)</f>
        <v/>
      </c>
      <c r="T898" s="14">
        <f>IF(G898,O898,NA())</f>
        <v/>
      </c>
      <c r="U898" s="13">
        <f>IF(G898,N898,NA())</f>
        <v/>
      </c>
      <c r="V898" s="14">
        <f>IF(R898,O898,NA())</f>
        <v/>
      </c>
      <c r="W898" s="13">
        <f>IF(R898,N898,NA())</f>
        <v/>
      </c>
      <c r="X898" s="27">
        <f>IF(G898,P898,"")</f>
        <v/>
      </c>
      <c r="Y898" s="27">
        <f>IF(G898,N898,"")</f>
        <v/>
      </c>
      <c r="Z898" s="27">
        <f>IF(R898,O898,"")</f>
        <v/>
      </c>
      <c r="AA898" s="27">
        <f>IF(R898,N898,"")</f>
        <v/>
      </c>
    </row>
    <row r="899">
      <c r="A899" s="31" t="n">
        <v>0.2</v>
      </c>
      <c r="B899" s="31" t="n">
        <v>0.7</v>
      </c>
      <c r="C899" s="31" t="n">
        <v>0.1</v>
      </c>
      <c r="D899" s="31" t="n">
        <v>0</v>
      </c>
      <c r="E899" s="27" t="inlineStr">
        <is>
          <t>ON 20%/1M 70%/2M 10%</t>
        </is>
      </c>
      <c r="F899" s="27" t="n">
        <v>75</v>
      </c>
      <c r="G899" s="27">
        <f>A899*$B$7&gt;=$B$9</f>
        <v/>
      </c>
      <c r="H899" s="13">
        <f>$B$7*(A899*E$71+B899*F$71+C899*G$71+D899*H$71)+F899/100*$B$7*J$71-$C$71</f>
        <v/>
      </c>
      <c r="I899" s="13">
        <f>$B$7*(A899*L$71+B899*M$71+C899*N$71+D899*O$71)+F899/100*$B$7*Q$71-$C$71</f>
        <v/>
      </c>
      <c r="J899" s="13">
        <f>$B$7*(A899*S$71+B899*T$71+C899*U$71+D899*V$71)+F899/100*$B$7*X$71-$C$71</f>
        <v/>
      </c>
      <c r="K899" s="13">
        <f>$B$7*(A899*Z$71+B899*AA$71+C899*AB$71+D899*AC$71)+F899/100*$B$7*AE$71-$C$71</f>
        <v/>
      </c>
      <c r="L899" s="13">
        <f>$B$7*(A899*AG$71+B899*AH$71+C899*AI$71+D899*AJ$71)+F899/100*$B$7*AL$71-$C$71</f>
        <v/>
      </c>
      <c r="M899" s="13">
        <f>$B$7*(A899*AN$71+B899*AO$71+C899*AP$71+D899*AQ$71)+F899/100*$B$7*AS$71-$C$71</f>
        <v/>
      </c>
      <c r="N899" s="13">
        <f>SUMPRODUCT($H$24:$M$24,H899:M899)</f>
        <v/>
      </c>
      <c r="O899" s="14">
        <f>SQRT(SUMPRODUCT($H$24:$M$24,(H899:M899-N899)^2))</f>
        <v/>
      </c>
      <c r="P899" s="13">
        <f>MIN(H899:M899)</f>
        <v/>
      </c>
      <c r="Q899" s="13">
        <f>MAX(H899:M899)</f>
        <v/>
      </c>
      <c r="R899" s="27">
        <f>IF(G899,SUMPRODUCT(($G$76:$G$1505)*($N$76:$N$1505&gt;=N899)*($O$76:$O$1505&lt;=O899))=1,FALSE)</f>
        <v/>
      </c>
      <c r="S899" s="16">
        <f>IF(R899,ABS((O899-$AC$76)/MAX(0.0001,$AC$77-$AC$76)-(N899-$AC$78)/MAX(0.0001,$AC$79-$AC$78)),-1)</f>
        <v/>
      </c>
      <c r="T899" s="14">
        <f>IF(G899,O899,NA())</f>
        <v/>
      </c>
      <c r="U899" s="13">
        <f>IF(G899,N899,NA())</f>
        <v/>
      </c>
      <c r="V899" s="14">
        <f>IF(R899,O899,NA())</f>
        <v/>
      </c>
      <c r="W899" s="13">
        <f>IF(R899,N899,NA())</f>
        <v/>
      </c>
      <c r="X899" s="27">
        <f>IF(G899,P899,"")</f>
        <v/>
      </c>
      <c r="Y899" s="27">
        <f>IF(G899,N899,"")</f>
        <v/>
      </c>
      <c r="Z899" s="27">
        <f>IF(R899,O899,"")</f>
        <v/>
      </c>
      <c r="AA899" s="27">
        <f>IF(R899,N899,"")</f>
        <v/>
      </c>
    </row>
    <row r="900">
      <c r="A900" s="31" t="n">
        <v>0.2</v>
      </c>
      <c r="B900" s="31" t="n">
        <v>0.7</v>
      </c>
      <c r="C900" s="31" t="n">
        <v>0.1</v>
      </c>
      <c r="D900" s="31" t="n">
        <v>0</v>
      </c>
      <c r="E900" s="27" t="inlineStr">
        <is>
          <t>ON 20%/1M 70%/2M 10%</t>
        </is>
      </c>
      <c r="F900" s="27" t="n">
        <v>100</v>
      </c>
      <c r="G900" s="27">
        <f>A900*$B$7&gt;=$B$9</f>
        <v/>
      </c>
      <c r="H900" s="13">
        <f>$B$7*(A900*E$71+B900*F$71+C900*G$71+D900*H$71)+F900/100*$B$7*J$71-$C$71</f>
        <v/>
      </c>
      <c r="I900" s="13">
        <f>$B$7*(A900*L$71+B900*M$71+C900*N$71+D900*O$71)+F900/100*$B$7*Q$71-$C$71</f>
        <v/>
      </c>
      <c r="J900" s="13">
        <f>$B$7*(A900*S$71+B900*T$71+C900*U$71+D900*V$71)+F900/100*$B$7*X$71-$C$71</f>
        <v/>
      </c>
      <c r="K900" s="13">
        <f>$B$7*(A900*Z$71+B900*AA$71+C900*AB$71+D900*AC$71)+F900/100*$B$7*AE$71-$C$71</f>
        <v/>
      </c>
      <c r="L900" s="13">
        <f>$B$7*(A900*AG$71+B900*AH$71+C900*AI$71+D900*AJ$71)+F900/100*$B$7*AL$71-$C$71</f>
        <v/>
      </c>
      <c r="M900" s="13">
        <f>$B$7*(A900*AN$71+B900*AO$71+C900*AP$71+D900*AQ$71)+F900/100*$B$7*AS$71-$C$71</f>
        <v/>
      </c>
      <c r="N900" s="13">
        <f>SUMPRODUCT($H$24:$M$24,H900:M900)</f>
        <v/>
      </c>
      <c r="O900" s="14">
        <f>SQRT(SUMPRODUCT($H$24:$M$24,(H900:M900-N900)^2))</f>
        <v/>
      </c>
      <c r="P900" s="13">
        <f>MIN(H900:M900)</f>
        <v/>
      </c>
      <c r="Q900" s="13">
        <f>MAX(H900:M900)</f>
        <v/>
      </c>
      <c r="R900" s="27">
        <f>IF(G900,SUMPRODUCT(($G$76:$G$1505)*($N$76:$N$1505&gt;=N900)*($O$76:$O$1505&lt;=O900))=1,FALSE)</f>
        <v/>
      </c>
      <c r="S900" s="16">
        <f>IF(R900,ABS((O900-$AC$76)/MAX(0.0001,$AC$77-$AC$76)-(N900-$AC$78)/MAX(0.0001,$AC$79-$AC$78)),-1)</f>
        <v/>
      </c>
      <c r="T900" s="14">
        <f>IF(G900,O900,NA())</f>
        <v/>
      </c>
      <c r="U900" s="13">
        <f>IF(G900,N900,NA())</f>
        <v/>
      </c>
      <c r="V900" s="14">
        <f>IF(R900,O900,NA())</f>
        <v/>
      </c>
      <c r="W900" s="13">
        <f>IF(R900,N900,NA())</f>
        <v/>
      </c>
      <c r="X900" s="27">
        <f>IF(G900,P900,"")</f>
        <v/>
      </c>
      <c r="Y900" s="27">
        <f>IF(G900,N900,"")</f>
        <v/>
      </c>
      <c r="Z900" s="27">
        <f>IF(R900,O900,"")</f>
        <v/>
      </c>
      <c r="AA900" s="27">
        <f>IF(R900,N900,"")</f>
        <v/>
      </c>
    </row>
    <row r="901">
      <c r="A901" s="31" t="n">
        <v>0.2</v>
      </c>
      <c r="B901" s="31" t="n">
        <v>0.8</v>
      </c>
      <c r="C901" s="31" t="n">
        <v>0</v>
      </c>
      <c r="D901" s="31" t="n">
        <v>0</v>
      </c>
      <c r="E901" s="27" t="inlineStr">
        <is>
          <t>ON 20%/1M 80%</t>
        </is>
      </c>
      <c r="F901" s="27" t="n">
        <v>0</v>
      </c>
      <c r="G901" s="27">
        <f>A901*$B$7&gt;=$B$9</f>
        <v/>
      </c>
      <c r="H901" s="13">
        <f>$B$7*(A901*E$71+B901*F$71+C901*G$71+D901*H$71)+F901/100*$B$7*J$71-$C$71</f>
        <v/>
      </c>
      <c r="I901" s="13">
        <f>$B$7*(A901*L$71+B901*M$71+C901*N$71+D901*O$71)+F901/100*$B$7*Q$71-$C$71</f>
        <v/>
      </c>
      <c r="J901" s="13">
        <f>$B$7*(A901*S$71+B901*T$71+C901*U$71+D901*V$71)+F901/100*$B$7*X$71-$C$71</f>
        <v/>
      </c>
      <c r="K901" s="13">
        <f>$B$7*(A901*Z$71+B901*AA$71+C901*AB$71+D901*AC$71)+F901/100*$B$7*AE$71-$C$71</f>
        <v/>
      </c>
      <c r="L901" s="13">
        <f>$B$7*(A901*AG$71+B901*AH$71+C901*AI$71+D901*AJ$71)+F901/100*$B$7*AL$71-$C$71</f>
        <v/>
      </c>
      <c r="M901" s="13">
        <f>$B$7*(A901*AN$71+B901*AO$71+C901*AP$71+D901*AQ$71)+F901/100*$B$7*AS$71-$C$71</f>
        <v/>
      </c>
      <c r="N901" s="13">
        <f>SUMPRODUCT($H$24:$M$24,H901:M901)</f>
        <v/>
      </c>
      <c r="O901" s="14">
        <f>SQRT(SUMPRODUCT($H$24:$M$24,(H901:M901-N901)^2))</f>
        <v/>
      </c>
      <c r="P901" s="13">
        <f>MIN(H901:M901)</f>
        <v/>
      </c>
      <c r="Q901" s="13">
        <f>MAX(H901:M901)</f>
        <v/>
      </c>
      <c r="R901" s="27">
        <f>IF(G901,SUMPRODUCT(($G$76:$G$1505)*($N$76:$N$1505&gt;=N901)*($O$76:$O$1505&lt;=O901))=1,FALSE)</f>
        <v/>
      </c>
      <c r="S901" s="16">
        <f>IF(R901,ABS((O901-$AC$76)/MAX(0.0001,$AC$77-$AC$76)-(N901-$AC$78)/MAX(0.0001,$AC$79-$AC$78)),-1)</f>
        <v/>
      </c>
      <c r="T901" s="14">
        <f>IF(G901,O901,NA())</f>
        <v/>
      </c>
      <c r="U901" s="13">
        <f>IF(G901,N901,NA())</f>
        <v/>
      </c>
      <c r="V901" s="14">
        <f>IF(R901,O901,NA())</f>
        <v/>
      </c>
      <c r="W901" s="13">
        <f>IF(R901,N901,NA())</f>
        <v/>
      </c>
      <c r="X901" s="27">
        <f>IF(G901,P901,"")</f>
        <v/>
      </c>
      <c r="Y901" s="27">
        <f>IF(G901,N901,"")</f>
        <v/>
      </c>
      <c r="Z901" s="27">
        <f>IF(R901,O901,"")</f>
        <v/>
      </c>
      <c r="AA901" s="27">
        <f>IF(R901,N901,"")</f>
        <v/>
      </c>
    </row>
    <row r="902">
      <c r="A902" s="31" t="n">
        <v>0.2</v>
      </c>
      <c r="B902" s="31" t="n">
        <v>0.8</v>
      </c>
      <c r="C902" s="31" t="n">
        <v>0</v>
      </c>
      <c r="D902" s="31" t="n">
        <v>0</v>
      </c>
      <c r="E902" s="27" t="inlineStr">
        <is>
          <t>ON 20%/1M 80%</t>
        </is>
      </c>
      <c r="F902" s="27" t="n">
        <v>25</v>
      </c>
      <c r="G902" s="27">
        <f>A902*$B$7&gt;=$B$9</f>
        <v/>
      </c>
      <c r="H902" s="13">
        <f>$B$7*(A902*E$71+B902*F$71+C902*G$71+D902*H$71)+F902/100*$B$7*J$71-$C$71</f>
        <v/>
      </c>
      <c r="I902" s="13">
        <f>$B$7*(A902*L$71+B902*M$71+C902*N$71+D902*O$71)+F902/100*$B$7*Q$71-$C$71</f>
        <v/>
      </c>
      <c r="J902" s="13">
        <f>$B$7*(A902*S$71+B902*T$71+C902*U$71+D902*V$71)+F902/100*$B$7*X$71-$C$71</f>
        <v/>
      </c>
      <c r="K902" s="13">
        <f>$B$7*(A902*Z$71+B902*AA$71+C902*AB$71+D902*AC$71)+F902/100*$B$7*AE$71-$C$71</f>
        <v/>
      </c>
      <c r="L902" s="13">
        <f>$B$7*(A902*AG$71+B902*AH$71+C902*AI$71+D902*AJ$71)+F902/100*$B$7*AL$71-$C$71</f>
        <v/>
      </c>
      <c r="M902" s="13">
        <f>$B$7*(A902*AN$71+B902*AO$71+C902*AP$71+D902*AQ$71)+F902/100*$B$7*AS$71-$C$71</f>
        <v/>
      </c>
      <c r="N902" s="13">
        <f>SUMPRODUCT($H$24:$M$24,H902:M902)</f>
        <v/>
      </c>
      <c r="O902" s="14">
        <f>SQRT(SUMPRODUCT($H$24:$M$24,(H902:M902-N902)^2))</f>
        <v/>
      </c>
      <c r="P902" s="13">
        <f>MIN(H902:M902)</f>
        <v/>
      </c>
      <c r="Q902" s="13">
        <f>MAX(H902:M902)</f>
        <v/>
      </c>
      <c r="R902" s="27">
        <f>IF(G902,SUMPRODUCT(($G$76:$G$1505)*($N$76:$N$1505&gt;=N902)*($O$76:$O$1505&lt;=O902))=1,FALSE)</f>
        <v/>
      </c>
      <c r="S902" s="16">
        <f>IF(R902,ABS((O902-$AC$76)/MAX(0.0001,$AC$77-$AC$76)-(N902-$AC$78)/MAX(0.0001,$AC$79-$AC$78)),-1)</f>
        <v/>
      </c>
      <c r="T902" s="14">
        <f>IF(G902,O902,NA())</f>
        <v/>
      </c>
      <c r="U902" s="13">
        <f>IF(G902,N902,NA())</f>
        <v/>
      </c>
      <c r="V902" s="14">
        <f>IF(R902,O902,NA())</f>
        <v/>
      </c>
      <c r="W902" s="13">
        <f>IF(R902,N902,NA())</f>
        <v/>
      </c>
      <c r="X902" s="27">
        <f>IF(G902,P902,"")</f>
        <v/>
      </c>
      <c r="Y902" s="27">
        <f>IF(G902,N902,"")</f>
        <v/>
      </c>
      <c r="Z902" s="27">
        <f>IF(R902,O902,"")</f>
        <v/>
      </c>
      <c r="AA902" s="27">
        <f>IF(R902,N902,"")</f>
        <v/>
      </c>
    </row>
    <row r="903">
      <c r="A903" s="31" t="n">
        <v>0.2</v>
      </c>
      <c r="B903" s="31" t="n">
        <v>0.8</v>
      </c>
      <c r="C903" s="31" t="n">
        <v>0</v>
      </c>
      <c r="D903" s="31" t="n">
        <v>0</v>
      </c>
      <c r="E903" s="27" t="inlineStr">
        <is>
          <t>ON 20%/1M 80%</t>
        </is>
      </c>
      <c r="F903" s="27" t="n">
        <v>50</v>
      </c>
      <c r="G903" s="27">
        <f>A903*$B$7&gt;=$B$9</f>
        <v/>
      </c>
      <c r="H903" s="13">
        <f>$B$7*(A903*E$71+B903*F$71+C903*G$71+D903*H$71)+F903/100*$B$7*J$71-$C$71</f>
        <v/>
      </c>
      <c r="I903" s="13">
        <f>$B$7*(A903*L$71+B903*M$71+C903*N$71+D903*O$71)+F903/100*$B$7*Q$71-$C$71</f>
        <v/>
      </c>
      <c r="J903" s="13">
        <f>$B$7*(A903*S$71+B903*T$71+C903*U$71+D903*V$71)+F903/100*$B$7*X$71-$C$71</f>
        <v/>
      </c>
      <c r="K903" s="13">
        <f>$B$7*(A903*Z$71+B903*AA$71+C903*AB$71+D903*AC$71)+F903/100*$B$7*AE$71-$C$71</f>
        <v/>
      </c>
      <c r="L903" s="13">
        <f>$B$7*(A903*AG$71+B903*AH$71+C903*AI$71+D903*AJ$71)+F903/100*$B$7*AL$71-$C$71</f>
        <v/>
      </c>
      <c r="M903" s="13">
        <f>$B$7*(A903*AN$71+B903*AO$71+C903*AP$71+D903*AQ$71)+F903/100*$B$7*AS$71-$C$71</f>
        <v/>
      </c>
      <c r="N903" s="13">
        <f>SUMPRODUCT($H$24:$M$24,H903:M903)</f>
        <v/>
      </c>
      <c r="O903" s="14">
        <f>SQRT(SUMPRODUCT($H$24:$M$24,(H903:M903-N903)^2))</f>
        <v/>
      </c>
      <c r="P903" s="13">
        <f>MIN(H903:M903)</f>
        <v/>
      </c>
      <c r="Q903" s="13">
        <f>MAX(H903:M903)</f>
        <v/>
      </c>
      <c r="R903" s="27">
        <f>IF(G903,SUMPRODUCT(($G$76:$G$1505)*($N$76:$N$1505&gt;=N903)*($O$76:$O$1505&lt;=O903))=1,FALSE)</f>
        <v/>
      </c>
      <c r="S903" s="16">
        <f>IF(R903,ABS((O903-$AC$76)/MAX(0.0001,$AC$77-$AC$76)-(N903-$AC$78)/MAX(0.0001,$AC$79-$AC$78)),-1)</f>
        <v/>
      </c>
      <c r="T903" s="14">
        <f>IF(G903,O903,NA())</f>
        <v/>
      </c>
      <c r="U903" s="13">
        <f>IF(G903,N903,NA())</f>
        <v/>
      </c>
      <c r="V903" s="14">
        <f>IF(R903,O903,NA())</f>
        <v/>
      </c>
      <c r="W903" s="13">
        <f>IF(R903,N903,NA())</f>
        <v/>
      </c>
      <c r="X903" s="27">
        <f>IF(G903,P903,"")</f>
        <v/>
      </c>
      <c r="Y903" s="27">
        <f>IF(G903,N903,"")</f>
        <v/>
      </c>
      <c r="Z903" s="27">
        <f>IF(R903,O903,"")</f>
        <v/>
      </c>
      <c r="AA903" s="27">
        <f>IF(R903,N903,"")</f>
        <v/>
      </c>
    </row>
    <row r="904">
      <c r="A904" s="31" t="n">
        <v>0.2</v>
      </c>
      <c r="B904" s="31" t="n">
        <v>0.8</v>
      </c>
      <c r="C904" s="31" t="n">
        <v>0</v>
      </c>
      <c r="D904" s="31" t="n">
        <v>0</v>
      </c>
      <c r="E904" s="27" t="inlineStr">
        <is>
          <t>ON 20%/1M 80%</t>
        </is>
      </c>
      <c r="F904" s="27" t="n">
        <v>75</v>
      </c>
      <c r="G904" s="27">
        <f>A904*$B$7&gt;=$B$9</f>
        <v/>
      </c>
      <c r="H904" s="13">
        <f>$B$7*(A904*E$71+B904*F$71+C904*G$71+D904*H$71)+F904/100*$B$7*J$71-$C$71</f>
        <v/>
      </c>
      <c r="I904" s="13">
        <f>$B$7*(A904*L$71+B904*M$71+C904*N$71+D904*O$71)+F904/100*$B$7*Q$71-$C$71</f>
        <v/>
      </c>
      <c r="J904" s="13">
        <f>$B$7*(A904*S$71+B904*T$71+C904*U$71+D904*V$71)+F904/100*$B$7*X$71-$C$71</f>
        <v/>
      </c>
      <c r="K904" s="13">
        <f>$B$7*(A904*Z$71+B904*AA$71+C904*AB$71+D904*AC$71)+F904/100*$B$7*AE$71-$C$71</f>
        <v/>
      </c>
      <c r="L904" s="13">
        <f>$B$7*(A904*AG$71+B904*AH$71+C904*AI$71+D904*AJ$71)+F904/100*$B$7*AL$71-$C$71</f>
        <v/>
      </c>
      <c r="M904" s="13">
        <f>$B$7*(A904*AN$71+B904*AO$71+C904*AP$71+D904*AQ$71)+F904/100*$B$7*AS$71-$C$71</f>
        <v/>
      </c>
      <c r="N904" s="13">
        <f>SUMPRODUCT($H$24:$M$24,H904:M904)</f>
        <v/>
      </c>
      <c r="O904" s="14">
        <f>SQRT(SUMPRODUCT($H$24:$M$24,(H904:M904-N904)^2))</f>
        <v/>
      </c>
      <c r="P904" s="13">
        <f>MIN(H904:M904)</f>
        <v/>
      </c>
      <c r="Q904" s="13">
        <f>MAX(H904:M904)</f>
        <v/>
      </c>
      <c r="R904" s="27">
        <f>IF(G904,SUMPRODUCT(($G$76:$G$1505)*($N$76:$N$1505&gt;=N904)*($O$76:$O$1505&lt;=O904))=1,FALSE)</f>
        <v/>
      </c>
      <c r="S904" s="16">
        <f>IF(R904,ABS((O904-$AC$76)/MAX(0.0001,$AC$77-$AC$76)-(N904-$AC$78)/MAX(0.0001,$AC$79-$AC$78)),-1)</f>
        <v/>
      </c>
      <c r="T904" s="14">
        <f>IF(G904,O904,NA())</f>
        <v/>
      </c>
      <c r="U904" s="13">
        <f>IF(G904,N904,NA())</f>
        <v/>
      </c>
      <c r="V904" s="14">
        <f>IF(R904,O904,NA())</f>
        <v/>
      </c>
      <c r="W904" s="13">
        <f>IF(R904,N904,NA())</f>
        <v/>
      </c>
      <c r="X904" s="27">
        <f>IF(G904,P904,"")</f>
        <v/>
      </c>
      <c r="Y904" s="27">
        <f>IF(G904,N904,"")</f>
        <v/>
      </c>
      <c r="Z904" s="27">
        <f>IF(R904,O904,"")</f>
        <v/>
      </c>
      <c r="AA904" s="27">
        <f>IF(R904,N904,"")</f>
        <v/>
      </c>
    </row>
    <row r="905">
      <c r="A905" s="31" t="n">
        <v>0.2</v>
      </c>
      <c r="B905" s="31" t="n">
        <v>0.8</v>
      </c>
      <c r="C905" s="31" t="n">
        <v>0</v>
      </c>
      <c r="D905" s="31" t="n">
        <v>0</v>
      </c>
      <c r="E905" s="27" t="inlineStr">
        <is>
          <t>ON 20%/1M 80%</t>
        </is>
      </c>
      <c r="F905" s="27" t="n">
        <v>100</v>
      </c>
      <c r="G905" s="27">
        <f>A905*$B$7&gt;=$B$9</f>
        <v/>
      </c>
      <c r="H905" s="13">
        <f>$B$7*(A905*E$71+B905*F$71+C905*G$71+D905*H$71)+F905/100*$B$7*J$71-$C$71</f>
        <v/>
      </c>
      <c r="I905" s="13">
        <f>$B$7*(A905*L$71+B905*M$71+C905*N$71+D905*O$71)+F905/100*$B$7*Q$71-$C$71</f>
        <v/>
      </c>
      <c r="J905" s="13">
        <f>$B$7*(A905*S$71+B905*T$71+C905*U$71+D905*V$71)+F905/100*$B$7*X$71-$C$71</f>
        <v/>
      </c>
      <c r="K905" s="13">
        <f>$B$7*(A905*Z$71+B905*AA$71+C905*AB$71+D905*AC$71)+F905/100*$B$7*AE$71-$C$71</f>
        <v/>
      </c>
      <c r="L905" s="13">
        <f>$B$7*(A905*AG$71+B905*AH$71+C905*AI$71+D905*AJ$71)+F905/100*$B$7*AL$71-$C$71</f>
        <v/>
      </c>
      <c r="M905" s="13">
        <f>$B$7*(A905*AN$71+B905*AO$71+C905*AP$71+D905*AQ$71)+F905/100*$B$7*AS$71-$C$71</f>
        <v/>
      </c>
      <c r="N905" s="13">
        <f>SUMPRODUCT($H$24:$M$24,H905:M905)</f>
        <v/>
      </c>
      <c r="O905" s="14">
        <f>SQRT(SUMPRODUCT($H$24:$M$24,(H905:M905-N905)^2))</f>
        <v/>
      </c>
      <c r="P905" s="13">
        <f>MIN(H905:M905)</f>
        <v/>
      </c>
      <c r="Q905" s="13">
        <f>MAX(H905:M905)</f>
        <v/>
      </c>
      <c r="R905" s="27">
        <f>IF(G905,SUMPRODUCT(($G$76:$G$1505)*($N$76:$N$1505&gt;=N905)*($O$76:$O$1505&lt;=O905))=1,FALSE)</f>
        <v/>
      </c>
      <c r="S905" s="16">
        <f>IF(R905,ABS((O905-$AC$76)/MAX(0.0001,$AC$77-$AC$76)-(N905-$AC$78)/MAX(0.0001,$AC$79-$AC$78)),-1)</f>
        <v/>
      </c>
      <c r="T905" s="14">
        <f>IF(G905,O905,NA())</f>
        <v/>
      </c>
      <c r="U905" s="13">
        <f>IF(G905,N905,NA())</f>
        <v/>
      </c>
      <c r="V905" s="14">
        <f>IF(R905,O905,NA())</f>
        <v/>
      </c>
      <c r="W905" s="13">
        <f>IF(R905,N905,NA())</f>
        <v/>
      </c>
      <c r="X905" s="27">
        <f>IF(G905,P905,"")</f>
        <v/>
      </c>
      <c r="Y905" s="27">
        <f>IF(G905,N905,"")</f>
        <v/>
      </c>
      <c r="Z905" s="27">
        <f>IF(R905,O905,"")</f>
        <v/>
      </c>
      <c r="AA905" s="27">
        <f>IF(R905,N905,"")</f>
        <v/>
      </c>
    </row>
    <row r="906">
      <c r="A906" s="31" t="n">
        <v>0.3</v>
      </c>
      <c r="B906" s="31" t="n">
        <v>0</v>
      </c>
      <c r="C906" s="31" t="n">
        <v>0</v>
      </c>
      <c r="D906" s="31" t="n">
        <v>0.7</v>
      </c>
      <c r="E906" s="27" t="inlineStr">
        <is>
          <t>ON 30%/3M 70%</t>
        </is>
      </c>
      <c r="F906" s="27" t="n">
        <v>0</v>
      </c>
      <c r="G906" s="27">
        <f>A906*$B$7&gt;=$B$9</f>
        <v/>
      </c>
      <c r="H906" s="13">
        <f>$B$7*(A906*E$71+B906*F$71+C906*G$71+D906*H$71)+F906/100*$B$7*J$71-$C$71</f>
        <v/>
      </c>
      <c r="I906" s="13">
        <f>$B$7*(A906*L$71+B906*M$71+C906*N$71+D906*O$71)+F906/100*$B$7*Q$71-$C$71</f>
        <v/>
      </c>
      <c r="J906" s="13">
        <f>$B$7*(A906*S$71+B906*T$71+C906*U$71+D906*V$71)+F906/100*$B$7*X$71-$C$71</f>
        <v/>
      </c>
      <c r="K906" s="13">
        <f>$B$7*(A906*Z$71+B906*AA$71+C906*AB$71+D906*AC$71)+F906/100*$B$7*AE$71-$C$71</f>
        <v/>
      </c>
      <c r="L906" s="13">
        <f>$B$7*(A906*AG$71+B906*AH$71+C906*AI$71+D906*AJ$71)+F906/100*$B$7*AL$71-$C$71</f>
        <v/>
      </c>
      <c r="M906" s="13">
        <f>$B$7*(A906*AN$71+B906*AO$71+C906*AP$71+D906*AQ$71)+F906/100*$B$7*AS$71-$C$71</f>
        <v/>
      </c>
      <c r="N906" s="13">
        <f>SUMPRODUCT($H$24:$M$24,H906:M906)</f>
        <v/>
      </c>
      <c r="O906" s="14">
        <f>SQRT(SUMPRODUCT($H$24:$M$24,(H906:M906-N906)^2))</f>
        <v/>
      </c>
      <c r="P906" s="13">
        <f>MIN(H906:M906)</f>
        <v/>
      </c>
      <c r="Q906" s="13">
        <f>MAX(H906:M906)</f>
        <v/>
      </c>
      <c r="R906" s="27">
        <f>IF(G906,SUMPRODUCT(($G$76:$G$1505)*($N$76:$N$1505&gt;=N906)*($O$76:$O$1505&lt;=O906))=1,FALSE)</f>
        <v/>
      </c>
      <c r="S906" s="16">
        <f>IF(R906,ABS((O906-$AC$76)/MAX(0.0001,$AC$77-$AC$76)-(N906-$AC$78)/MAX(0.0001,$AC$79-$AC$78)),-1)</f>
        <v/>
      </c>
      <c r="T906" s="14">
        <f>IF(G906,O906,NA())</f>
        <v/>
      </c>
      <c r="U906" s="13">
        <f>IF(G906,N906,NA())</f>
        <v/>
      </c>
      <c r="V906" s="14">
        <f>IF(R906,O906,NA())</f>
        <v/>
      </c>
      <c r="W906" s="13">
        <f>IF(R906,N906,NA())</f>
        <v/>
      </c>
      <c r="X906" s="27">
        <f>IF(G906,P906,"")</f>
        <v/>
      </c>
      <c r="Y906" s="27">
        <f>IF(G906,N906,"")</f>
        <v/>
      </c>
      <c r="Z906" s="27">
        <f>IF(R906,O906,"")</f>
        <v/>
      </c>
      <c r="AA906" s="27">
        <f>IF(R906,N906,"")</f>
        <v/>
      </c>
    </row>
    <row r="907">
      <c r="A907" s="31" t="n">
        <v>0.3</v>
      </c>
      <c r="B907" s="31" t="n">
        <v>0</v>
      </c>
      <c r="C907" s="31" t="n">
        <v>0</v>
      </c>
      <c r="D907" s="31" t="n">
        <v>0.7</v>
      </c>
      <c r="E907" s="27" t="inlineStr">
        <is>
          <t>ON 30%/3M 70%</t>
        </is>
      </c>
      <c r="F907" s="27" t="n">
        <v>25</v>
      </c>
      <c r="G907" s="27">
        <f>A907*$B$7&gt;=$B$9</f>
        <v/>
      </c>
      <c r="H907" s="13">
        <f>$B$7*(A907*E$71+B907*F$71+C907*G$71+D907*H$71)+F907/100*$B$7*J$71-$C$71</f>
        <v/>
      </c>
      <c r="I907" s="13">
        <f>$B$7*(A907*L$71+B907*M$71+C907*N$71+D907*O$71)+F907/100*$B$7*Q$71-$C$71</f>
        <v/>
      </c>
      <c r="J907" s="13">
        <f>$B$7*(A907*S$71+B907*T$71+C907*U$71+D907*V$71)+F907/100*$B$7*X$71-$C$71</f>
        <v/>
      </c>
      <c r="K907" s="13">
        <f>$B$7*(A907*Z$71+B907*AA$71+C907*AB$71+D907*AC$71)+F907/100*$B$7*AE$71-$C$71</f>
        <v/>
      </c>
      <c r="L907" s="13">
        <f>$B$7*(A907*AG$71+B907*AH$71+C907*AI$71+D907*AJ$71)+F907/100*$B$7*AL$71-$C$71</f>
        <v/>
      </c>
      <c r="M907" s="13">
        <f>$B$7*(A907*AN$71+B907*AO$71+C907*AP$71+D907*AQ$71)+F907/100*$B$7*AS$71-$C$71</f>
        <v/>
      </c>
      <c r="N907" s="13">
        <f>SUMPRODUCT($H$24:$M$24,H907:M907)</f>
        <v/>
      </c>
      <c r="O907" s="14">
        <f>SQRT(SUMPRODUCT($H$24:$M$24,(H907:M907-N907)^2))</f>
        <v/>
      </c>
      <c r="P907" s="13">
        <f>MIN(H907:M907)</f>
        <v/>
      </c>
      <c r="Q907" s="13">
        <f>MAX(H907:M907)</f>
        <v/>
      </c>
      <c r="R907" s="27">
        <f>IF(G907,SUMPRODUCT(($G$76:$G$1505)*($N$76:$N$1505&gt;=N907)*($O$76:$O$1505&lt;=O907))=1,FALSE)</f>
        <v/>
      </c>
      <c r="S907" s="16">
        <f>IF(R907,ABS((O907-$AC$76)/MAX(0.0001,$AC$77-$AC$76)-(N907-$AC$78)/MAX(0.0001,$AC$79-$AC$78)),-1)</f>
        <v/>
      </c>
      <c r="T907" s="14">
        <f>IF(G907,O907,NA())</f>
        <v/>
      </c>
      <c r="U907" s="13">
        <f>IF(G907,N907,NA())</f>
        <v/>
      </c>
      <c r="V907" s="14">
        <f>IF(R907,O907,NA())</f>
        <v/>
      </c>
      <c r="W907" s="13">
        <f>IF(R907,N907,NA())</f>
        <v/>
      </c>
      <c r="X907" s="27">
        <f>IF(G907,P907,"")</f>
        <v/>
      </c>
      <c r="Y907" s="27">
        <f>IF(G907,N907,"")</f>
        <v/>
      </c>
      <c r="Z907" s="27">
        <f>IF(R907,O907,"")</f>
        <v/>
      </c>
      <c r="AA907" s="27">
        <f>IF(R907,N907,"")</f>
        <v/>
      </c>
    </row>
    <row r="908">
      <c r="A908" s="31" t="n">
        <v>0.3</v>
      </c>
      <c r="B908" s="31" t="n">
        <v>0</v>
      </c>
      <c r="C908" s="31" t="n">
        <v>0</v>
      </c>
      <c r="D908" s="31" t="n">
        <v>0.7</v>
      </c>
      <c r="E908" s="27" t="inlineStr">
        <is>
          <t>ON 30%/3M 70%</t>
        </is>
      </c>
      <c r="F908" s="27" t="n">
        <v>50</v>
      </c>
      <c r="G908" s="27">
        <f>A908*$B$7&gt;=$B$9</f>
        <v/>
      </c>
      <c r="H908" s="13">
        <f>$B$7*(A908*E$71+B908*F$71+C908*G$71+D908*H$71)+F908/100*$B$7*J$71-$C$71</f>
        <v/>
      </c>
      <c r="I908" s="13">
        <f>$B$7*(A908*L$71+B908*M$71+C908*N$71+D908*O$71)+F908/100*$B$7*Q$71-$C$71</f>
        <v/>
      </c>
      <c r="J908" s="13">
        <f>$B$7*(A908*S$71+B908*T$71+C908*U$71+D908*V$71)+F908/100*$B$7*X$71-$C$71</f>
        <v/>
      </c>
      <c r="K908" s="13">
        <f>$B$7*(A908*Z$71+B908*AA$71+C908*AB$71+D908*AC$71)+F908/100*$B$7*AE$71-$C$71</f>
        <v/>
      </c>
      <c r="L908" s="13">
        <f>$B$7*(A908*AG$71+B908*AH$71+C908*AI$71+D908*AJ$71)+F908/100*$B$7*AL$71-$C$71</f>
        <v/>
      </c>
      <c r="M908" s="13">
        <f>$B$7*(A908*AN$71+B908*AO$71+C908*AP$71+D908*AQ$71)+F908/100*$B$7*AS$71-$C$71</f>
        <v/>
      </c>
      <c r="N908" s="13">
        <f>SUMPRODUCT($H$24:$M$24,H908:M908)</f>
        <v/>
      </c>
      <c r="O908" s="14">
        <f>SQRT(SUMPRODUCT($H$24:$M$24,(H908:M908-N908)^2))</f>
        <v/>
      </c>
      <c r="P908" s="13">
        <f>MIN(H908:M908)</f>
        <v/>
      </c>
      <c r="Q908" s="13">
        <f>MAX(H908:M908)</f>
        <v/>
      </c>
      <c r="R908" s="27">
        <f>IF(G908,SUMPRODUCT(($G$76:$G$1505)*($N$76:$N$1505&gt;=N908)*($O$76:$O$1505&lt;=O908))=1,FALSE)</f>
        <v/>
      </c>
      <c r="S908" s="16">
        <f>IF(R908,ABS((O908-$AC$76)/MAX(0.0001,$AC$77-$AC$76)-(N908-$AC$78)/MAX(0.0001,$AC$79-$AC$78)),-1)</f>
        <v/>
      </c>
      <c r="T908" s="14">
        <f>IF(G908,O908,NA())</f>
        <v/>
      </c>
      <c r="U908" s="13">
        <f>IF(G908,N908,NA())</f>
        <v/>
      </c>
      <c r="V908" s="14">
        <f>IF(R908,O908,NA())</f>
        <v/>
      </c>
      <c r="W908" s="13">
        <f>IF(R908,N908,NA())</f>
        <v/>
      </c>
      <c r="X908" s="27">
        <f>IF(G908,P908,"")</f>
        <v/>
      </c>
      <c r="Y908" s="27">
        <f>IF(G908,N908,"")</f>
        <v/>
      </c>
      <c r="Z908" s="27">
        <f>IF(R908,O908,"")</f>
        <v/>
      </c>
      <c r="AA908" s="27">
        <f>IF(R908,N908,"")</f>
        <v/>
      </c>
    </row>
    <row r="909">
      <c r="A909" s="31" t="n">
        <v>0.3</v>
      </c>
      <c r="B909" s="31" t="n">
        <v>0</v>
      </c>
      <c r="C909" s="31" t="n">
        <v>0</v>
      </c>
      <c r="D909" s="31" t="n">
        <v>0.7</v>
      </c>
      <c r="E909" s="27" t="inlineStr">
        <is>
          <t>ON 30%/3M 70%</t>
        </is>
      </c>
      <c r="F909" s="27" t="n">
        <v>75</v>
      </c>
      <c r="G909" s="27">
        <f>A909*$B$7&gt;=$B$9</f>
        <v/>
      </c>
      <c r="H909" s="13">
        <f>$B$7*(A909*E$71+B909*F$71+C909*G$71+D909*H$71)+F909/100*$B$7*J$71-$C$71</f>
        <v/>
      </c>
      <c r="I909" s="13">
        <f>$B$7*(A909*L$71+B909*M$71+C909*N$71+D909*O$71)+F909/100*$B$7*Q$71-$C$71</f>
        <v/>
      </c>
      <c r="J909" s="13">
        <f>$B$7*(A909*S$71+B909*T$71+C909*U$71+D909*V$71)+F909/100*$B$7*X$71-$C$71</f>
        <v/>
      </c>
      <c r="K909" s="13">
        <f>$B$7*(A909*Z$71+B909*AA$71+C909*AB$71+D909*AC$71)+F909/100*$B$7*AE$71-$C$71</f>
        <v/>
      </c>
      <c r="L909" s="13">
        <f>$B$7*(A909*AG$71+B909*AH$71+C909*AI$71+D909*AJ$71)+F909/100*$B$7*AL$71-$C$71</f>
        <v/>
      </c>
      <c r="M909" s="13">
        <f>$B$7*(A909*AN$71+B909*AO$71+C909*AP$71+D909*AQ$71)+F909/100*$B$7*AS$71-$C$71</f>
        <v/>
      </c>
      <c r="N909" s="13">
        <f>SUMPRODUCT($H$24:$M$24,H909:M909)</f>
        <v/>
      </c>
      <c r="O909" s="14">
        <f>SQRT(SUMPRODUCT($H$24:$M$24,(H909:M909-N909)^2))</f>
        <v/>
      </c>
      <c r="P909" s="13">
        <f>MIN(H909:M909)</f>
        <v/>
      </c>
      <c r="Q909" s="13">
        <f>MAX(H909:M909)</f>
        <v/>
      </c>
      <c r="R909" s="27">
        <f>IF(G909,SUMPRODUCT(($G$76:$G$1505)*($N$76:$N$1505&gt;=N909)*($O$76:$O$1505&lt;=O909))=1,FALSE)</f>
        <v/>
      </c>
      <c r="S909" s="16">
        <f>IF(R909,ABS((O909-$AC$76)/MAX(0.0001,$AC$77-$AC$76)-(N909-$AC$78)/MAX(0.0001,$AC$79-$AC$78)),-1)</f>
        <v/>
      </c>
      <c r="T909" s="14">
        <f>IF(G909,O909,NA())</f>
        <v/>
      </c>
      <c r="U909" s="13">
        <f>IF(G909,N909,NA())</f>
        <v/>
      </c>
      <c r="V909" s="14">
        <f>IF(R909,O909,NA())</f>
        <v/>
      </c>
      <c r="W909" s="13">
        <f>IF(R909,N909,NA())</f>
        <v/>
      </c>
      <c r="X909" s="27">
        <f>IF(G909,P909,"")</f>
        <v/>
      </c>
      <c r="Y909" s="27">
        <f>IF(G909,N909,"")</f>
        <v/>
      </c>
      <c r="Z909" s="27">
        <f>IF(R909,O909,"")</f>
        <v/>
      </c>
      <c r="AA909" s="27">
        <f>IF(R909,N909,"")</f>
        <v/>
      </c>
    </row>
    <row r="910">
      <c r="A910" s="31" t="n">
        <v>0.3</v>
      </c>
      <c r="B910" s="31" t="n">
        <v>0</v>
      </c>
      <c r="C910" s="31" t="n">
        <v>0</v>
      </c>
      <c r="D910" s="31" t="n">
        <v>0.7</v>
      </c>
      <c r="E910" s="27" t="inlineStr">
        <is>
          <t>ON 30%/3M 70%</t>
        </is>
      </c>
      <c r="F910" s="27" t="n">
        <v>100</v>
      </c>
      <c r="G910" s="27">
        <f>A910*$B$7&gt;=$B$9</f>
        <v/>
      </c>
      <c r="H910" s="13">
        <f>$B$7*(A910*E$71+B910*F$71+C910*G$71+D910*H$71)+F910/100*$B$7*J$71-$C$71</f>
        <v/>
      </c>
      <c r="I910" s="13">
        <f>$B$7*(A910*L$71+B910*M$71+C910*N$71+D910*O$71)+F910/100*$B$7*Q$71-$C$71</f>
        <v/>
      </c>
      <c r="J910" s="13">
        <f>$B$7*(A910*S$71+B910*T$71+C910*U$71+D910*V$71)+F910/100*$B$7*X$71-$C$71</f>
        <v/>
      </c>
      <c r="K910" s="13">
        <f>$B$7*(A910*Z$71+B910*AA$71+C910*AB$71+D910*AC$71)+F910/100*$B$7*AE$71-$C$71</f>
        <v/>
      </c>
      <c r="L910" s="13">
        <f>$B$7*(A910*AG$71+B910*AH$71+C910*AI$71+D910*AJ$71)+F910/100*$B$7*AL$71-$C$71</f>
        <v/>
      </c>
      <c r="M910" s="13">
        <f>$B$7*(A910*AN$71+B910*AO$71+C910*AP$71+D910*AQ$71)+F910/100*$B$7*AS$71-$C$71</f>
        <v/>
      </c>
      <c r="N910" s="13">
        <f>SUMPRODUCT($H$24:$M$24,H910:M910)</f>
        <v/>
      </c>
      <c r="O910" s="14">
        <f>SQRT(SUMPRODUCT($H$24:$M$24,(H910:M910-N910)^2))</f>
        <v/>
      </c>
      <c r="P910" s="13">
        <f>MIN(H910:M910)</f>
        <v/>
      </c>
      <c r="Q910" s="13">
        <f>MAX(H910:M910)</f>
        <v/>
      </c>
      <c r="R910" s="27">
        <f>IF(G910,SUMPRODUCT(($G$76:$G$1505)*($N$76:$N$1505&gt;=N910)*($O$76:$O$1505&lt;=O910))=1,FALSE)</f>
        <v/>
      </c>
      <c r="S910" s="16">
        <f>IF(R910,ABS((O910-$AC$76)/MAX(0.0001,$AC$77-$AC$76)-(N910-$AC$78)/MAX(0.0001,$AC$79-$AC$78)),-1)</f>
        <v/>
      </c>
      <c r="T910" s="14">
        <f>IF(G910,O910,NA())</f>
        <v/>
      </c>
      <c r="U910" s="13">
        <f>IF(G910,N910,NA())</f>
        <v/>
      </c>
      <c r="V910" s="14">
        <f>IF(R910,O910,NA())</f>
        <v/>
      </c>
      <c r="W910" s="13">
        <f>IF(R910,N910,NA())</f>
        <v/>
      </c>
      <c r="X910" s="27">
        <f>IF(G910,P910,"")</f>
        <v/>
      </c>
      <c r="Y910" s="27">
        <f>IF(G910,N910,"")</f>
        <v/>
      </c>
      <c r="Z910" s="27">
        <f>IF(R910,O910,"")</f>
        <v/>
      </c>
      <c r="AA910" s="27">
        <f>IF(R910,N910,"")</f>
        <v/>
      </c>
    </row>
    <row r="911">
      <c r="A911" s="31" t="n">
        <v>0.3</v>
      </c>
      <c r="B911" s="31" t="n">
        <v>0</v>
      </c>
      <c r="C911" s="31" t="n">
        <v>0.1</v>
      </c>
      <c r="D911" s="31" t="n">
        <v>0.6</v>
      </c>
      <c r="E911" s="27" t="inlineStr">
        <is>
          <t>ON 30%/2M 10%/3M 60%</t>
        </is>
      </c>
      <c r="F911" s="27" t="n">
        <v>0</v>
      </c>
      <c r="G911" s="27">
        <f>A911*$B$7&gt;=$B$9</f>
        <v/>
      </c>
      <c r="H911" s="13">
        <f>$B$7*(A911*E$71+B911*F$71+C911*G$71+D911*H$71)+F911/100*$B$7*J$71-$C$71</f>
        <v/>
      </c>
      <c r="I911" s="13">
        <f>$B$7*(A911*L$71+B911*M$71+C911*N$71+D911*O$71)+F911/100*$B$7*Q$71-$C$71</f>
        <v/>
      </c>
      <c r="J911" s="13">
        <f>$B$7*(A911*S$71+B911*T$71+C911*U$71+D911*V$71)+F911/100*$B$7*X$71-$C$71</f>
        <v/>
      </c>
      <c r="K911" s="13">
        <f>$B$7*(A911*Z$71+B911*AA$71+C911*AB$71+D911*AC$71)+F911/100*$B$7*AE$71-$C$71</f>
        <v/>
      </c>
      <c r="L911" s="13">
        <f>$B$7*(A911*AG$71+B911*AH$71+C911*AI$71+D911*AJ$71)+F911/100*$B$7*AL$71-$C$71</f>
        <v/>
      </c>
      <c r="M911" s="13">
        <f>$B$7*(A911*AN$71+B911*AO$71+C911*AP$71+D911*AQ$71)+F911/100*$B$7*AS$71-$C$71</f>
        <v/>
      </c>
      <c r="N911" s="13">
        <f>SUMPRODUCT($H$24:$M$24,H911:M911)</f>
        <v/>
      </c>
      <c r="O911" s="14">
        <f>SQRT(SUMPRODUCT($H$24:$M$24,(H911:M911-N911)^2))</f>
        <v/>
      </c>
      <c r="P911" s="13">
        <f>MIN(H911:M911)</f>
        <v/>
      </c>
      <c r="Q911" s="13">
        <f>MAX(H911:M911)</f>
        <v/>
      </c>
      <c r="R911" s="27">
        <f>IF(G911,SUMPRODUCT(($G$76:$G$1505)*($N$76:$N$1505&gt;=N911)*($O$76:$O$1505&lt;=O911))=1,FALSE)</f>
        <v/>
      </c>
      <c r="S911" s="16">
        <f>IF(R911,ABS((O911-$AC$76)/MAX(0.0001,$AC$77-$AC$76)-(N911-$AC$78)/MAX(0.0001,$AC$79-$AC$78)),-1)</f>
        <v/>
      </c>
      <c r="T911" s="14">
        <f>IF(G911,O911,NA())</f>
        <v/>
      </c>
      <c r="U911" s="13">
        <f>IF(G911,N911,NA())</f>
        <v/>
      </c>
      <c r="V911" s="14">
        <f>IF(R911,O911,NA())</f>
        <v/>
      </c>
      <c r="W911" s="13">
        <f>IF(R911,N911,NA())</f>
        <v/>
      </c>
      <c r="X911" s="27">
        <f>IF(G911,P911,"")</f>
        <v/>
      </c>
      <c r="Y911" s="27">
        <f>IF(G911,N911,"")</f>
        <v/>
      </c>
      <c r="Z911" s="27">
        <f>IF(R911,O911,"")</f>
        <v/>
      </c>
      <c r="AA911" s="27">
        <f>IF(R911,N911,"")</f>
        <v/>
      </c>
    </row>
    <row r="912">
      <c r="A912" s="31" t="n">
        <v>0.3</v>
      </c>
      <c r="B912" s="31" t="n">
        <v>0</v>
      </c>
      <c r="C912" s="31" t="n">
        <v>0.1</v>
      </c>
      <c r="D912" s="31" t="n">
        <v>0.6</v>
      </c>
      <c r="E912" s="27" t="inlineStr">
        <is>
          <t>ON 30%/2M 10%/3M 60%</t>
        </is>
      </c>
      <c r="F912" s="27" t="n">
        <v>25</v>
      </c>
      <c r="G912" s="27">
        <f>A912*$B$7&gt;=$B$9</f>
        <v/>
      </c>
      <c r="H912" s="13">
        <f>$B$7*(A912*E$71+B912*F$71+C912*G$71+D912*H$71)+F912/100*$B$7*J$71-$C$71</f>
        <v/>
      </c>
      <c r="I912" s="13">
        <f>$B$7*(A912*L$71+B912*M$71+C912*N$71+D912*O$71)+F912/100*$B$7*Q$71-$C$71</f>
        <v/>
      </c>
      <c r="J912" s="13">
        <f>$B$7*(A912*S$71+B912*T$71+C912*U$71+D912*V$71)+F912/100*$B$7*X$71-$C$71</f>
        <v/>
      </c>
      <c r="K912" s="13">
        <f>$B$7*(A912*Z$71+B912*AA$71+C912*AB$71+D912*AC$71)+F912/100*$B$7*AE$71-$C$71</f>
        <v/>
      </c>
      <c r="L912" s="13">
        <f>$B$7*(A912*AG$71+B912*AH$71+C912*AI$71+D912*AJ$71)+F912/100*$B$7*AL$71-$C$71</f>
        <v/>
      </c>
      <c r="M912" s="13">
        <f>$B$7*(A912*AN$71+B912*AO$71+C912*AP$71+D912*AQ$71)+F912/100*$B$7*AS$71-$C$71</f>
        <v/>
      </c>
      <c r="N912" s="13">
        <f>SUMPRODUCT($H$24:$M$24,H912:M912)</f>
        <v/>
      </c>
      <c r="O912" s="14">
        <f>SQRT(SUMPRODUCT($H$24:$M$24,(H912:M912-N912)^2))</f>
        <v/>
      </c>
      <c r="P912" s="13">
        <f>MIN(H912:M912)</f>
        <v/>
      </c>
      <c r="Q912" s="13">
        <f>MAX(H912:M912)</f>
        <v/>
      </c>
      <c r="R912" s="27">
        <f>IF(G912,SUMPRODUCT(($G$76:$G$1505)*($N$76:$N$1505&gt;=N912)*($O$76:$O$1505&lt;=O912))=1,FALSE)</f>
        <v/>
      </c>
      <c r="S912" s="16">
        <f>IF(R912,ABS((O912-$AC$76)/MAX(0.0001,$AC$77-$AC$76)-(N912-$AC$78)/MAX(0.0001,$AC$79-$AC$78)),-1)</f>
        <v/>
      </c>
      <c r="T912" s="14">
        <f>IF(G912,O912,NA())</f>
        <v/>
      </c>
      <c r="U912" s="13">
        <f>IF(G912,N912,NA())</f>
        <v/>
      </c>
      <c r="V912" s="14">
        <f>IF(R912,O912,NA())</f>
        <v/>
      </c>
      <c r="W912" s="13">
        <f>IF(R912,N912,NA())</f>
        <v/>
      </c>
      <c r="X912" s="27">
        <f>IF(G912,P912,"")</f>
        <v/>
      </c>
      <c r="Y912" s="27">
        <f>IF(G912,N912,"")</f>
        <v/>
      </c>
      <c r="Z912" s="27">
        <f>IF(R912,O912,"")</f>
        <v/>
      </c>
      <c r="AA912" s="27">
        <f>IF(R912,N912,"")</f>
        <v/>
      </c>
    </row>
    <row r="913">
      <c r="A913" s="31" t="n">
        <v>0.3</v>
      </c>
      <c r="B913" s="31" t="n">
        <v>0</v>
      </c>
      <c r="C913" s="31" t="n">
        <v>0.1</v>
      </c>
      <c r="D913" s="31" t="n">
        <v>0.6</v>
      </c>
      <c r="E913" s="27" t="inlineStr">
        <is>
          <t>ON 30%/2M 10%/3M 60%</t>
        </is>
      </c>
      <c r="F913" s="27" t="n">
        <v>50</v>
      </c>
      <c r="G913" s="27">
        <f>A913*$B$7&gt;=$B$9</f>
        <v/>
      </c>
      <c r="H913" s="13">
        <f>$B$7*(A913*E$71+B913*F$71+C913*G$71+D913*H$71)+F913/100*$B$7*J$71-$C$71</f>
        <v/>
      </c>
      <c r="I913" s="13">
        <f>$B$7*(A913*L$71+B913*M$71+C913*N$71+D913*O$71)+F913/100*$B$7*Q$71-$C$71</f>
        <v/>
      </c>
      <c r="J913" s="13">
        <f>$B$7*(A913*S$71+B913*T$71+C913*U$71+D913*V$71)+F913/100*$B$7*X$71-$C$71</f>
        <v/>
      </c>
      <c r="K913" s="13">
        <f>$B$7*(A913*Z$71+B913*AA$71+C913*AB$71+D913*AC$71)+F913/100*$B$7*AE$71-$C$71</f>
        <v/>
      </c>
      <c r="L913" s="13">
        <f>$B$7*(A913*AG$71+B913*AH$71+C913*AI$71+D913*AJ$71)+F913/100*$B$7*AL$71-$C$71</f>
        <v/>
      </c>
      <c r="M913" s="13">
        <f>$B$7*(A913*AN$71+B913*AO$71+C913*AP$71+D913*AQ$71)+F913/100*$B$7*AS$71-$C$71</f>
        <v/>
      </c>
      <c r="N913" s="13">
        <f>SUMPRODUCT($H$24:$M$24,H913:M913)</f>
        <v/>
      </c>
      <c r="O913" s="14">
        <f>SQRT(SUMPRODUCT($H$24:$M$24,(H913:M913-N913)^2))</f>
        <v/>
      </c>
      <c r="P913" s="13">
        <f>MIN(H913:M913)</f>
        <v/>
      </c>
      <c r="Q913" s="13">
        <f>MAX(H913:M913)</f>
        <v/>
      </c>
      <c r="R913" s="27">
        <f>IF(G913,SUMPRODUCT(($G$76:$G$1505)*($N$76:$N$1505&gt;=N913)*($O$76:$O$1505&lt;=O913))=1,FALSE)</f>
        <v/>
      </c>
      <c r="S913" s="16">
        <f>IF(R913,ABS((O913-$AC$76)/MAX(0.0001,$AC$77-$AC$76)-(N913-$AC$78)/MAX(0.0001,$AC$79-$AC$78)),-1)</f>
        <v/>
      </c>
      <c r="T913" s="14">
        <f>IF(G913,O913,NA())</f>
        <v/>
      </c>
      <c r="U913" s="13">
        <f>IF(G913,N913,NA())</f>
        <v/>
      </c>
      <c r="V913" s="14">
        <f>IF(R913,O913,NA())</f>
        <v/>
      </c>
      <c r="W913" s="13">
        <f>IF(R913,N913,NA())</f>
        <v/>
      </c>
      <c r="X913" s="27">
        <f>IF(G913,P913,"")</f>
        <v/>
      </c>
      <c r="Y913" s="27">
        <f>IF(G913,N913,"")</f>
        <v/>
      </c>
      <c r="Z913" s="27">
        <f>IF(R913,O913,"")</f>
        <v/>
      </c>
      <c r="AA913" s="27">
        <f>IF(R913,N913,"")</f>
        <v/>
      </c>
    </row>
    <row r="914">
      <c r="A914" s="31" t="n">
        <v>0.3</v>
      </c>
      <c r="B914" s="31" t="n">
        <v>0</v>
      </c>
      <c r="C914" s="31" t="n">
        <v>0.1</v>
      </c>
      <c r="D914" s="31" t="n">
        <v>0.6</v>
      </c>
      <c r="E914" s="27" t="inlineStr">
        <is>
          <t>ON 30%/2M 10%/3M 60%</t>
        </is>
      </c>
      <c r="F914" s="27" t="n">
        <v>75</v>
      </c>
      <c r="G914" s="27">
        <f>A914*$B$7&gt;=$B$9</f>
        <v/>
      </c>
      <c r="H914" s="13">
        <f>$B$7*(A914*E$71+B914*F$71+C914*G$71+D914*H$71)+F914/100*$B$7*J$71-$C$71</f>
        <v/>
      </c>
      <c r="I914" s="13">
        <f>$B$7*(A914*L$71+B914*M$71+C914*N$71+D914*O$71)+F914/100*$B$7*Q$71-$C$71</f>
        <v/>
      </c>
      <c r="J914" s="13">
        <f>$B$7*(A914*S$71+B914*T$71+C914*U$71+D914*V$71)+F914/100*$B$7*X$71-$C$71</f>
        <v/>
      </c>
      <c r="K914" s="13">
        <f>$B$7*(A914*Z$71+B914*AA$71+C914*AB$71+D914*AC$71)+F914/100*$B$7*AE$71-$C$71</f>
        <v/>
      </c>
      <c r="L914" s="13">
        <f>$B$7*(A914*AG$71+B914*AH$71+C914*AI$71+D914*AJ$71)+F914/100*$B$7*AL$71-$C$71</f>
        <v/>
      </c>
      <c r="M914" s="13">
        <f>$B$7*(A914*AN$71+B914*AO$71+C914*AP$71+D914*AQ$71)+F914/100*$B$7*AS$71-$C$71</f>
        <v/>
      </c>
      <c r="N914" s="13">
        <f>SUMPRODUCT($H$24:$M$24,H914:M914)</f>
        <v/>
      </c>
      <c r="O914" s="14">
        <f>SQRT(SUMPRODUCT($H$24:$M$24,(H914:M914-N914)^2))</f>
        <v/>
      </c>
      <c r="P914" s="13">
        <f>MIN(H914:M914)</f>
        <v/>
      </c>
      <c r="Q914" s="13">
        <f>MAX(H914:M914)</f>
        <v/>
      </c>
      <c r="R914" s="27">
        <f>IF(G914,SUMPRODUCT(($G$76:$G$1505)*($N$76:$N$1505&gt;=N914)*($O$76:$O$1505&lt;=O914))=1,FALSE)</f>
        <v/>
      </c>
      <c r="S914" s="16">
        <f>IF(R914,ABS((O914-$AC$76)/MAX(0.0001,$AC$77-$AC$76)-(N914-$AC$78)/MAX(0.0001,$AC$79-$AC$78)),-1)</f>
        <v/>
      </c>
      <c r="T914" s="14">
        <f>IF(G914,O914,NA())</f>
        <v/>
      </c>
      <c r="U914" s="13">
        <f>IF(G914,N914,NA())</f>
        <v/>
      </c>
      <c r="V914" s="14">
        <f>IF(R914,O914,NA())</f>
        <v/>
      </c>
      <c r="W914" s="13">
        <f>IF(R914,N914,NA())</f>
        <v/>
      </c>
      <c r="X914" s="27">
        <f>IF(G914,P914,"")</f>
        <v/>
      </c>
      <c r="Y914" s="27">
        <f>IF(G914,N914,"")</f>
        <v/>
      </c>
      <c r="Z914" s="27">
        <f>IF(R914,O914,"")</f>
        <v/>
      </c>
      <c r="AA914" s="27">
        <f>IF(R914,N914,"")</f>
        <v/>
      </c>
    </row>
    <row r="915">
      <c r="A915" s="31" t="n">
        <v>0.3</v>
      </c>
      <c r="B915" s="31" t="n">
        <v>0</v>
      </c>
      <c r="C915" s="31" t="n">
        <v>0.1</v>
      </c>
      <c r="D915" s="31" t="n">
        <v>0.6</v>
      </c>
      <c r="E915" s="27" t="inlineStr">
        <is>
          <t>ON 30%/2M 10%/3M 60%</t>
        </is>
      </c>
      <c r="F915" s="27" t="n">
        <v>100</v>
      </c>
      <c r="G915" s="27">
        <f>A915*$B$7&gt;=$B$9</f>
        <v/>
      </c>
      <c r="H915" s="13">
        <f>$B$7*(A915*E$71+B915*F$71+C915*G$71+D915*H$71)+F915/100*$B$7*J$71-$C$71</f>
        <v/>
      </c>
      <c r="I915" s="13">
        <f>$B$7*(A915*L$71+B915*M$71+C915*N$71+D915*O$71)+F915/100*$B$7*Q$71-$C$71</f>
        <v/>
      </c>
      <c r="J915" s="13">
        <f>$B$7*(A915*S$71+B915*T$71+C915*U$71+D915*V$71)+F915/100*$B$7*X$71-$C$71</f>
        <v/>
      </c>
      <c r="K915" s="13">
        <f>$B$7*(A915*Z$71+B915*AA$71+C915*AB$71+D915*AC$71)+F915/100*$B$7*AE$71-$C$71</f>
        <v/>
      </c>
      <c r="L915" s="13">
        <f>$B$7*(A915*AG$71+B915*AH$71+C915*AI$71+D915*AJ$71)+F915/100*$B$7*AL$71-$C$71</f>
        <v/>
      </c>
      <c r="M915" s="13">
        <f>$B$7*(A915*AN$71+B915*AO$71+C915*AP$71+D915*AQ$71)+F915/100*$B$7*AS$71-$C$71</f>
        <v/>
      </c>
      <c r="N915" s="13">
        <f>SUMPRODUCT($H$24:$M$24,H915:M915)</f>
        <v/>
      </c>
      <c r="O915" s="14">
        <f>SQRT(SUMPRODUCT($H$24:$M$24,(H915:M915-N915)^2))</f>
        <v/>
      </c>
      <c r="P915" s="13">
        <f>MIN(H915:M915)</f>
        <v/>
      </c>
      <c r="Q915" s="13">
        <f>MAX(H915:M915)</f>
        <v/>
      </c>
      <c r="R915" s="27">
        <f>IF(G915,SUMPRODUCT(($G$76:$G$1505)*($N$76:$N$1505&gt;=N915)*($O$76:$O$1505&lt;=O915))=1,FALSE)</f>
        <v/>
      </c>
      <c r="S915" s="16">
        <f>IF(R915,ABS((O915-$AC$76)/MAX(0.0001,$AC$77-$AC$76)-(N915-$AC$78)/MAX(0.0001,$AC$79-$AC$78)),-1)</f>
        <v/>
      </c>
      <c r="T915" s="14">
        <f>IF(G915,O915,NA())</f>
        <v/>
      </c>
      <c r="U915" s="13">
        <f>IF(G915,N915,NA())</f>
        <v/>
      </c>
      <c r="V915" s="14">
        <f>IF(R915,O915,NA())</f>
        <v/>
      </c>
      <c r="W915" s="13">
        <f>IF(R915,N915,NA())</f>
        <v/>
      </c>
      <c r="X915" s="27">
        <f>IF(G915,P915,"")</f>
        <v/>
      </c>
      <c r="Y915" s="27">
        <f>IF(G915,N915,"")</f>
        <v/>
      </c>
      <c r="Z915" s="27">
        <f>IF(R915,O915,"")</f>
        <v/>
      </c>
      <c r="AA915" s="27">
        <f>IF(R915,N915,"")</f>
        <v/>
      </c>
    </row>
    <row r="916">
      <c r="A916" s="31" t="n">
        <v>0.3</v>
      </c>
      <c r="B916" s="31" t="n">
        <v>0</v>
      </c>
      <c r="C916" s="31" t="n">
        <v>0.2</v>
      </c>
      <c r="D916" s="31" t="n">
        <v>0.5</v>
      </c>
      <c r="E916" s="27" t="inlineStr">
        <is>
          <t>ON 30%/2M 20%/3M 50%</t>
        </is>
      </c>
      <c r="F916" s="27" t="n">
        <v>0</v>
      </c>
      <c r="G916" s="27">
        <f>A916*$B$7&gt;=$B$9</f>
        <v/>
      </c>
      <c r="H916" s="13">
        <f>$B$7*(A916*E$71+B916*F$71+C916*G$71+D916*H$71)+F916/100*$B$7*J$71-$C$71</f>
        <v/>
      </c>
      <c r="I916" s="13">
        <f>$B$7*(A916*L$71+B916*M$71+C916*N$71+D916*O$71)+F916/100*$B$7*Q$71-$C$71</f>
        <v/>
      </c>
      <c r="J916" s="13">
        <f>$B$7*(A916*S$71+B916*T$71+C916*U$71+D916*V$71)+F916/100*$B$7*X$71-$C$71</f>
        <v/>
      </c>
      <c r="K916" s="13">
        <f>$B$7*(A916*Z$71+B916*AA$71+C916*AB$71+D916*AC$71)+F916/100*$B$7*AE$71-$C$71</f>
        <v/>
      </c>
      <c r="L916" s="13">
        <f>$B$7*(A916*AG$71+B916*AH$71+C916*AI$71+D916*AJ$71)+F916/100*$B$7*AL$71-$C$71</f>
        <v/>
      </c>
      <c r="M916" s="13">
        <f>$B$7*(A916*AN$71+B916*AO$71+C916*AP$71+D916*AQ$71)+F916/100*$B$7*AS$71-$C$71</f>
        <v/>
      </c>
      <c r="N916" s="13">
        <f>SUMPRODUCT($H$24:$M$24,H916:M916)</f>
        <v/>
      </c>
      <c r="O916" s="14">
        <f>SQRT(SUMPRODUCT($H$24:$M$24,(H916:M916-N916)^2))</f>
        <v/>
      </c>
      <c r="P916" s="13">
        <f>MIN(H916:M916)</f>
        <v/>
      </c>
      <c r="Q916" s="13">
        <f>MAX(H916:M916)</f>
        <v/>
      </c>
      <c r="R916" s="27">
        <f>IF(G916,SUMPRODUCT(($G$76:$G$1505)*($N$76:$N$1505&gt;=N916)*($O$76:$O$1505&lt;=O916))=1,FALSE)</f>
        <v/>
      </c>
      <c r="S916" s="16">
        <f>IF(R916,ABS((O916-$AC$76)/MAX(0.0001,$AC$77-$AC$76)-(N916-$AC$78)/MAX(0.0001,$AC$79-$AC$78)),-1)</f>
        <v/>
      </c>
      <c r="T916" s="14">
        <f>IF(G916,O916,NA())</f>
        <v/>
      </c>
      <c r="U916" s="13">
        <f>IF(G916,N916,NA())</f>
        <v/>
      </c>
      <c r="V916" s="14">
        <f>IF(R916,O916,NA())</f>
        <v/>
      </c>
      <c r="W916" s="13">
        <f>IF(R916,N916,NA())</f>
        <v/>
      </c>
      <c r="X916" s="27">
        <f>IF(G916,P916,"")</f>
        <v/>
      </c>
      <c r="Y916" s="27">
        <f>IF(G916,N916,"")</f>
        <v/>
      </c>
      <c r="Z916" s="27">
        <f>IF(R916,O916,"")</f>
        <v/>
      </c>
      <c r="AA916" s="27">
        <f>IF(R916,N916,"")</f>
        <v/>
      </c>
    </row>
    <row r="917">
      <c r="A917" s="31" t="n">
        <v>0.3</v>
      </c>
      <c r="B917" s="31" t="n">
        <v>0</v>
      </c>
      <c r="C917" s="31" t="n">
        <v>0.2</v>
      </c>
      <c r="D917" s="31" t="n">
        <v>0.5</v>
      </c>
      <c r="E917" s="27" t="inlineStr">
        <is>
          <t>ON 30%/2M 20%/3M 50%</t>
        </is>
      </c>
      <c r="F917" s="27" t="n">
        <v>25</v>
      </c>
      <c r="G917" s="27">
        <f>A917*$B$7&gt;=$B$9</f>
        <v/>
      </c>
      <c r="H917" s="13">
        <f>$B$7*(A917*E$71+B917*F$71+C917*G$71+D917*H$71)+F917/100*$B$7*J$71-$C$71</f>
        <v/>
      </c>
      <c r="I917" s="13">
        <f>$B$7*(A917*L$71+B917*M$71+C917*N$71+D917*O$71)+F917/100*$B$7*Q$71-$C$71</f>
        <v/>
      </c>
      <c r="J917" s="13">
        <f>$B$7*(A917*S$71+B917*T$71+C917*U$71+D917*V$71)+F917/100*$B$7*X$71-$C$71</f>
        <v/>
      </c>
      <c r="K917" s="13">
        <f>$B$7*(A917*Z$71+B917*AA$71+C917*AB$71+D917*AC$71)+F917/100*$B$7*AE$71-$C$71</f>
        <v/>
      </c>
      <c r="L917" s="13">
        <f>$B$7*(A917*AG$71+B917*AH$71+C917*AI$71+D917*AJ$71)+F917/100*$B$7*AL$71-$C$71</f>
        <v/>
      </c>
      <c r="M917" s="13">
        <f>$B$7*(A917*AN$71+B917*AO$71+C917*AP$71+D917*AQ$71)+F917/100*$B$7*AS$71-$C$71</f>
        <v/>
      </c>
      <c r="N917" s="13">
        <f>SUMPRODUCT($H$24:$M$24,H917:M917)</f>
        <v/>
      </c>
      <c r="O917" s="14">
        <f>SQRT(SUMPRODUCT($H$24:$M$24,(H917:M917-N917)^2))</f>
        <v/>
      </c>
      <c r="P917" s="13">
        <f>MIN(H917:M917)</f>
        <v/>
      </c>
      <c r="Q917" s="13">
        <f>MAX(H917:M917)</f>
        <v/>
      </c>
      <c r="R917" s="27">
        <f>IF(G917,SUMPRODUCT(($G$76:$G$1505)*($N$76:$N$1505&gt;=N917)*($O$76:$O$1505&lt;=O917))=1,FALSE)</f>
        <v/>
      </c>
      <c r="S917" s="16">
        <f>IF(R917,ABS((O917-$AC$76)/MAX(0.0001,$AC$77-$AC$76)-(N917-$AC$78)/MAX(0.0001,$AC$79-$AC$78)),-1)</f>
        <v/>
      </c>
      <c r="T917" s="14">
        <f>IF(G917,O917,NA())</f>
        <v/>
      </c>
      <c r="U917" s="13">
        <f>IF(G917,N917,NA())</f>
        <v/>
      </c>
      <c r="V917" s="14">
        <f>IF(R917,O917,NA())</f>
        <v/>
      </c>
      <c r="W917" s="13">
        <f>IF(R917,N917,NA())</f>
        <v/>
      </c>
      <c r="X917" s="27">
        <f>IF(G917,P917,"")</f>
        <v/>
      </c>
      <c r="Y917" s="27">
        <f>IF(G917,N917,"")</f>
        <v/>
      </c>
      <c r="Z917" s="27">
        <f>IF(R917,O917,"")</f>
        <v/>
      </c>
      <c r="AA917" s="27">
        <f>IF(R917,N917,"")</f>
        <v/>
      </c>
    </row>
    <row r="918">
      <c r="A918" s="31" t="n">
        <v>0.3</v>
      </c>
      <c r="B918" s="31" t="n">
        <v>0</v>
      </c>
      <c r="C918" s="31" t="n">
        <v>0.2</v>
      </c>
      <c r="D918" s="31" t="n">
        <v>0.5</v>
      </c>
      <c r="E918" s="27" t="inlineStr">
        <is>
          <t>ON 30%/2M 20%/3M 50%</t>
        </is>
      </c>
      <c r="F918" s="27" t="n">
        <v>50</v>
      </c>
      <c r="G918" s="27">
        <f>A918*$B$7&gt;=$B$9</f>
        <v/>
      </c>
      <c r="H918" s="13">
        <f>$B$7*(A918*E$71+B918*F$71+C918*G$71+D918*H$71)+F918/100*$B$7*J$71-$C$71</f>
        <v/>
      </c>
      <c r="I918" s="13">
        <f>$B$7*(A918*L$71+B918*M$71+C918*N$71+D918*O$71)+F918/100*$B$7*Q$71-$C$71</f>
        <v/>
      </c>
      <c r="J918" s="13">
        <f>$B$7*(A918*S$71+B918*T$71+C918*U$71+D918*V$71)+F918/100*$B$7*X$71-$C$71</f>
        <v/>
      </c>
      <c r="K918" s="13">
        <f>$B$7*(A918*Z$71+B918*AA$71+C918*AB$71+D918*AC$71)+F918/100*$B$7*AE$71-$C$71</f>
        <v/>
      </c>
      <c r="L918" s="13">
        <f>$B$7*(A918*AG$71+B918*AH$71+C918*AI$71+D918*AJ$71)+F918/100*$B$7*AL$71-$C$71</f>
        <v/>
      </c>
      <c r="M918" s="13">
        <f>$B$7*(A918*AN$71+B918*AO$71+C918*AP$71+D918*AQ$71)+F918/100*$B$7*AS$71-$C$71</f>
        <v/>
      </c>
      <c r="N918" s="13">
        <f>SUMPRODUCT($H$24:$M$24,H918:M918)</f>
        <v/>
      </c>
      <c r="O918" s="14">
        <f>SQRT(SUMPRODUCT($H$24:$M$24,(H918:M918-N918)^2))</f>
        <v/>
      </c>
      <c r="P918" s="13">
        <f>MIN(H918:M918)</f>
        <v/>
      </c>
      <c r="Q918" s="13">
        <f>MAX(H918:M918)</f>
        <v/>
      </c>
      <c r="R918" s="27">
        <f>IF(G918,SUMPRODUCT(($G$76:$G$1505)*($N$76:$N$1505&gt;=N918)*($O$76:$O$1505&lt;=O918))=1,FALSE)</f>
        <v/>
      </c>
      <c r="S918" s="16">
        <f>IF(R918,ABS((O918-$AC$76)/MAX(0.0001,$AC$77-$AC$76)-(N918-$AC$78)/MAX(0.0001,$AC$79-$AC$78)),-1)</f>
        <v/>
      </c>
      <c r="T918" s="14">
        <f>IF(G918,O918,NA())</f>
        <v/>
      </c>
      <c r="U918" s="13">
        <f>IF(G918,N918,NA())</f>
        <v/>
      </c>
      <c r="V918" s="14">
        <f>IF(R918,O918,NA())</f>
        <v/>
      </c>
      <c r="W918" s="13">
        <f>IF(R918,N918,NA())</f>
        <v/>
      </c>
      <c r="X918" s="27">
        <f>IF(G918,P918,"")</f>
        <v/>
      </c>
      <c r="Y918" s="27">
        <f>IF(G918,N918,"")</f>
        <v/>
      </c>
      <c r="Z918" s="27">
        <f>IF(R918,O918,"")</f>
        <v/>
      </c>
      <c r="AA918" s="27">
        <f>IF(R918,N918,"")</f>
        <v/>
      </c>
    </row>
    <row r="919">
      <c r="A919" s="31" t="n">
        <v>0.3</v>
      </c>
      <c r="B919" s="31" t="n">
        <v>0</v>
      </c>
      <c r="C919" s="31" t="n">
        <v>0.2</v>
      </c>
      <c r="D919" s="31" t="n">
        <v>0.5</v>
      </c>
      <c r="E919" s="27" t="inlineStr">
        <is>
          <t>ON 30%/2M 20%/3M 50%</t>
        </is>
      </c>
      <c r="F919" s="27" t="n">
        <v>75</v>
      </c>
      <c r="G919" s="27">
        <f>A919*$B$7&gt;=$B$9</f>
        <v/>
      </c>
      <c r="H919" s="13">
        <f>$B$7*(A919*E$71+B919*F$71+C919*G$71+D919*H$71)+F919/100*$B$7*J$71-$C$71</f>
        <v/>
      </c>
      <c r="I919" s="13">
        <f>$B$7*(A919*L$71+B919*M$71+C919*N$71+D919*O$71)+F919/100*$B$7*Q$71-$C$71</f>
        <v/>
      </c>
      <c r="J919" s="13">
        <f>$B$7*(A919*S$71+B919*T$71+C919*U$71+D919*V$71)+F919/100*$B$7*X$71-$C$71</f>
        <v/>
      </c>
      <c r="K919" s="13">
        <f>$B$7*(A919*Z$71+B919*AA$71+C919*AB$71+D919*AC$71)+F919/100*$B$7*AE$71-$C$71</f>
        <v/>
      </c>
      <c r="L919" s="13">
        <f>$B$7*(A919*AG$71+B919*AH$71+C919*AI$71+D919*AJ$71)+F919/100*$B$7*AL$71-$C$71</f>
        <v/>
      </c>
      <c r="M919" s="13">
        <f>$B$7*(A919*AN$71+B919*AO$71+C919*AP$71+D919*AQ$71)+F919/100*$B$7*AS$71-$C$71</f>
        <v/>
      </c>
      <c r="N919" s="13">
        <f>SUMPRODUCT($H$24:$M$24,H919:M919)</f>
        <v/>
      </c>
      <c r="O919" s="14">
        <f>SQRT(SUMPRODUCT($H$24:$M$24,(H919:M919-N919)^2))</f>
        <v/>
      </c>
      <c r="P919" s="13">
        <f>MIN(H919:M919)</f>
        <v/>
      </c>
      <c r="Q919" s="13">
        <f>MAX(H919:M919)</f>
        <v/>
      </c>
      <c r="R919" s="27">
        <f>IF(G919,SUMPRODUCT(($G$76:$G$1505)*($N$76:$N$1505&gt;=N919)*($O$76:$O$1505&lt;=O919))=1,FALSE)</f>
        <v/>
      </c>
      <c r="S919" s="16">
        <f>IF(R919,ABS((O919-$AC$76)/MAX(0.0001,$AC$77-$AC$76)-(N919-$AC$78)/MAX(0.0001,$AC$79-$AC$78)),-1)</f>
        <v/>
      </c>
      <c r="T919" s="14">
        <f>IF(G919,O919,NA())</f>
        <v/>
      </c>
      <c r="U919" s="13">
        <f>IF(G919,N919,NA())</f>
        <v/>
      </c>
      <c r="V919" s="14">
        <f>IF(R919,O919,NA())</f>
        <v/>
      </c>
      <c r="W919" s="13">
        <f>IF(R919,N919,NA())</f>
        <v/>
      </c>
      <c r="X919" s="27">
        <f>IF(G919,P919,"")</f>
        <v/>
      </c>
      <c r="Y919" s="27">
        <f>IF(G919,N919,"")</f>
        <v/>
      </c>
      <c r="Z919" s="27">
        <f>IF(R919,O919,"")</f>
        <v/>
      </c>
      <c r="AA919" s="27">
        <f>IF(R919,N919,"")</f>
        <v/>
      </c>
    </row>
    <row r="920">
      <c r="A920" s="31" t="n">
        <v>0.3</v>
      </c>
      <c r="B920" s="31" t="n">
        <v>0</v>
      </c>
      <c r="C920" s="31" t="n">
        <v>0.2</v>
      </c>
      <c r="D920" s="31" t="n">
        <v>0.5</v>
      </c>
      <c r="E920" s="27" t="inlineStr">
        <is>
          <t>ON 30%/2M 20%/3M 50%</t>
        </is>
      </c>
      <c r="F920" s="27" t="n">
        <v>100</v>
      </c>
      <c r="G920" s="27">
        <f>A920*$B$7&gt;=$B$9</f>
        <v/>
      </c>
      <c r="H920" s="13">
        <f>$B$7*(A920*E$71+B920*F$71+C920*G$71+D920*H$71)+F920/100*$B$7*J$71-$C$71</f>
        <v/>
      </c>
      <c r="I920" s="13">
        <f>$B$7*(A920*L$71+B920*M$71+C920*N$71+D920*O$71)+F920/100*$B$7*Q$71-$C$71</f>
        <v/>
      </c>
      <c r="J920" s="13">
        <f>$B$7*(A920*S$71+B920*T$71+C920*U$71+D920*V$71)+F920/100*$B$7*X$71-$C$71</f>
        <v/>
      </c>
      <c r="K920" s="13">
        <f>$B$7*(A920*Z$71+B920*AA$71+C920*AB$71+D920*AC$71)+F920/100*$B$7*AE$71-$C$71</f>
        <v/>
      </c>
      <c r="L920" s="13">
        <f>$B$7*(A920*AG$71+B920*AH$71+C920*AI$71+D920*AJ$71)+F920/100*$B$7*AL$71-$C$71</f>
        <v/>
      </c>
      <c r="M920" s="13">
        <f>$B$7*(A920*AN$71+B920*AO$71+C920*AP$71+D920*AQ$71)+F920/100*$B$7*AS$71-$C$71</f>
        <v/>
      </c>
      <c r="N920" s="13">
        <f>SUMPRODUCT($H$24:$M$24,H920:M920)</f>
        <v/>
      </c>
      <c r="O920" s="14">
        <f>SQRT(SUMPRODUCT($H$24:$M$24,(H920:M920-N920)^2))</f>
        <v/>
      </c>
      <c r="P920" s="13">
        <f>MIN(H920:M920)</f>
        <v/>
      </c>
      <c r="Q920" s="13">
        <f>MAX(H920:M920)</f>
        <v/>
      </c>
      <c r="R920" s="27">
        <f>IF(G920,SUMPRODUCT(($G$76:$G$1505)*($N$76:$N$1505&gt;=N920)*($O$76:$O$1505&lt;=O920))=1,FALSE)</f>
        <v/>
      </c>
      <c r="S920" s="16">
        <f>IF(R920,ABS((O920-$AC$76)/MAX(0.0001,$AC$77-$AC$76)-(N920-$AC$78)/MAX(0.0001,$AC$79-$AC$78)),-1)</f>
        <v/>
      </c>
      <c r="T920" s="14">
        <f>IF(G920,O920,NA())</f>
        <v/>
      </c>
      <c r="U920" s="13">
        <f>IF(G920,N920,NA())</f>
        <v/>
      </c>
      <c r="V920" s="14">
        <f>IF(R920,O920,NA())</f>
        <v/>
      </c>
      <c r="W920" s="13">
        <f>IF(R920,N920,NA())</f>
        <v/>
      </c>
      <c r="X920" s="27">
        <f>IF(G920,P920,"")</f>
        <v/>
      </c>
      <c r="Y920" s="27">
        <f>IF(G920,N920,"")</f>
        <v/>
      </c>
      <c r="Z920" s="27">
        <f>IF(R920,O920,"")</f>
        <v/>
      </c>
      <c r="AA920" s="27">
        <f>IF(R920,N920,"")</f>
        <v/>
      </c>
    </row>
    <row r="921">
      <c r="A921" s="31" t="n">
        <v>0.3</v>
      </c>
      <c r="B921" s="31" t="n">
        <v>0</v>
      </c>
      <c r="C921" s="31" t="n">
        <v>0.3</v>
      </c>
      <c r="D921" s="31" t="n">
        <v>0.4</v>
      </c>
      <c r="E921" s="27" t="inlineStr">
        <is>
          <t>ON 30%/2M 30%/3M 40%</t>
        </is>
      </c>
      <c r="F921" s="27" t="n">
        <v>0</v>
      </c>
      <c r="G921" s="27">
        <f>A921*$B$7&gt;=$B$9</f>
        <v/>
      </c>
      <c r="H921" s="13">
        <f>$B$7*(A921*E$71+B921*F$71+C921*G$71+D921*H$71)+F921/100*$B$7*J$71-$C$71</f>
        <v/>
      </c>
      <c r="I921" s="13">
        <f>$B$7*(A921*L$71+B921*M$71+C921*N$71+D921*O$71)+F921/100*$B$7*Q$71-$C$71</f>
        <v/>
      </c>
      <c r="J921" s="13">
        <f>$B$7*(A921*S$71+B921*T$71+C921*U$71+D921*V$71)+F921/100*$B$7*X$71-$C$71</f>
        <v/>
      </c>
      <c r="K921" s="13">
        <f>$B$7*(A921*Z$71+B921*AA$71+C921*AB$71+D921*AC$71)+F921/100*$B$7*AE$71-$C$71</f>
        <v/>
      </c>
      <c r="L921" s="13">
        <f>$B$7*(A921*AG$71+B921*AH$71+C921*AI$71+D921*AJ$71)+F921/100*$B$7*AL$71-$C$71</f>
        <v/>
      </c>
      <c r="M921" s="13">
        <f>$B$7*(A921*AN$71+B921*AO$71+C921*AP$71+D921*AQ$71)+F921/100*$B$7*AS$71-$C$71</f>
        <v/>
      </c>
      <c r="N921" s="13">
        <f>SUMPRODUCT($H$24:$M$24,H921:M921)</f>
        <v/>
      </c>
      <c r="O921" s="14">
        <f>SQRT(SUMPRODUCT($H$24:$M$24,(H921:M921-N921)^2))</f>
        <v/>
      </c>
      <c r="P921" s="13">
        <f>MIN(H921:M921)</f>
        <v/>
      </c>
      <c r="Q921" s="13">
        <f>MAX(H921:M921)</f>
        <v/>
      </c>
      <c r="R921" s="27">
        <f>IF(G921,SUMPRODUCT(($G$76:$G$1505)*($N$76:$N$1505&gt;=N921)*($O$76:$O$1505&lt;=O921))=1,FALSE)</f>
        <v/>
      </c>
      <c r="S921" s="16">
        <f>IF(R921,ABS((O921-$AC$76)/MAX(0.0001,$AC$77-$AC$76)-(N921-$AC$78)/MAX(0.0001,$AC$79-$AC$78)),-1)</f>
        <v/>
      </c>
      <c r="T921" s="14">
        <f>IF(G921,O921,NA())</f>
        <v/>
      </c>
      <c r="U921" s="13">
        <f>IF(G921,N921,NA())</f>
        <v/>
      </c>
      <c r="V921" s="14">
        <f>IF(R921,O921,NA())</f>
        <v/>
      </c>
      <c r="W921" s="13">
        <f>IF(R921,N921,NA())</f>
        <v/>
      </c>
      <c r="X921" s="27">
        <f>IF(G921,P921,"")</f>
        <v/>
      </c>
      <c r="Y921" s="27">
        <f>IF(G921,N921,"")</f>
        <v/>
      </c>
      <c r="Z921" s="27">
        <f>IF(R921,O921,"")</f>
        <v/>
      </c>
      <c r="AA921" s="27">
        <f>IF(R921,N921,"")</f>
        <v/>
      </c>
    </row>
    <row r="922">
      <c r="A922" s="31" t="n">
        <v>0.3</v>
      </c>
      <c r="B922" s="31" t="n">
        <v>0</v>
      </c>
      <c r="C922" s="31" t="n">
        <v>0.3</v>
      </c>
      <c r="D922" s="31" t="n">
        <v>0.4</v>
      </c>
      <c r="E922" s="27" t="inlineStr">
        <is>
          <t>ON 30%/2M 30%/3M 40%</t>
        </is>
      </c>
      <c r="F922" s="27" t="n">
        <v>25</v>
      </c>
      <c r="G922" s="27">
        <f>A922*$B$7&gt;=$B$9</f>
        <v/>
      </c>
      <c r="H922" s="13">
        <f>$B$7*(A922*E$71+B922*F$71+C922*G$71+D922*H$71)+F922/100*$B$7*J$71-$C$71</f>
        <v/>
      </c>
      <c r="I922" s="13">
        <f>$B$7*(A922*L$71+B922*M$71+C922*N$71+D922*O$71)+F922/100*$B$7*Q$71-$C$71</f>
        <v/>
      </c>
      <c r="J922" s="13">
        <f>$B$7*(A922*S$71+B922*T$71+C922*U$71+D922*V$71)+F922/100*$B$7*X$71-$C$71</f>
        <v/>
      </c>
      <c r="K922" s="13">
        <f>$B$7*(A922*Z$71+B922*AA$71+C922*AB$71+D922*AC$71)+F922/100*$B$7*AE$71-$C$71</f>
        <v/>
      </c>
      <c r="L922" s="13">
        <f>$B$7*(A922*AG$71+B922*AH$71+C922*AI$71+D922*AJ$71)+F922/100*$B$7*AL$71-$C$71</f>
        <v/>
      </c>
      <c r="M922" s="13">
        <f>$B$7*(A922*AN$71+B922*AO$71+C922*AP$71+D922*AQ$71)+F922/100*$B$7*AS$71-$C$71</f>
        <v/>
      </c>
      <c r="N922" s="13">
        <f>SUMPRODUCT($H$24:$M$24,H922:M922)</f>
        <v/>
      </c>
      <c r="O922" s="14">
        <f>SQRT(SUMPRODUCT($H$24:$M$24,(H922:M922-N922)^2))</f>
        <v/>
      </c>
      <c r="P922" s="13">
        <f>MIN(H922:M922)</f>
        <v/>
      </c>
      <c r="Q922" s="13">
        <f>MAX(H922:M922)</f>
        <v/>
      </c>
      <c r="R922" s="27">
        <f>IF(G922,SUMPRODUCT(($G$76:$G$1505)*($N$76:$N$1505&gt;=N922)*($O$76:$O$1505&lt;=O922))=1,FALSE)</f>
        <v/>
      </c>
      <c r="S922" s="16">
        <f>IF(R922,ABS((O922-$AC$76)/MAX(0.0001,$AC$77-$AC$76)-(N922-$AC$78)/MAX(0.0001,$AC$79-$AC$78)),-1)</f>
        <v/>
      </c>
      <c r="T922" s="14">
        <f>IF(G922,O922,NA())</f>
        <v/>
      </c>
      <c r="U922" s="13">
        <f>IF(G922,N922,NA())</f>
        <v/>
      </c>
      <c r="V922" s="14">
        <f>IF(R922,O922,NA())</f>
        <v/>
      </c>
      <c r="W922" s="13">
        <f>IF(R922,N922,NA())</f>
        <v/>
      </c>
      <c r="X922" s="27">
        <f>IF(G922,P922,"")</f>
        <v/>
      </c>
      <c r="Y922" s="27">
        <f>IF(G922,N922,"")</f>
        <v/>
      </c>
      <c r="Z922" s="27">
        <f>IF(R922,O922,"")</f>
        <v/>
      </c>
      <c r="AA922" s="27">
        <f>IF(R922,N922,"")</f>
        <v/>
      </c>
    </row>
    <row r="923">
      <c r="A923" s="31" t="n">
        <v>0.3</v>
      </c>
      <c r="B923" s="31" t="n">
        <v>0</v>
      </c>
      <c r="C923" s="31" t="n">
        <v>0.3</v>
      </c>
      <c r="D923" s="31" t="n">
        <v>0.4</v>
      </c>
      <c r="E923" s="27" t="inlineStr">
        <is>
          <t>ON 30%/2M 30%/3M 40%</t>
        </is>
      </c>
      <c r="F923" s="27" t="n">
        <v>50</v>
      </c>
      <c r="G923" s="27">
        <f>A923*$B$7&gt;=$B$9</f>
        <v/>
      </c>
      <c r="H923" s="13">
        <f>$B$7*(A923*E$71+B923*F$71+C923*G$71+D923*H$71)+F923/100*$B$7*J$71-$C$71</f>
        <v/>
      </c>
      <c r="I923" s="13">
        <f>$B$7*(A923*L$71+B923*M$71+C923*N$71+D923*O$71)+F923/100*$B$7*Q$71-$C$71</f>
        <v/>
      </c>
      <c r="J923" s="13">
        <f>$B$7*(A923*S$71+B923*T$71+C923*U$71+D923*V$71)+F923/100*$B$7*X$71-$C$71</f>
        <v/>
      </c>
      <c r="K923" s="13">
        <f>$B$7*(A923*Z$71+B923*AA$71+C923*AB$71+D923*AC$71)+F923/100*$B$7*AE$71-$C$71</f>
        <v/>
      </c>
      <c r="L923" s="13">
        <f>$B$7*(A923*AG$71+B923*AH$71+C923*AI$71+D923*AJ$71)+F923/100*$B$7*AL$71-$C$71</f>
        <v/>
      </c>
      <c r="M923" s="13">
        <f>$B$7*(A923*AN$71+B923*AO$71+C923*AP$71+D923*AQ$71)+F923/100*$B$7*AS$71-$C$71</f>
        <v/>
      </c>
      <c r="N923" s="13">
        <f>SUMPRODUCT($H$24:$M$24,H923:M923)</f>
        <v/>
      </c>
      <c r="O923" s="14">
        <f>SQRT(SUMPRODUCT($H$24:$M$24,(H923:M923-N923)^2))</f>
        <v/>
      </c>
      <c r="P923" s="13">
        <f>MIN(H923:M923)</f>
        <v/>
      </c>
      <c r="Q923" s="13">
        <f>MAX(H923:M923)</f>
        <v/>
      </c>
      <c r="R923" s="27">
        <f>IF(G923,SUMPRODUCT(($G$76:$G$1505)*($N$76:$N$1505&gt;=N923)*($O$76:$O$1505&lt;=O923))=1,FALSE)</f>
        <v/>
      </c>
      <c r="S923" s="16">
        <f>IF(R923,ABS((O923-$AC$76)/MAX(0.0001,$AC$77-$AC$76)-(N923-$AC$78)/MAX(0.0001,$AC$79-$AC$78)),-1)</f>
        <v/>
      </c>
      <c r="T923" s="14">
        <f>IF(G923,O923,NA())</f>
        <v/>
      </c>
      <c r="U923" s="13">
        <f>IF(G923,N923,NA())</f>
        <v/>
      </c>
      <c r="V923" s="14">
        <f>IF(R923,O923,NA())</f>
        <v/>
      </c>
      <c r="W923" s="13">
        <f>IF(R923,N923,NA())</f>
        <v/>
      </c>
      <c r="X923" s="27">
        <f>IF(G923,P923,"")</f>
        <v/>
      </c>
      <c r="Y923" s="27">
        <f>IF(G923,N923,"")</f>
        <v/>
      </c>
      <c r="Z923" s="27">
        <f>IF(R923,O923,"")</f>
        <v/>
      </c>
      <c r="AA923" s="27">
        <f>IF(R923,N923,"")</f>
        <v/>
      </c>
    </row>
    <row r="924">
      <c r="A924" s="31" t="n">
        <v>0.3</v>
      </c>
      <c r="B924" s="31" t="n">
        <v>0</v>
      </c>
      <c r="C924" s="31" t="n">
        <v>0.3</v>
      </c>
      <c r="D924" s="31" t="n">
        <v>0.4</v>
      </c>
      <c r="E924" s="27" t="inlineStr">
        <is>
          <t>ON 30%/2M 30%/3M 40%</t>
        </is>
      </c>
      <c r="F924" s="27" t="n">
        <v>75</v>
      </c>
      <c r="G924" s="27">
        <f>A924*$B$7&gt;=$B$9</f>
        <v/>
      </c>
      <c r="H924" s="13">
        <f>$B$7*(A924*E$71+B924*F$71+C924*G$71+D924*H$71)+F924/100*$B$7*J$71-$C$71</f>
        <v/>
      </c>
      <c r="I924" s="13">
        <f>$B$7*(A924*L$71+B924*M$71+C924*N$71+D924*O$71)+F924/100*$B$7*Q$71-$C$71</f>
        <v/>
      </c>
      <c r="J924" s="13">
        <f>$B$7*(A924*S$71+B924*T$71+C924*U$71+D924*V$71)+F924/100*$B$7*X$71-$C$71</f>
        <v/>
      </c>
      <c r="K924" s="13">
        <f>$B$7*(A924*Z$71+B924*AA$71+C924*AB$71+D924*AC$71)+F924/100*$B$7*AE$71-$C$71</f>
        <v/>
      </c>
      <c r="L924" s="13">
        <f>$B$7*(A924*AG$71+B924*AH$71+C924*AI$71+D924*AJ$71)+F924/100*$B$7*AL$71-$C$71</f>
        <v/>
      </c>
      <c r="M924" s="13">
        <f>$B$7*(A924*AN$71+B924*AO$71+C924*AP$71+D924*AQ$71)+F924/100*$B$7*AS$71-$C$71</f>
        <v/>
      </c>
      <c r="N924" s="13">
        <f>SUMPRODUCT($H$24:$M$24,H924:M924)</f>
        <v/>
      </c>
      <c r="O924" s="14">
        <f>SQRT(SUMPRODUCT($H$24:$M$24,(H924:M924-N924)^2))</f>
        <v/>
      </c>
      <c r="P924" s="13">
        <f>MIN(H924:M924)</f>
        <v/>
      </c>
      <c r="Q924" s="13">
        <f>MAX(H924:M924)</f>
        <v/>
      </c>
      <c r="R924" s="27">
        <f>IF(G924,SUMPRODUCT(($G$76:$G$1505)*($N$76:$N$1505&gt;=N924)*($O$76:$O$1505&lt;=O924))=1,FALSE)</f>
        <v/>
      </c>
      <c r="S924" s="16">
        <f>IF(R924,ABS((O924-$AC$76)/MAX(0.0001,$AC$77-$AC$76)-(N924-$AC$78)/MAX(0.0001,$AC$79-$AC$78)),-1)</f>
        <v/>
      </c>
      <c r="T924" s="14">
        <f>IF(G924,O924,NA())</f>
        <v/>
      </c>
      <c r="U924" s="13">
        <f>IF(G924,N924,NA())</f>
        <v/>
      </c>
      <c r="V924" s="14">
        <f>IF(R924,O924,NA())</f>
        <v/>
      </c>
      <c r="W924" s="13">
        <f>IF(R924,N924,NA())</f>
        <v/>
      </c>
      <c r="X924" s="27">
        <f>IF(G924,P924,"")</f>
        <v/>
      </c>
      <c r="Y924" s="27">
        <f>IF(G924,N924,"")</f>
        <v/>
      </c>
      <c r="Z924" s="27">
        <f>IF(R924,O924,"")</f>
        <v/>
      </c>
      <c r="AA924" s="27">
        <f>IF(R924,N924,"")</f>
        <v/>
      </c>
    </row>
    <row r="925">
      <c r="A925" s="31" t="n">
        <v>0.3</v>
      </c>
      <c r="B925" s="31" t="n">
        <v>0</v>
      </c>
      <c r="C925" s="31" t="n">
        <v>0.3</v>
      </c>
      <c r="D925" s="31" t="n">
        <v>0.4</v>
      </c>
      <c r="E925" s="27" t="inlineStr">
        <is>
          <t>ON 30%/2M 30%/3M 40%</t>
        </is>
      </c>
      <c r="F925" s="27" t="n">
        <v>100</v>
      </c>
      <c r="G925" s="27">
        <f>A925*$B$7&gt;=$B$9</f>
        <v/>
      </c>
      <c r="H925" s="13">
        <f>$B$7*(A925*E$71+B925*F$71+C925*G$71+D925*H$71)+F925/100*$B$7*J$71-$C$71</f>
        <v/>
      </c>
      <c r="I925" s="13">
        <f>$B$7*(A925*L$71+B925*M$71+C925*N$71+D925*O$71)+F925/100*$B$7*Q$71-$C$71</f>
        <v/>
      </c>
      <c r="J925" s="13">
        <f>$B$7*(A925*S$71+B925*T$71+C925*U$71+D925*V$71)+F925/100*$B$7*X$71-$C$71</f>
        <v/>
      </c>
      <c r="K925" s="13">
        <f>$B$7*(A925*Z$71+B925*AA$71+C925*AB$71+D925*AC$71)+F925/100*$B$7*AE$71-$C$71</f>
        <v/>
      </c>
      <c r="L925" s="13">
        <f>$B$7*(A925*AG$71+B925*AH$71+C925*AI$71+D925*AJ$71)+F925/100*$B$7*AL$71-$C$71</f>
        <v/>
      </c>
      <c r="M925" s="13">
        <f>$B$7*(A925*AN$71+B925*AO$71+C925*AP$71+D925*AQ$71)+F925/100*$B$7*AS$71-$C$71</f>
        <v/>
      </c>
      <c r="N925" s="13">
        <f>SUMPRODUCT($H$24:$M$24,H925:M925)</f>
        <v/>
      </c>
      <c r="O925" s="14">
        <f>SQRT(SUMPRODUCT($H$24:$M$24,(H925:M925-N925)^2))</f>
        <v/>
      </c>
      <c r="P925" s="13">
        <f>MIN(H925:M925)</f>
        <v/>
      </c>
      <c r="Q925" s="13">
        <f>MAX(H925:M925)</f>
        <v/>
      </c>
      <c r="R925" s="27">
        <f>IF(G925,SUMPRODUCT(($G$76:$G$1505)*($N$76:$N$1505&gt;=N925)*($O$76:$O$1505&lt;=O925))=1,FALSE)</f>
        <v/>
      </c>
      <c r="S925" s="16">
        <f>IF(R925,ABS((O925-$AC$76)/MAX(0.0001,$AC$77-$AC$76)-(N925-$AC$78)/MAX(0.0001,$AC$79-$AC$78)),-1)</f>
        <v/>
      </c>
      <c r="T925" s="14">
        <f>IF(G925,O925,NA())</f>
        <v/>
      </c>
      <c r="U925" s="13">
        <f>IF(G925,N925,NA())</f>
        <v/>
      </c>
      <c r="V925" s="14">
        <f>IF(R925,O925,NA())</f>
        <v/>
      </c>
      <c r="W925" s="13">
        <f>IF(R925,N925,NA())</f>
        <v/>
      </c>
      <c r="X925" s="27">
        <f>IF(G925,P925,"")</f>
        <v/>
      </c>
      <c r="Y925" s="27">
        <f>IF(G925,N925,"")</f>
        <v/>
      </c>
      <c r="Z925" s="27">
        <f>IF(R925,O925,"")</f>
        <v/>
      </c>
      <c r="AA925" s="27">
        <f>IF(R925,N925,"")</f>
        <v/>
      </c>
    </row>
    <row r="926">
      <c r="A926" s="31" t="n">
        <v>0.3</v>
      </c>
      <c r="B926" s="31" t="n">
        <v>0</v>
      </c>
      <c r="C926" s="31" t="n">
        <v>0.4</v>
      </c>
      <c r="D926" s="31" t="n">
        <v>0.3</v>
      </c>
      <c r="E926" s="27" t="inlineStr">
        <is>
          <t>ON 30%/2M 40%/3M 30%</t>
        </is>
      </c>
      <c r="F926" s="27" t="n">
        <v>0</v>
      </c>
      <c r="G926" s="27">
        <f>A926*$B$7&gt;=$B$9</f>
        <v/>
      </c>
      <c r="H926" s="13">
        <f>$B$7*(A926*E$71+B926*F$71+C926*G$71+D926*H$71)+F926/100*$B$7*J$71-$C$71</f>
        <v/>
      </c>
      <c r="I926" s="13">
        <f>$B$7*(A926*L$71+B926*M$71+C926*N$71+D926*O$71)+F926/100*$B$7*Q$71-$C$71</f>
        <v/>
      </c>
      <c r="J926" s="13">
        <f>$B$7*(A926*S$71+B926*T$71+C926*U$71+D926*V$71)+F926/100*$B$7*X$71-$C$71</f>
        <v/>
      </c>
      <c r="K926" s="13">
        <f>$B$7*(A926*Z$71+B926*AA$71+C926*AB$71+D926*AC$71)+F926/100*$B$7*AE$71-$C$71</f>
        <v/>
      </c>
      <c r="L926" s="13">
        <f>$B$7*(A926*AG$71+B926*AH$71+C926*AI$71+D926*AJ$71)+F926/100*$B$7*AL$71-$C$71</f>
        <v/>
      </c>
      <c r="M926" s="13">
        <f>$B$7*(A926*AN$71+B926*AO$71+C926*AP$71+D926*AQ$71)+F926/100*$B$7*AS$71-$C$71</f>
        <v/>
      </c>
      <c r="N926" s="13">
        <f>SUMPRODUCT($H$24:$M$24,H926:M926)</f>
        <v/>
      </c>
      <c r="O926" s="14">
        <f>SQRT(SUMPRODUCT($H$24:$M$24,(H926:M926-N926)^2))</f>
        <v/>
      </c>
      <c r="P926" s="13">
        <f>MIN(H926:M926)</f>
        <v/>
      </c>
      <c r="Q926" s="13">
        <f>MAX(H926:M926)</f>
        <v/>
      </c>
      <c r="R926" s="27">
        <f>IF(G926,SUMPRODUCT(($G$76:$G$1505)*($N$76:$N$1505&gt;=N926)*($O$76:$O$1505&lt;=O926))=1,FALSE)</f>
        <v/>
      </c>
      <c r="S926" s="16">
        <f>IF(R926,ABS((O926-$AC$76)/MAX(0.0001,$AC$77-$AC$76)-(N926-$AC$78)/MAX(0.0001,$AC$79-$AC$78)),-1)</f>
        <v/>
      </c>
      <c r="T926" s="14">
        <f>IF(G926,O926,NA())</f>
        <v/>
      </c>
      <c r="U926" s="13">
        <f>IF(G926,N926,NA())</f>
        <v/>
      </c>
      <c r="V926" s="14">
        <f>IF(R926,O926,NA())</f>
        <v/>
      </c>
      <c r="W926" s="13">
        <f>IF(R926,N926,NA())</f>
        <v/>
      </c>
      <c r="X926" s="27">
        <f>IF(G926,P926,"")</f>
        <v/>
      </c>
      <c r="Y926" s="27">
        <f>IF(G926,N926,"")</f>
        <v/>
      </c>
      <c r="Z926" s="27">
        <f>IF(R926,O926,"")</f>
        <v/>
      </c>
      <c r="AA926" s="27">
        <f>IF(R926,N926,"")</f>
        <v/>
      </c>
    </row>
    <row r="927">
      <c r="A927" s="31" t="n">
        <v>0.3</v>
      </c>
      <c r="B927" s="31" t="n">
        <v>0</v>
      </c>
      <c r="C927" s="31" t="n">
        <v>0.4</v>
      </c>
      <c r="D927" s="31" t="n">
        <v>0.3</v>
      </c>
      <c r="E927" s="27" t="inlineStr">
        <is>
          <t>ON 30%/2M 40%/3M 30%</t>
        </is>
      </c>
      <c r="F927" s="27" t="n">
        <v>25</v>
      </c>
      <c r="G927" s="27">
        <f>A927*$B$7&gt;=$B$9</f>
        <v/>
      </c>
      <c r="H927" s="13">
        <f>$B$7*(A927*E$71+B927*F$71+C927*G$71+D927*H$71)+F927/100*$B$7*J$71-$C$71</f>
        <v/>
      </c>
      <c r="I927" s="13">
        <f>$B$7*(A927*L$71+B927*M$71+C927*N$71+D927*O$71)+F927/100*$B$7*Q$71-$C$71</f>
        <v/>
      </c>
      <c r="J927" s="13">
        <f>$B$7*(A927*S$71+B927*T$71+C927*U$71+D927*V$71)+F927/100*$B$7*X$71-$C$71</f>
        <v/>
      </c>
      <c r="K927" s="13">
        <f>$B$7*(A927*Z$71+B927*AA$71+C927*AB$71+D927*AC$71)+F927/100*$B$7*AE$71-$C$71</f>
        <v/>
      </c>
      <c r="L927" s="13">
        <f>$B$7*(A927*AG$71+B927*AH$71+C927*AI$71+D927*AJ$71)+F927/100*$B$7*AL$71-$C$71</f>
        <v/>
      </c>
      <c r="M927" s="13">
        <f>$B$7*(A927*AN$71+B927*AO$71+C927*AP$71+D927*AQ$71)+F927/100*$B$7*AS$71-$C$71</f>
        <v/>
      </c>
      <c r="N927" s="13">
        <f>SUMPRODUCT($H$24:$M$24,H927:M927)</f>
        <v/>
      </c>
      <c r="O927" s="14">
        <f>SQRT(SUMPRODUCT($H$24:$M$24,(H927:M927-N927)^2))</f>
        <v/>
      </c>
      <c r="P927" s="13">
        <f>MIN(H927:M927)</f>
        <v/>
      </c>
      <c r="Q927" s="13">
        <f>MAX(H927:M927)</f>
        <v/>
      </c>
      <c r="R927" s="27">
        <f>IF(G927,SUMPRODUCT(($G$76:$G$1505)*($N$76:$N$1505&gt;=N927)*($O$76:$O$1505&lt;=O927))=1,FALSE)</f>
        <v/>
      </c>
      <c r="S927" s="16">
        <f>IF(R927,ABS((O927-$AC$76)/MAX(0.0001,$AC$77-$AC$76)-(N927-$AC$78)/MAX(0.0001,$AC$79-$AC$78)),-1)</f>
        <v/>
      </c>
      <c r="T927" s="14">
        <f>IF(G927,O927,NA())</f>
        <v/>
      </c>
      <c r="U927" s="13">
        <f>IF(G927,N927,NA())</f>
        <v/>
      </c>
      <c r="V927" s="14">
        <f>IF(R927,O927,NA())</f>
        <v/>
      </c>
      <c r="W927" s="13">
        <f>IF(R927,N927,NA())</f>
        <v/>
      </c>
      <c r="X927" s="27">
        <f>IF(G927,P927,"")</f>
        <v/>
      </c>
      <c r="Y927" s="27">
        <f>IF(G927,N927,"")</f>
        <v/>
      </c>
      <c r="Z927" s="27">
        <f>IF(R927,O927,"")</f>
        <v/>
      </c>
      <c r="AA927" s="27">
        <f>IF(R927,N927,"")</f>
        <v/>
      </c>
    </row>
    <row r="928">
      <c r="A928" s="31" t="n">
        <v>0.3</v>
      </c>
      <c r="B928" s="31" t="n">
        <v>0</v>
      </c>
      <c r="C928" s="31" t="n">
        <v>0.4</v>
      </c>
      <c r="D928" s="31" t="n">
        <v>0.3</v>
      </c>
      <c r="E928" s="27" t="inlineStr">
        <is>
          <t>ON 30%/2M 40%/3M 30%</t>
        </is>
      </c>
      <c r="F928" s="27" t="n">
        <v>50</v>
      </c>
      <c r="G928" s="27">
        <f>A928*$B$7&gt;=$B$9</f>
        <v/>
      </c>
      <c r="H928" s="13">
        <f>$B$7*(A928*E$71+B928*F$71+C928*G$71+D928*H$71)+F928/100*$B$7*J$71-$C$71</f>
        <v/>
      </c>
      <c r="I928" s="13">
        <f>$B$7*(A928*L$71+B928*M$71+C928*N$71+D928*O$71)+F928/100*$B$7*Q$71-$C$71</f>
        <v/>
      </c>
      <c r="J928" s="13">
        <f>$B$7*(A928*S$71+B928*T$71+C928*U$71+D928*V$71)+F928/100*$B$7*X$71-$C$71</f>
        <v/>
      </c>
      <c r="K928" s="13">
        <f>$B$7*(A928*Z$71+B928*AA$71+C928*AB$71+D928*AC$71)+F928/100*$B$7*AE$71-$C$71</f>
        <v/>
      </c>
      <c r="L928" s="13">
        <f>$B$7*(A928*AG$71+B928*AH$71+C928*AI$71+D928*AJ$71)+F928/100*$B$7*AL$71-$C$71</f>
        <v/>
      </c>
      <c r="M928" s="13">
        <f>$B$7*(A928*AN$71+B928*AO$71+C928*AP$71+D928*AQ$71)+F928/100*$B$7*AS$71-$C$71</f>
        <v/>
      </c>
      <c r="N928" s="13">
        <f>SUMPRODUCT($H$24:$M$24,H928:M928)</f>
        <v/>
      </c>
      <c r="O928" s="14">
        <f>SQRT(SUMPRODUCT($H$24:$M$24,(H928:M928-N928)^2))</f>
        <v/>
      </c>
      <c r="P928" s="13">
        <f>MIN(H928:M928)</f>
        <v/>
      </c>
      <c r="Q928" s="13">
        <f>MAX(H928:M928)</f>
        <v/>
      </c>
      <c r="R928" s="27">
        <f>IF(G928,SUMPRODUCT(($G$76:$G$1505)*($N$76:$N$1505&gt;=N928)*($O$76:$O$1505&lt;=O928))=1,FALSE)</f>
        <v/>
      </c>
      <c r="S928" s="16">
        <f>IF(R928,ABS((O928-$AC$76)/MAX(0.0001,$AC$77-$AC$76)-(N928-$AC$78)/MAX(0.0001,$AC$79-$AC$78)),-1)</f>
        <v/>
      </c>
      <c r="T928" s="14">
        <f>IF(G928,O928,NA())</f>
        <v/>
      </c>
      <c r="U928" s="13">
        <f>IF(G928,N928,NA())</f>
        <v/>
      </c>
      <c r="V928" s="14">
        <f>IF(R928,O928,NA())</f>
        <v/>
      </c>
      <c r="W928" s="13">
        <f>IF(R928,N928,NA())</f>
        <v/>
      </c>
      <c r="X928" s="27">
        <f>IF(G928,P928,"")</f>
        <v/>
      </c>
      <c r="Y928" s="27">
        <f>IF(G928,N928,"")</f>
        <v/>
      </c>
      <c r="Z928" s="27">
        <f>IF(R928,O928,"")</f>
        <v/>
      </c>
      <c r="AA928" s="27">
        <f>IF(R928,N928,"")</f>
        <v/>
      </c>
    </row>
    <row r="929">
      <c r="A929" s="31" t="n">
        <v>0.3</v>
      </c>
      <c r="B929" s="31" t="n">
        <v>0</v>
      </c>
      <c r="C929" s="31" t="n">
        <v>0.4</v>
      </c>
      <c r="D929" s="31" t="n">
        <v>0.3</v>
      </c>
      <c r="E929" s="27" t="inlineStr">
        <is>
          <t>ON 30%/2M 40%/3M 30%</t>
        </is>
      </c>
      <c r="F929" s="27" t="n">
        <v>75</v>
      </c>
      <c r="G929" s="27">
        <f>A929*$B$7&gt;=$B$9</f>
        <v/>
      </c>
      <c r="H929" s="13">
        <f>$B$7*(A929*E$71+B929*F$71+C929*G$71+D929*H$71)+F929/100*$B$7*J$71-$C$71</f>
        <v/>
      </c>
      <c r="I929" s="13">
        <f>$B$7*(A929*L$71+B929*M$71+C929*N$71+D929*O$71)+F929/100*$B$7*Q$71-$C$71</f>
        <v/>
      </c>
      <c r="J929" s="13">
        <f>$B$7*(A929*S$71+B929*T$71+C929*U$71+D929*V$71)+F929/100*$B$7*X$71-$C$71</f>
        <v/>
      </c>
      <c r="K929" s="13">
        <f>$B$7*(A929*Z$71+B929*AA$71+C929*AB$71+D929*AC$71)+F929/100*$B$7*AE$71-$C$71</f>
        <v/>
      </c>
      <c r="L929" s="13">
        <f>$B$7*(A929*AG$71+B929*AH$71+C929*AI$71+D929*AJ$71)+F929/100*$B$7*AL$71-$C$71</f>
        <v/>
      </c>
      <c r="M929" s="13">
        <f>$B$7*(A929*AN$71+B929*AO$71+C929*AP$71+D929*AQ$71)+F929/100*$B$7*AS$71-$C$71</f>
        <v/>
      </c>
      <c r="N929" s="13">
        <f>SUMPRODUCT($H$24:$M$24,H929:M929)</f>
        <v/>
      </c>
      <c r="O929" s="14">
        <f>SQRT(SUMPRODUCT($H$24:$M$24,(H929:M929-N929)^2))</f>
        <v/>
      </c>
      <c r="P929" s="13">
        <f>MIN(H929:M929)</f>
        <v/>
      </c>
      <c r="Q929" s="13">
        <f>MAX(H929:M929)</f>
        <v/>
      </c>
      <c r="R929" s="27">
        <f>IF(G929,SUMPRODUCT(($G$76:$G$1505)*($N$76:$N$1505&gt;=N929)*($O$76:$O$1505&lt;=O929))=1,FALSE)</f>
        <v/>
      </c>
      <c r="S929" s="16">
        <f>IF(R929,ABS((O929-$AC$76)/MAX(0.0001,$AC$77-$AC$76)-(N929-$AC$78)/MAX(0.0001,$AC$79-$AC$78)),-1)</f>
        <v/>
      </c>
      <c r="T929" s="14">
        <f>IF(G929,O929,NA())</f>
        <v/>
      </c>
      <c r="U929" s="13">
        <f>IF(G929,N929,NA())</f>
        <v/>
      </c>
      <c r="V929" s="14">
        <f>IF(R929,O929,NA())</f>
        <v/>
      </c>
      <c r="W929" s="13">
        <f>IF(R929,N929,NA())</f>
        <v/>
      </c>
      <c r="X929" s="27">
        <f>IF(G929,P929,"")</f>
        <v/>
      </c>
      <c r="Y929" s="27">
        <f>IF(G929,N929,"")</f>
        <v/>
      </c>
      <c r="Z929" s="27">
        <f>IF(R929,O929,"")</f>
        <v/>
      </c>
      <c r="AA929" s="27">
        <f>IF(R929,N929,"")</f>
        <v/>
      </c>
    </row>
    <row r="930">
      <c r="A930" s="31" t="n">
        <v>0.3</v>
      </c>
      <c r="B930" s="31" t="n">
        <v>0</v>
      </c>
      <c r="C930" s="31" t="n">
        <v>0.4</v>
      </c>
      <c r="D930" s="31" t="n">
        <v>0.3</v>
      </c>
      <c r="E930" s="27" t="inlineStr">
        <is>
          <t>ON 30%/2M 40%/3M 30%</t>
        </is>
      </c>
      <c r="F930" s="27" t="n">
        <v>100</v>
      </c>
      <c r="G930" s="27">
        <f>A930*$B$7&gt;=$B$9</f>
        <v/>
      </c>
      <c r="H930" s="13">
        <f>$B$7*(A930*E$71+B930*F$71+C930*G$71+D930*H$71)+F930/100*$B$7*J$71-$C$71</f>
        <v/>
      </c>
      <c r="I930" s="13">
        <f>$B$7*(A930*L$71+B930*M$71+C930*N$71+D930*O$71)+F930/100*$B$7*Q$71-$C$71</f>
        <v/>
      </c>
      <c r="J930" s="13">
        <f>$B$7*(A930*S$71+B930*T$71+C930*U$71+D930*V$71)+F930/100*$B$7*X$71-$C$71</f>
        <v/>
      </c>
      <c r="K930" s="13">
        <f>$B$7*(A930*Z$71+B930*AA$71+C930*AB$71+D930*AC$71)+F930/100*$B$7*AE$71-$C$71</f>
        <v/>
      </c>
      <c r="L930" s="13">
        <f>$B$7*(A930*AG$71+B930*AH$71+C930*AI$71+D930*AJ$71)+F930/100*$B$7*AL$71-$C$71</f>
        <v/>
      </c>
      <c r="M930" s="13">
        <f>$B$7*(A930*AN$71+B930*AO$71+C930*AP$71+D930*AQ$71)+F930/100*$B$7*AS$71-$C$71</f>
        <v/>
      </c>
      <c r="N930" s="13">
        <f>SUMPRODUCT($H$24:$M$24,H930:M930)</f>
        <v/>
      </c>
      <c r="O930" s="14">
        <f>SQRT(SUMPRODUCT($H$24:$M$24,(H930:M930-N930)^2))</f>
        <v/>
      </c>
      <c r="P930" s="13">
        <f>MIN(H930:M930)</f>
        <v/>
      </c>
      <c r="Q930" s="13">
        <f>MAX(H930:M930)</f>
        <v/>
      </c>
      <c r="R930" s="27">
        <f>IF(G930,SUMPRODUCT(($G$76:$G$1505)*($N$76:$N$1505&gt;=N930)*($O$76:$O$1505&lt;=O930))=1,FALSE)</f>
        <v/>
      </c>
      <c r="S930" s="16">
        <f>IF(R930,ABS((O930-$AC$76)/MAX(0.0001,$AC$77-$AC$76)-(N930-$AC$78)/MAX(0.0001,$AC$79-$AC$78)),-1)</f>
        <v/>
      </c>
      <c r="T930" s="14">
        <f>IF(G930,O930,NA())</f>
        <v/>
      </c>
      <c r="U930" s="13">
        <f>IF(G930,N930,NA())</f>
        <v/>
      </c>
      <c r="V930" s="14">
        <f>IF(R930,O930,NA())</f>
        <v/>
      </c>
      <c r="W930" s="13">
        <f>IF(R930,N930,NA())</f>
        <v/>
      </c>
      <c r="X930" s="27">
        <f>IF(G930,P930,"")</f>
        <v/>
      </c>
      <c r="Y930" s="27">
        <f>IF(G930,N930,"")</f>
        <v/>
      </c>
      <c r="Z930" s="27">
        <f>IF(R930,O930,"")</f>
        <v/>
      </c>
      <c r="AA930" s="27">
        <f>IF(R930,N930,"")</f>
        <v/>
      </c>
    </row>
    <row r="931">
      <c r="A931" s="31" t="n">
        <v>0.3</v>
      </c>
      <c r="B931" s="31" t="n">
        <v>0</v>
      </c>
      <c r="C931" s="31" t="n">
        <v>0.5</v>
      </c>
      <c r="D931" s="31" t="n">
        <v>0.2</v>
      </c>
      <c r="E931" s="27" t="inlineStr">
        <is>
          <t>ON 30%/2M 50%/3M 20%</t>
        </is>
      </c>
      <c r="F931" s="27" t="n">
        <v>0</v>
      </c>
      <c r="G931" s="27">
        <f>A931*$B$7&gt;=$B$9</f>
        <v/>
      </c>
      <c r="H931" s="13">
        <f>$B$7*(A931*E$71+B931*F$71+C931*G$71+D931*H$71)+F931/100*$B$7*J$71-$C$71</f>
        <v/>
      </c>
      <c r="I931" s="13">
        <f>$B$7*(A931*L$71+B931*M$71+C931*N$71+D931*O$71)+F931/100*$B$7*Q$71-$C$71</f>
        <v/>
      </c>
      <c r="J931" s="13">
        <f>$B$7*(A931*S$71+B931*T$71+C931*U$71+D931*V$71)+F931/100*$B$7*X$71-$C$71</f>
        <v/>
      </c>
      <c r="K931" s="13">
        <f>$B$7*(A931*Z$71+B931*AA$71+C931*AB$71+D931*AC$71)+F931/100*$B$7*AE$71-$C$71</f>
        <v/>
      </c>
      <c r="L931" s="13">
        <f>$B$7*(A931*AG$71+B931*AH$71+C931*AI$71+D931*AJ$71)+F931/100*$B$7*AL$71-$C$71</f>
        <v/>
      </c>
      <c r="M931" s="13">
        <f>$B$7*(A931*AN$71+B931*AO$71+C931*AP$71+D931*AQ$71)+F931/100*$B$7*AS$71-$C$71</f>
        <v/>
      </c>
      <c r="N931" s="13">
        <f>SUMPRODUCT($H$24:$M$24,H931:M931)</f>
        <v/>
      </c>
      <c r="O931" s="14">
        <f>SQRT(SUMPRODUCT($H$24:$M$24,(H931:M931-N931)^2))</f>
        <v/>
      </c>
      <c r="P931" s="13">
        <f>MIN(H931:M931)</f>
        <v/>
      </c>
      <c r="Q931" s="13">
        <f>MAX(H931:M931)</f>
        <v/>
      </c>
      <c r="R931" s="27">
        <f>IF(G931,SUMPRODUCT(($G$76:$G$1505)*($N$76:$N$1505&gt;=N931)*($O$76:$O$1505&lt;=O931))=1,FALSE)</f>
        <v/>
      </c>
      <c r="S931" s="16">
        <f>IF(R931,ABS((O931-$AC$76)/MAX(0.0001,$AC$77-$AC$76)-(N931-$AC$78)/MAX(0.0001,$AC$79-$AC$78)),-1)</f>
        <v/>
      </c>
      <c r="T931" s="14">
        <f>IF(G931,O931,NA())</f>
        <v/>
      </c>
      <c r="U931" s="13">
        <f>IF(G931,N931,NA())</f>
        <v/>
      </c>
      <c r="V931" s="14">
        <f>IF(R931,O931,NA())</f>
        <v/>
      </c>
      <c r="W931" s="13">
        <f>IF(R931,N931,NA())</f>
        <v/>
      </c>
      <c r="X931" s="27">
        <f>IF(G931,P931,"")</f>
        <v/>
      </c>
      <c r="Y931" s="27">
        <f>IF(G931,N931,"")</f>
        <v/>
      </c>
      <c r="Z931" s="27">
        <f>IF(R931,O931,"")</f>
        <v/>
      </c>
      <c r="AA931" s="27">
        <f>IF(R931,N931,"")</f>
        <v/>
      </c>
    </row>
    <row r="932">
      <c r="A932" s="31" t="n">
        <v>0.3</v>
      </c>
      <c r="B932" s="31" t="n">
        <v>0</v>
      </c>
      <c r="C932" s="31" t="n">
        <v>0.5</v>
      </c>
      <c r="D932" s="31" t="n">
        <v>0.2</v>
      </c>
      <c r="E932" s="27" t="inlineStr">
        <is>
          <t>ON 30%/2M 50%/3M 20%</t>
        </is>
      </c>
      <c r="F932" s="27" t="n">
        <v>25</v>
      </c>
      <c r="G932" s="27">
        <f>A932*$B$7&gt;=$B$9</f>
        <v/>
      </c>
      <c r="H932" s="13">
        <f>$B$7*(A932*E$71+B932*F$71+C932*G$71+D932*H$71)+F932/100*$B$7*J$71-$C$71</f>
        <v/>
      </c>
      <c r="I932" s="13">
        <f>$B$7*(A932*L$71+B932*M$71+C932*N$71+D932*O$71)+F932/100*$B$7*Q$71-$C$71</f>
        <v/>
      </c>
      <c r="J932" s="13">
        <f>$B$7*(A932*S$71+B932*T$71+C932*U$71+D932*V$71)+F932/100*$B$7*X$71-$C$71</f>
        <v/>
      </c>
      <c r="K932" s="13">
        <f>$B$7*(A932*Z$71+B932*AA$71+C932*AB$71+D932*AC$71)+F932/100*$B$7*AE$71-$C$71</f>
        <v/>
      </c>
      <c r="L932" s="13">
        <f>$B$7*(A932*AG$71+B932*AH$71+C932*AI$71+D932*AJ$71)+F932/100*$B$7*AL$71-$C$71</f>
        <v/>
      </c>
      <c r="M932" s="13">
        <f>$B$7*(A932*AN$71+B932*AO$71+C932*AP$71+D932*AQ$71)+F932/100*$B$7*AS$71-$C$71</f>
        <v/>
      </c>
      <c r="N932" s="13">
        <f>SUMPRODUCT($H$24:$M$24,H932:M932)</f>
        <v/>
      </c>
      <c r="O932" s="14">
        <f>SQRT(SUMPRODUCT($H$24:$M$24,(H932:M932-N932)^2))</f>
        <v/>
      </c>
      <c r="P932" s="13">
        <f>MIN(H932:M932)</f>
        <v/>
      </c>
      <c r="Q932" s="13">
        <f>MAX(H932:M932)</f>
        <v/>
      </c>
      <c r="R932" s="27">
        <f>IF(G932,SUMPRODUCT(($G$76:$G$1505)*($N$76:$N$1505&gt;=N932)*($O$76:$O$1505&lt;=O932))=1,FALSE)</f>
        <v/>
      </c>
      <c r="S932" s="16">
        <f>IF(R932,ABS((O932-$AC$76)/MAX(0.0001,$AC$77-$AC$76)-(N932-$AC$78)/MAX(0.0001,$AC$79-$AC$78)),-1)</f>
        <v/>
      </c>
      <c r="T932" s="14">
        <f>IF(G932,O932,NA())</f>
        <v/>
      </c>
      <c r="U932" s="13">
        <f>IF(G932,N932,NA())</f>
        <v/>
      </c>
      <c r="V932" s="14">
        <f>IF(R932,O932,NA())</f>
        <v/>
      </c>
      <c r="W932" s="13">
        <f>IF(R932,N932,NA())</f>
        <v/>
      </c>
      <c r="X932" s="27">
        <f>IF(G932,P932,"")</f>
        <v/>
      </c>
      <c r="Y932" s="27">
        <f>IF(G932,N932,"")</f>
        <v/>
      </c>
      <c r="Z932" s="27">
        <f>IF(R932,O932,"")</f>
        <v/>
      </c>
      <c r="AA932" s="27">
        <f>IF(R932,N932,"")</f>
        <v/>
      </c>
    </row>
    <row r="933">
      <c r="A933" s="31" t="n">
        <v>0.3</v>
      </c>
      <c r="B933" s="31" t="n">
        <v>0</v>
      </c>
      <c r="C933" s="31" t="n">
        <v>0.5</v>
      </c>
      <c r="D933" s="31" t="n">
        <v>0.2</v>
      </c>
      <c r="E933" s="27" t="inlineStr">
        <is>
          <t>ON 30%/2M 50%/3M 20%</t>
        </is>
      </c>
      <c r="F933" s="27" t="n">
        <v>50</v>
      </c>
      <c r="G933" s="27">
        <f>A933*$B$7&gt;=$B$9</f>
        <v/>
      </c>
      <c r="H933" s="13">
        <f>$B$7*(A933*E$71+B933*F$71+C933*G$71+D933*H$71)+F933/100*$B$7*J$71-$C$71</f>
        <v/>
      </c>
      <c r="I933" s="13">
        <f>$B$7*(A933*L$71+B933*M$71+C933*N$71+D933*O$71)+F933/100*$B$7*Q$71-$C$71</f>
        <v/>
      </c>
      <c r="J933" s="13">
        <f>$B$7*(A933*S$71+B933*T$71+C933*U$71+D933*V$71)+F933/100*$B$7*X$71-$C$71</f>
        <v/>
      </c>
      <c r="K933" s="13">
        <f>$B$7*(A933*Z$71+B933*AA$71+C933*AB$71+D933*AC$71)+F933/100*$B$7*AE$71-$C$71</f>
        <v/>
      </c>
      <c r="L933" s="13">
        <f>$B$7*(A933*AG$71+B933*AH$71+C933*AI$71+D933*AJ$71)+F933/100*$B$7*AL$71-$C$71</f>
        <v/>
      </c>
      <c r="M933" s="13">
        <f>$B$7*(A933*AN$71+B933*AO$71+C933*AP$71+D933*AQ$71)+F933/100*$B$7*AS$71-$C$71</f>
        <v/>
      </c>
      <c r="N933" s="13">
        <f>SUMPRODUCT($H$24:$M$24,H933:M933)</f>
        <v/>
      </c>
      <c r="O933" s="14">
        <f>SQRT(SUMPRODUCT($H$24:$M$24,(H933:M933-N933)^2))</f>
        <v/>
      </c>
      <c r="P933" s="13">
        <f>MIN(H933:M933)</f>
        <v/>
      </c>
      <c r="Q933" s="13">
        <f>MAX(H933:M933)</f>
        <v/>
      </c>
      <c r="R933" s="27">
        <f>IF(G933,SUMPRODUCT(($G$76:$G$1505)*($N$76:$N$1505&gt;=N933)*($O$76:$O$1505&lt;=O933))=1,FALSE)</f>
        <v/>
      </c>
      <c r="S933" s="16">
        <f>IF(R933,ABS((O933-$AC$76)/MAX(0.0001,$AC$77-$AC$76)-(N933-$AC$78)/MAX(0.0001,$AC$79-$AC$78)),-1)</f>
        <v/>
      </c>
      <c r="T933" s="14">
        <f>IF(G933,O933,NA())</f>
        <v/>
      </c>
      <c r="U933" s="13">
        <f>IF(G933,N933,NA())</f>
        <v/>
      </c>
      <c r="V933" s="14">
        <f>IF(R933,O933,NA())</f>
        <v/>
      </c>
      <c r="W933" s="13">
        <f>IF(R933,N933,NA())</f>
        <v/>
      </c>
      <c r="X933" s="27">
        <f>IF(G933,P933,"")</f>
        <v/>
      </c>
      <c r="Y933" s="27">
        <f>IF(G933,N933,"")</f>
        <v/>
      </c>
      <c r="Z933" s="27">
        <f>IF(R933,O933,"")</f>
        <v/>
      </c>
      <c r="AA933" s="27">
        <f>IF(R933,N933,"")</f>
        <v/>
      </c>
    </row>
    <row r="934">
      <c r="A934" s="31" t="n">
        <v>0.3</v>
      </c>
      <c r="B934" s="31" t="n">
        <v>0</v>
      </c>
      <c r="C934" s="31" t="n">
        <v>0.5</v>
      </c>
      <c r="D934" s="31" t="n">
        <v>0.2</v>
      </c>
      <c r="E934" s="27" t="inlineStr">
        <is>
          <t>ON 30%/2M 50%/3M 20%</t>
        </is>
      </c>
      <c r="F934" s="27" t="n">
        <v>75</v>
      </c>
      <c r="G934" s="27">
        <f>A934*$B$7&gt;=$B$9</f>
        <v/>
      </c>
      <c r="H934" s="13">
        <f>$B$7*(A934*E$71+B934*F$71+C934*G$71+D934*H$71)+F934/100*$B$7*J$71-$C$71</f>
        <v/>
      </c>
      <c r="I934" s="13">
        <f>$B$7*(A934*L$71+B934*M$71+C934*N$71+D934*O$71)+F934/100*$B$7*Q$71-$C$71</f>
        <v/>
      </c>
      <c r="J934" s="13">
        <f>$B$7*(A934*S$71+B934*T$71+C934*U$71+D934*V$71)+F934/100*$B$7*X$71-$C$71</f>
        <v/>
      </c>
      <c r="K934" s="13">
        <f>$B$7*(A934*Z$71+B934*AA$71+C934*AB$71+D934*AC$71)+F934/100*$B$7*AE$71-$C$71</f>
        <v/>
      </c>
      <c r="L934" s="13">
        <f>$B$7*(A934*AG$71+B934*AH$71+C934*AI$71+D934*AJ$71)+F934/100*$B$7*AL$71-$C$71</f>
        <v/>
      </c>
      <c r="M934" s="13">
        <f>$B$7*(A934*AN$71+B934*AO$71+C934*AP$71+D934*AQ$71)+F934/100*$B$7*AS$71-$C$71</f>
        <v/>
      </c>
      <c r="N934" s="13">
        <f>SUMPRODUCT($H$24:$M$24,H934:M934)</f>
        <v/>
      </c>
      <c r="O934" s="14">
        <f>SQRT(SUMPRODUCT($H$24:$M$24,(H934:M934-N934)^2))</f>
        <v/>
      </c>
      <c r="P934" s="13">
        <f>MIN(H934:M934)</f>
        <v/>
      </c>
      <c r="Q934" s="13">
        <f>MAX(H934:M934)</f>
        <v/>
      </c>
      <c r="R934" s="27">
        <f>IF(G934,SUMPRODUCT(($G$76:$G$1505)*($N$76:$N$1505&gt;=N934)*($O$76:$O$1505&lt;=O934))=1,FALSE)</f>
        <v/>
      </c>
      <c r="S934" s="16">
        <f>IF(R934,ABS((O934-$AC$76)/MAX(0.0001,$AC$77-$AC$76)-(N934-$AC$78)/MAX(0.0001,$AC$79-$AC$78)),-1)</f>
        <v/>
      </c>
      <c r="T934" s="14">
        <f>IF(G934,O934,NA())</f>
        <v/>
      </c>
      <c r="U934" s="13">
        <f>IF(G934,N934,NA())</f>
        <v/>
      </c>
      <c r="V934" s="14">
        <f>IF(R934,O934,NA())</f>
        <v/>
      </c>
      <c r="W934" s="13">
        <f>IF(R934,N934,NA())</f>
        <v/>
      </c>
      <c r="X934" s="27">
        <f>IF(G934,P934,"")</f>
        <v/>
      </c>
      <c r="Y934" s="27">
        <f>IF(G934,N934,"")</f>
        <v/>
      </c>
      <c r="Z934" s="27">
        <f>IF(R934,O934,"")</f>
        <v/>
      </c>
      <c r="AA934" s="27">
        <f>IF(R934,N934,"")</f>
        <v/>
      </c>
    </row>
    <row r="935">
      <c r="A935" s="31" t="n">
        <v>0.3</v>
      </c>
      <c r="B935" s="31" t="n">
        <v>0</v>
      </c>
      <c r="C935" s="31" t="n">
        <v>0.5</v>
      </c>
      <c r="D935" s="31" t="n">
        <v>0.2</v>
      </c>
      <c r="E935" s="27" t="inlineStr">
        <is>
          <t>ON 30%/2M 50%/3M 20%</t>
        </is>
      </c>
      <c r="F935" s="27" t="n">
        <v>100</v>
      </c>
      <c r="G935" s="27">
        <f>A935*$B$7&gt;=$B$9</f>
        <v/>
      </c>
      <c r="H935" s="13">
        <f>$B$7*(A935*E$71+B935*F$71+C935*G$71+D935*H$71)+F935/100*$B$7*J$71-$C$71</f>
        <v/>
      </c>
      <c r="I935" s="13">
        <f>$B$7*(A935*L$71+B935*M$71+C935*N$71+D935*O$71)+F935/100*$B$7*Q$71-$C$71</f>
        <v/>
      </c>
      <c r="J935" s="13">
        <f>$B$7*(A935*S$71+B935*T$71+C935*U$71+D935*V$71)+F935/100*$B$7*X$71-$C$71</f>
        <v/>
      </c>
      <c r="K935" s="13">
        <f>$B$7*(A935*Z$71+B935*AA$71+C935*AB$71+D935*AC$71)+F935/100*$B$7*AE$71-$C$71</f>
        <v/>
      </c>
      <c r="L935" s="13">
        <f>$B$7*(A935*AG$71+B935*AH$71+C935*AI$71+D935*AJ$71)+F935/100*$B$7*AL$71-$C$71</f>
        <v/>
      </c>
      <c r="M935" s="13">
        <f>$B$7*(A935*AN$71+B935*AO$71+C935*AP$71+D935*AQ$71)+F935/100*$B$7*AS$71-$C$71</f>
        <v/>
      </c>
      <c r="N935" s="13">
        <f>SUMPRODUCT($H$24:$M$24,H935:M935)</f>
        <v/>
      </c>
      <c r="O935" s="14">
        <f>SQRT(SUMPRODUCT($H$24:$M$24,(H935:M935-N935)^2))</f>
        <v/>
      </c>
      <c r="P935" s="13">
        <f>MIN(H935:M935)</f>
        <v/>
      </c>
      <c r="Q935" s="13">
        <f>MAX(H935:M935)</f>
        <v/>
      </c>
      <c r="R935" s="27">
        <f>IF(G935,SUMPRODUCT(($G$76:$G$1505)*($N$76:$N$1505&gt;=N935)*($O$76:$O$1505&lt;=O935))=1,FALSE)</f>
        <v/>
      </c>
      <c r="S935" s="16">
        <f>IF(R935,ABS((O935-$AC$76)/MAX(0.0001,$AC$77-$AC$76)-(N935-$AC$78)/MAX(0.0001,$AC$79-$AC$78)),-1)</f>
        <v/>
      </c>
      <c r="T935" s="14">
        <f>IF(G935,O935,NA())</f>
        <v/>
      </c>
      <c r="U935" s="13">
        <f>IF(G935,N935,NA())</f>
        <v/>
      </c>
      <c r="V935" s="14">
        <f>IF(R935,O935,NA())</f>
        <v/>
      </c>
      <c r="W935" s="13">
        <f>IF(R935,N935,NA())</f>
        <v/>
      </c>
      <c r="X935" s="27">
        <f>IF(G935,P935,"")</f>
        <v/>
      </c>
      <c r="Y935" s="27">
        <f>IF(G935,N935,"")</f>
        <v/>
      </c>
      <c r="Z935" s="27">
        <f>IF(R935,O935,"")</f>
        <v/>
      </c>
      <c r="AA935" s="27">
        <f>IF(R935,N935,"")</f>
        <v/>
      </c>
    </row>
    <row r="936">
      <c r="A936" s="31" t="n">
        <v>0.3</v>
      </c>
      <c r="B936" s="31" t="n">
        <v>0</v>
      </c>
      <c r="C936" s="31" t="n">
        <v>0.6</v>
      </c>
      <c r="D936" s="31" t="n">
        <v>0.1</v>
      </c>
      <c r="E936" s="27" t="inlineStr">
        <is>
          <t>ON 30%/2M 60%/3M 10%</t>
        </is>
      </c>
      <c r="F936" s="27" t="n">
        <v>0</v>
      </c>
      <c r="G936" s="27">
        <f>A936*$B$7&gt;=$B$9</f>
        <v/>
      </c>
      <c r="H936" s="13">
        <f>$B$7*(A936*E$71+B936*F$71+C936*G$71+D936*H$71)+F936/100*$B$7*J$71-$C$71</f>
        <v/>
      </c>
      <c r="I936" s="13">
        <f>$B$7*(A936*L$71+B936*M$71+C936*N$71+D936*O$71)+F936/100*$B$7*Q$71-$C$71</f>
        <v/>
      </c>
      <c r="J936" s="13">
        <f>$B$7*(A936*S$71+B936*T$71+C936*U$71+D936*V$71)+F936/100*$B$7*X$71-$C$71</f>
        <v/>
      </c>
      <c r="K936" s="13">
        <f>$B$7*(A936*Z$71+B936*AA$71+C936*AB$71+D936*AC$71)+F936/100*$B$7*AE$71-$C$71</f>
        <v/>
      </c>
      <c r="L936" s="13">
        <f>$B$7*(A936*AG$71+B936*AH$71+C936*AI$71+D936*AJ$71)+F936/100*$B$7*AL$71-$C$71</f>
        <v/>
      </c>
      <c r="M936" s="13">
        <f>$B$7*(A936*AN$71+B936*AO$71+C936*AP$71+D936*AQ$71)+F936/100*$B$7*AS$71-$C$71</f>
        <v/>
      </c>
      <c r="N936" s="13">
        <f>SUMPRODUCT($H$24:$M$24,H936:M936)</f>
        <v/>
      </c>
      <c r="O936" s="14">
        <f>SQRT(SUMPRODUCT($H$24:$M$24,(H936:M936-N936)^2))</f>
        <v/>
      </c>
      <c r="P936" s="13">
        <f>MIN(H936:M936)</f>
        <v/>
      </c>
      <c r="Q936" s="13">
        <f>MAX(H936:M936)</f>
        <v/>
      </c>
      <c r="R936" s="27">
        <f>IF(G936,SUMPRODUCT(($G$76:$G$1505)*($N$76:$N$1505&gt;=N936)*($O$76:$O$1505&lt;=O936))=1,FALSE)</f>
        <v/>
      </c>
      <c r="S936" s="16">
        <f>IF(R936,ABS((O936-$AC$76)/MAX(0.0001,$AC$77-$AC$76)-(N936-$AC$78)/MAX(0.0001,$AC$79-$AC$78)),-1)</f>
        <v/>
      </c>
      <c r="T936" s="14">
        <f>IF(G936,O936,NA())</f>
        <v/>
      </c>
      <c r="U936" s="13">
        <f>IF(G936,N936,NA())</f>
        <v/>
      </c>
      <c r="V936" s="14">
        <f>IF(R936,O936,NA())</f>
        <v/>
      </c>
      <c r="W936" s="13">
        <f>IF(R936,N936,NA())</f>
        <v/>
      </c>
      <c r="X936" s="27">
        <f>IF(G936,P936,"")</f>
        <v/>
      </c>
      <c r="Y936" s="27">
        <f>IF(G936,N936,"")</f>
        <v/>
      </c>
      <c r="Z936" s="27">
        <f>IF(R936,O936,"")</f>
        <v/>
      </c>
      <c r="AA936" s="27">
        <f>IF(R936,N936,"")</f>
        <v/>
      </c>
    </row>
    <row r="937">
      <c r="A937" s="31" t="n">
        <v>0.3</v>
      </c>
      <c r="B937" s="31" t="n">
        <v>0</v>
      </c>
      <c r="C937" s="31" t="n">
        <v>0.6</v>
      </c>
      <c r="D937" s="31" t="n">
        <v>0.1</v>
      </c>
      <c r="E937" s="27" t="inlineStr">
        <is>
          <t>ON 30%/2M 60%/3M 10%</t>
        </is>
      </c>
      <c r="F937" s="27" t="n">
        <v>25</v>
      </c>
      <c r="G937" s="27">
        <f>A937*$B$7&gt;=$B$9</f>
        <v/>
      </c>
      <c r="H937" s="13">
        <f>$B$7*(A937*E$71+B937*F$71+C937*G$71+D937*H$71)+F937/100*$B$7*J$71-$C$71</f>
        <v/>
      </c>
      <c r="I937" s="13">
        <f>$B$7*(A937*L$71+B937*M$71+C937*N$71+D937*O$71)+F937/100*$B$7*Q$71-$C$71</f>
        <v/>
      </c>
      <c r="J937" s="13">
        <f>$B$7*(A937*S$71+B937*T$71+C937*U$71+D937*V$71)+F937/100*$B$7*X$71-$C$71</f>
        <v/>
      </c>
      <c r="K937" s="13">
        <f>$B$7*(A937*Z$71+B937*AA$71+C937*AB$71+D937*AC$71)+F937/100*$B$7*AE$71-$C$71</f>
        <v/>
      </c>
      <c r="L937" s="13">
        <f>$B$7*(A937*AG$71+B937*AH$71+C937*AI$71+D937*AJ$71)+F937/100*$B$7*AL$71-$C$71</f>
        <v/>
      </c>
      <c r="M937" s="13">
        <f>$B$7*(A937*AN$71+B937*AO$71+C937*AP$71+D937*AQ$71)+F937/100*$B$7*AS$71-$C$71</f>
        <v/>
      </c>
      <c r="N937" s="13">
        <f>SUMPRODUCT($H$24:$M$24,H937:M937)</f>
        <v/>
      </c>
      <c r="O937" s="14">
        <f>SQRT(SUMPRODUCT($H$24:$M$24,(H937:M937-N937)^2))</f>
        <v/>
      </c>
      <c r="P937" s="13">
        <f>MIN(H937:M937)</f>
        <v/>
      </c>
      <c r="Q937" s="13">
        <f>MAX(H937:M937)</f>
        <v/>
      </c>
      <c r="R937" s="27">
        <f>IF(G937,SUMPRODUCT(($G$76:$G$1505)*($N$76:$N$1505&gt;=N937)*($O$76:$O$1505&lt;=O937))=1,FALSE)</f>
        <v/>
      </c>
      <c r="S937" s="16">
        <f>IF(R937,ABS((O937-$AC$76)/MAX(0.0001,$AC$77-$AC$76)-(N937-$AC$78)/MAX(0.0001,$AC$79-$AC$78)),-1)</f>
        <v/>
      </c>
      <c r="T937" s="14">
        <f>IF(G937,O937,NA())</f>
        <v/>
      </c>
      <c r="U937" s="13">
        <f>IF(G937,N937,NA())</f>
        <v/>
      </c>
      <c r="V937" s="14">
        <f>IF(R937,O937,NA())</f>
        <v/>
      </c>
      <c r="W937" s="13">
        <f>IF(R937,N937,NA())</f>
        <v/>
      </c>
      <c r="X937" s="27">
        <f>IF(G937,P937,"")</f>
        <v/>
      </c>
      <c r="Y937" s="27">
        <f>IF(G937,N937,"")</f>
        <v/>
      </c>
      <c r="Z937" s="27">
        <f>IF(R937,O937,"")</f>
        <v/>
      </c>
      <c r="AA937" s="27">
        <f>IF(R937,N937,"")</f>
        <v/>
      </c>
    </row>
    <row r="938">
      <c r="A938" s="31" t="n">
        <v>0.3</v>
      </c>
      <c r="B938" s="31" t="n">
        <v>0</v>
      </c>
      <c r="C938" s="31" t="n">
        <v>0.6</v>
      </c>
      <c r="D938" s="31" t="n">
        <v>0.1</v>
      </c>
      <c r="E938" s="27" t="inlineStr">
        <is>
          <t>ON 30%/2M 60%/3M 10%</t>
        </is>
      </c>
      <c r="F938" s="27" t="n">
        <v>50</v>
      </c>
      <c r="G938" s="27">
        <f>A938*$B$7&gt;=$B$9</f>
        <v/>
      </c>
      <c r="H938" s="13">
        <f>$B$7*(A938*E$71+B938*F$71+C938*G$71+D938*H$71)+F938/100*$B$7*J$71-$C$71</f>
        <v/>
      </c>
      <c r="I938" s="13">
        <f>$B$7*(A938*L$71+B938*M$71+C938*N$71+D938*O$71)+F938/100*$B$7*Q$71-$C$71</f>
        <v/>
      </c>
      <c r="J938" s="13">
        <f>$B$7*(A938*S$71+B938*T$71+C938*U$71+D938*V$71)+F938/100*$B$7*X$71-$C$71</f>
        <v/>
      </c>
      <c r="K938" s="13">
        <f>$B$7*(A938*Z$71+B938*AA$71+C938*AB$71+D938*AC$71)+F938/100*$B$7*AE$71-$C$71</f>
        <v/>
      </c>
      <c r="L938" s="13">
        <f>$B$7*(A938*AG$71+B938*AH$71+C938*AI$71+D938*AJ$71)+F938/100*$B$7*AL$71-$C$71</f>
        <v/>
      </c>
      <c r="M938" s="13">
        <f>$B$7*(A938*AN$71+B938*AO$71+C938*AP$71+D938*AQ$71)+F938/100*$B$7*AS$71-$C$71</f>
        <v/>
      </c>
      <c r="N938" s="13">
        <f>SUMPRODUCT($H$24:$M$24,H938:M938)</f>
        <v/>
      </c>
      <c r="O938" s="14">
        <f>SQRT(SUMPRODUCT($H$24:$M$24,(H938:M938-N938)^2))</f>
        <v/>
      </c>
      <c r="P938" s="13">
        <f>MIN(H938:M938)</f>
        <v/>
      </c>
      <c r="Q938" s="13">
        <f>MAX(H938:M938)</f>
        <v/>
      </c>
      <c r="R938" s="27">
        <f>IF(G938,SUMPRODUCT(($G$76:$G$1505)*($N$76:$N$1505&gt;=N938)*($O$76:$O$1505&lt;=O938))=1,FALSE)</f>
        <v/>
      </c>
      <c r="S938" s="16">
        <f>IF(R938,ABS((O938-$AC$76)/MAX(0.0001,$AC$77-$AC$76)-(N938-$AC$78)/MAX(0.0001,$AC$79-$AC$78)),-1)</f>
        <v/>
      </c>
      <c r="T938" s="14">
        <f>IF(G938,O938,NA())</f>
        <v/>
      </c>
      <c r="U938" s="13">
        <f>IF(G938,N938,NA())</f>
        <v/>
      </c>
      <c r="V938" s="14">
        <f>IF(R938,O938,NA())</f>
        <v/>
      </c>
      <c r="W938" s="13">
        <f>IF(R938,N938,NA())</f>
        <v/>
      </c>
      <c r="X938" s="27">
        <f>IF(G938,P938,"")</f>
        <v/>
      </c>
      <c r="Y938" s="27">
        <f>IF(G938,N938,"")</f>
        <v/>
      </c>
      <c r="Z938" s="27">
        <f>IF(R938,O938,"")</f>
        <v/>
      </c>
      <c r="AA938" s="27">
        <f>IF(R938,N938,"")</f>
        <v/>
      </c>
    </row>
    <row r="939">
      <c r="A939" s="31" t="n">
        <v>0.3</v>
      </c>
      <c r="B939" s="31" t="n">
        <v>0</v>
      </c>
      <c r="C939" s="31" t="n">
        <v>0.6</v>
      </c>
      <c r="D939" s="31" t="n">
        <v>0.1</v>
      </c>
      <c r="E939" s="27" t="inlineStr">
        <is>
          <t>ON 30%/2M 60%/3M 10%</t>
        </is>
      </c>
      <c r="F939" s="27" t="n">
        <v>75</v>
      </c>
      <c r="G939" s="27">
        <f>A939*$B$7&gt;=$B$9</f>
        <v/>
      </c>
      <c r="H939" s="13">
        <f>$B$7*(A939*E$71+B939*F$71+C939*G$71+D939*H$71)+F939/100*$B$7*J$71-$C$71</f>
        <v/>
      </c>
      <c r="I939" s="13">
        <f>$B$7*(A939*L$71+B939*M$71+C939*N$71+D939*O$71)+F939/100*$B$7*Q$71-$C$71</f>
        <v/>
      </c>
      <c r="J939" s="13">
        <f>$B$7*(A939*S$71+B939*T$71+C939*U$71+D939*V$71)+F939/100*$B$7*X$71-$C$71</f>
        <v/>
      </c>
      <c r="K939" s="13">
        <f>$B$7*(A939*Z$71+B939*AA$71+C939*AB$71+D939*AC$71)+F939/100*$B$7*AE$71-$C$71</f>
        <v/>
      </c>
      <c r="L939" s="13">
        <f>$B$7*(A939*AG$71+B939*AH$71+C939*AI$71+D939*AJ$71)+F939/100*$B$7*AL$71-$C$71</f>
        <v/>
      </c>
      <c r="M939" s="13">
        <f>$B$7*(A939*AN$71+B939*AO$71+C939*AP$71+D939*AQ$71)+F939/100*$B$7*AS$71-$C$71</f>
        <v/>
      </c>
      <c r="N939" s="13">
        <f>SUMPRODUCT($H$24:$M$24,H939:M939)</f>
        <v/>
      </c>
      <c r="O939" s="14">
        <f>SQRT(SUMPRODUCT($H$24:$M$24,(H939:M939-N939)^2))</f>
        <v/>
      </c>
      <c r="P939" s="13">
        <f>MIN(H939:M939)</f>
        <v/>
      </c>
      <c r="Q939" s="13">
        <f>MAX(H939:M939)</f>
        <v/>
      </c>
      <c r="R939" s="27">
        <f>IF(G939,SUMPRODUCT(($G$76:$G$1505)*($N$76:$N$1505&gt;=N939)*($O$76:$O$1505&lt;=O939))=1,FALSE)</f>
        <v/>
      </c>
      <c r="S939" s="16">
        <f>IF(R939,ABS((O939-$AC$76)/MAX(0.0001,$AC$77-$AC$76)-(N939-$AC$78)/MAX(0.0001,$AC$79-$AC$78)),-1)</f>
        <v/>
      </c>
      <c r="T939" s="14">
        <f>IF(G939,O939,NA())</f>
        <v/>
      </c>
      <c r="U939" s="13">
        <f>IF(G939,N939,NA())</f>
        <v/>
      </c>
      <c r="V939" s="14">
        <f>IF(R939,O939,NA())</f>
        <v/>
      </c>
      <c r="W939" s="13">
        <f>IF(R939,N939,NA())</f>
        <v/>
      </c>
      <c r="X939" s="27">
        <f>IF(G939,P939,"")</f>
        <v/>
      </c>
      <c r="Y939" s="27">
        <f>IF(G939,N939,"")</f>
        <v/>
      </c>
      <c r="Z939" s="27">
        <f>IF(R939,O939,"")</f>
        <v/>
      </c>
      <c r="AA939" s="27">
        <f>IF(R939,N939,"")</f>
        <v/>
      </c>
    </row>
    <row r="940">
      <c r="A940" s="31" t="n">
        <v>0.3</v>
      </c>
      <c r="B940" s="31" t="n">
        <v>0</v>
      </c>
      <c r="C940" s="31" t="n">
        <v>0.6</v>
      </c>
      <c r="D940" s="31" t="n">
        <v>0.1</v>
      </c>
      <c r="E940" s="27" t="inlineStr">
        <is>
          <t>ON 30%/2M 60%/3M 10%</t>
        </is>
      </c>
      <c r="F940" s="27" t="n">
        <v>100</v>
      </c>
      <c r="G940" s="27">
        <f>A940*$B$7&gt;=$B$9</f>
        <v/>
      </c>
      <c r="H940" s="13">
        <f>$B$7*(A940*E$71+B940*F$71+C940*G$71+D940*H$71)+F940/100*$B$7*J$71-$C$71</f>
        <v/>
      </c>
      <c r="I940" s="13">
        <f>$B$7*(A940*L$71+B940*M$71+C940*N$71+D940*O$71)+F940/100*$B$7*Q$71-$C$71</f>
        <v/>
      </c>
      <c r="J940" s="13">
        <f>$B$7*(A940*S$71+B940*T$71+C940*U$71+D940*V$71)+F940/100*$B$7*X$71-$C$71</f>
        <v/>
      </c>
      <c r="K940" s="13">
        <f>$B$7*(A940*Z$71+B940*AA$71+C940*AB$71+D940*AC$71)+F940/100*$B$7*AE$71-$C$71</f>
        <v/>
      </c>
      <c r="L940" s="13">
        <f>$B$7*(A940*AG$71+B940*AH$71+C940*AI$71+D940*AJ$71)+F940/100*$B$7*AL$71-$C$71</f>
        <v/>
      </c>
      <c r="M940" s="13">
        <f>$B$7*(A940*AN$71+B940*AO$71+C940*AP$71+D940*AQ$71)+F940/100*$B$7*AS$71-$C$71</f>
        <v/>
      </c>
      <c r="N940" s="13">
        <f>SUMPRODUCT($H$24:$M$24,H940:M940)</f>
        <v/>
      </c>
      <c r="O940" s="14">
        <f>SQRT(SUMPRODUCT($H$24:$M$24,(H940:M940-N940)^2))</f>
        <v/>
      </c>
      <c r="P940" s="13">
        <f>MIN(H940:M940)</f>
        <v/>
      </c>
      <c r="Q940" s="13">
        <f>MAX(H940:M940)</f>
        <v/>
      </c>
      <c r="R940" s="27">
        <f>IF(G940,SUMPRODUCT(($G$76:$G$1505)*($N$76:$N$1505&gt;=N940)*($O$76:$O$1505&lt;=O940))=1,FALSE)</f>
        <v/>
      </c>
      <c r="S940" s="16">
        <f>IF(R940,ABS((O940-$AC$76)/MAX(0.0001,$AC$77-$AC$76)-(N940-$AC$78)/MAX(0.0001,$AC$79-$AC$78)),-1)</f>
        <v/>
      </c>
      <c r="T940" s="14">
        <f>IF(G940,O940,NA())</f>
        <v/>
      </c>
      <c r="U940" s="13">
        <f>IF(G940,N940,NA())</f>
        <v/>
      </c>
      <c r="V940" s="14">
        <f>IF(R940,O940,NA())</f>
        <v/>
      </c>
      <c r="W940" s="13">
        <f>IF(R940,N940,NA())</f>
        <v/>
      </c>
      <c r="X940" s="27">
        <f>IF(G940,P940,"")</f>
        <v/>
      </c>
      <c r="Y940" s="27">
        <f>IF(G940,N940,"")</f>
        <v/>
      </c>
      <c r="Z940" s="27">
        <f>IF(R940,O940,"")</f>
        <v/>
      </c>
      <c r="AA940" s="27">
        <f>IF(R940,N940,"")</f>
        <v/>
      </c>
    </row>
    <row r="941">
      <c r="A941" s="31" t="n">
        <v>0.3</v>
      </c>
      <c r="B941" s="31" t="n">
        <v>0</v>
      </c>
      <c r="C941" s="31" t="n">
        <v>0.7</v>
      </c>
      <c r="D941" s="31" t="n">
        <v>0</v>
      </c>
      <c r="E941" s="27" t="inlineStr">
        <is>
          <t>ON 30%/2M 70%</t>
        </is>
      </c>
      <c r="F941" s="27" t="n">
        <v>0</v>
      </c>
      <c r="G941" s="27">
        <f>A941*$B$7&gt;=$B$9</f>
        <v/>
      </c>
      <c r="H941" s="13">
        <f>$B$7*(A941*E$71+B941*F$71+C941*G$71+D941*H$71)+F941/100*$B$7*J$71-$C$71</f>
        <v/>
      </c>
      <c r="I941" s="13">
        <f>$B$7*(A941*L$71+B941*M$71+C941*N$71+D941*O$71)+F941/100*$B$7*Q$71-$C$71</f>
        <v/>
      </c>
      <c r="J941" s="13">
        <f>$B$7*(A941*S$71+B941*T$71+C941*U$71+D941*V$71)+F941/100*$B$7*X$71-$C$71</f>
        <v/>
      </c>
      <c r="K941" s="13">
        <f>$B$7*(A941*Z$71+B941*AA$71+C941*AB$71+D941*AC$71)+F941/100*$B$7*AE$71-$C$71</f>
        <v/>
      </c>
      <c r="L941" s="13">
        <f>$B$7*(A941*AG$71+B941*AH$71+C941*AI$71+D941*AJ$71)+F941/100*$B$7*AL$71-$C$71</f>
        <v/>
      </c>
      <c r="M941" s="13">
        <f>$B$7*(A941*AN$71+B941*AO$71+C941*AP$71+D941*AQ$71)+F941/100*$B$7*AS$71-$C$71</f>
        <v/>
      </c>
      <c r="N941" s="13">
        <f>SUMPRODUCT($H$24:$M$24,H941:M941)</f>
        <v/>
      </c>
      <c r="O941" s="14">
        <f>SQRT(SUMPRODUCT($H$24:$M$24,(H941:M941-N941)^2))</f>
        <v/>
      </c>
      <c r="P941" s="13">
        <f>MIN(H941:M941)</f>
        <v/>
      </c>
      <c r="Q941" s="13">
        <f>MAX(H941:M941)</f>
        <v/>
      </c>
      <c r="R941" s="27">
        <f>IF(G941,SUMPRODUCT(($G$76:$G$1505)*($N$76:$N$1505&gt;=N941)*($O$76:$O$1505&lt;=O941))=1,FALSE)</f>
        <v/>
      </c>
      <c r="S941" s="16">
        <f>IF(R941,ABS((O941-$AC$76)/MAX(0.0001,$AC$77-$AC$76)-(N941-$AC$78)/MAX(0.0001,$AC$79-$AC$78)),-1)</f>
        <v/>
      </c>
      <c r="T941" s="14">
        <f>IF(G941,O941,NA())</f>
        <v/>
      </c>
      <c r="U941" s="13">
        <f>IF(G941,N941,NA())</f>
        <v/>
      </c>
      <c r="V941" s="14">
        <f>IF(R941,O941,NA())</f>
        <v/>
      </c>
      <c r="W941" s="13">
        <f>IF(R941,N941,NA())</f>
        <v/>
      </c>
      <c r="X941" s="27">
        <f>IF(G941,P941,"")</f>
        <v/>
      </c>
      <c r="Y941" s="27">
        <f>IF(G941,N941,"")</f>
        <v/>
      </c>
      <c r="Z941" s="27">
        <f>IF(R941,O941,"")</f>
        <v/>
      </c>
      <c r="AA941" s="27">
        <f>IF(R941,N941,"")</f>
        <v/>
      </c>
    </row>
    <row r="942">
      <c r="A942" s="31" t="n">
        <v>0.3</v>
      </c>
      <c r="B942" s="31" t="n">
        <v>0</v>
      </c>
      <c r="C942" s="31" t="n">
        <v>0.7</v>
      </c>
      <c r="D942" s="31" t="n">
        <v>0</v>
      </c>
      <c r="E942" s="27" t="inlineStr">
        <is>
          <t>ON 30%/2M 70%</t>
        </is>
      </c>
      <c r="F942" s="27" t="n">
        <v>25</v>
      </c>
      <c r="G942" s="27">
        <f>A942*$B$7&gt;=$B$9</f>
        <v/>
      </c>
      <c r="H942" s="13">
        <f>$B$7*(A942*E$71+B942*F$71+C942*G$71+D942*H$71)+F942/100*$B$7*J$71-$C$71</f>
        <v/>
      </c>
      <c r="I942" s="13">
        <f>$B$7*(A942*L$71+B942*M$71+C942*N$71+D942*O$71)+F942/100*$B$7*Q$71-$C$71</f>
        <v/>
      </c>
      <c r="J942" s="13">
        <f>$B$7*(A942*S$71+B942*T$71+C942*U$71+D942*V$71)+F942/100*$B$7*X$71-$C$71</f>
        <v/>
      </c>
      <c r="K942" s="13">
        <f>$B$7*(A942*Z$71+B942*AA$71+C942*AB$71+D942*AC$71)+F942/100*$B$7*AE$71-$C$71</f>
        <v/>
      </c>
      <c r="L942" s="13">
        <f>$B$7*(A942*AG$71+B942*AH$71+C942*AI$71+D942*AJ$71)+F942/100*$B$7*AL$71-$C$71</f>
        <v/>
      </c>
      <c r="M942" s="13">
        <f>$B$7*(A942*AN$71+B942*AO$71+C942*AP$71+D942*AQ$71)+F942/100*$B$7*AS$71-$C$71</f>
        <v/>
      </c>
      <c r="N942" s="13">
        <f>SUMPRODUCT($H$24:$M$24,H942:M942)</f>
        <v/>
      </c>
      <c r="O942" s="14">
        <f>SQRT(SUMPRODUCT($H$24:$M$24,(H942:M942-N942)^2))</f>
        <v/>
      </c>
      <c r="P942" s="13">
        <f>MIN(H942:M942)</f>
        <v/>
      </c>
      <c r="Q942" s="13">
        <f>MAX(H942:M942)</f>
        <v/>
      </c>
      <c r="R942" s="27">
        <f>IF(G942,SUMPRODUCT(($G$76:$G$1505)*($N$76:$N$1505&gt;=N942)*($O$76:$O$1505&lt;=O942))=1,FALSE)</f>
        <v/>
      </c>
      <c r="S942" s="16">
        <f>IF(R942,ABS((O942-$AC$76)/MAX(0.0001,$AC$77-$AC$76)-(N942-$AC$78)/MAX(0.0001,$AC$79-$AC$78)),-1)</f>
        <v/>
      </c>
      <c r="T942" s="14">
        <f>IF(G942,O942,NA())</f>
        <v/>
      </c>
      <c r="U942" s="13">
        <f>IF(G942,N942,NA())</f>
        <v/>
      </c>
      <c r="V942" s="14">
        <f>IF(R942,O942,NA())</f>
        <v/>
      </c>
      <c r="W942" s="13">
        <f>IF(R942,N942,NA())</f>
        <v/>
      </c>
      <c r="X942" s="27">
        <f>IF(G942,P942,"")</f>
        <v/>
      </c>
      <c r="Y942" s="27">
        <f>IF(G942,N942,"")</f>
        <v/>
      </c>
      <c r="Z942" s="27">
        <f>IF(R942,O942,"")</f>
        <v/>
      </c>
      <c r="AA942" s="27">
        <f>IF(R942,N942,"")</f>
        <v/>
      </c>
    </row>
    <row r="943">
      <c r="A943" s="31" t="n">
        <v>0.3</v>
      </c>
      <c r="B943" s="31" t="n">
        <v>0</v>
      </c>
      <c r="C943" s="31" t="n">
        <v>0.7</v>
      </c>
      <c r="D943" s="31" t="n">
        <v>0</v>
      </c>
      <c r="E943" s="27" t="inlineStr">
        <is>
          <t>ON 30%/2M 70%</t>
        </is>
      </c>
      <c r="F943" s="27" t="n">
        <v>50</v>
      </c>
      <c r="G943" s="27">
        <f>A943*$B$7&gt;=$B$9</f>
        <v/>
      </c>
      <c r="H943" s="13">
        <f>$B$7*(A943*E$71+B943*F$71+C943*G$71+D943*H$71)+F943/100*$B$7*J$71-$C$71</f>
        <v/>
      </c>
      <c r="I943" s="13">
        <f>$B$7*(A943*L$71+B943*M$71+C943*N$71+D943*O$71)+F943/100*$B$7*Q$71-$C$71</f>
        <v/>
      </c>
      <c r="J943" s="13">
        <f>$B$7*(A943*S$71+B943*T$71+C943*U$71+D943*V$71)+F943/100*$B$7*X$71-$C$71</f>
        <v/>
      </c>
      <c r="K943" s="13">
        <f>$B$7*(A943*Z$71+B943*AA$71+C943*AB$71+D943*AC$71)+F943/100*$B$7*AE$71-$C$71</f>
        <v/>
      </c>
      <c r="L943" s="13">
        <f>$B$7*(A943*AG$71+B943*AH$71+C943*AI$71+D943*AJ$71)+F943/100*$B$7*AL$71-$C$71</f>
        <v/>
      </c>
      <c r="M943" s="13">
        <f>$B$7*(A943*AN$71+B943*AO$71+C943*AP$71+D943*AQ$71)+F943/100*$B$7*AS$71-$C$71</f>
        <v/>
      </c>
      <c r="N943" s="13">
        <f>SUMPRODUCT($H$24:$M$24,H943:M943)</f>
        <v/>
      </c>
      <c r="O943" s="14">
        <f>SQRT(SUMPRODUCT($H$24:$M$24,(H943:M943-N943)^2))</f>
        <v/>
      </c>
      <c r="P943" s="13">
        <f>MIN(H943:M943)</f>
        <v/>
      </c>
      <c r="Q943" s="13">
        <f>MAX(H943:M943)</f>
        <v/>
      </c>
      <c r="R943" s="27">
        <f>IF(G943,SUMPRODUCT(($G$76:$G$1505)*($N$76:$N$1505&gt;=N943)*($O$76:$O$1505&lt;=O943))=1,FALSE)</f>
        <v/>
      </c>
      <c r="S943" s="16">
        <f>IF(R943,ABS((O943-$AC$76)/MAX(0.0001,$AC$77-$AC$76)-(N943-$AC$78)/MAX(0.0001,$AC$79-$AC$78)),-1)</f>
        <v/>
      </c>
      <c r="T943" s="14">
        <f>IF(G943,O943,NA())</f>
        <v/>
      </c>
      <c r="U943" s="13">
        <f>IF(G943,N943,NA())</f>
        <v/>
      </c>
      <c r="V943" s="14">
        <f>IF(R943,O943,NA())</f>
        <v/>
      </c>
      <c r="W943" s="13">
        <f>IF(R943,N943,NA())</f>
        <v/>
      </c>
      <c r="X943" s="27">
        <f>IF(G943,P943,"")</f>
        <v/>
      </c>
      <c r="Y943" s="27">
        <f>IF(G943,N943,"")</f>
        <v/>
      </c>
      <c r="Z943" s="27">
        <f>IF(R943,O943,"")</f>
        <v/>
      </c>
      <c r="AA943" s="27">
        <f>IF(R943,N943,"")</f>
        <v/>
      </c>
    </row>
    <row r="944">
      <c r="A944" s="31" t="n">
        <v>0.3</v>
      </c>
      <c r="B944" s="31" t="n">
        <v>0</v>
      </c>
      <c r="C944" s="31" t="n">
        <v>0.7</v>
      </c>
      <c r="D944" s="31" t="n">
        <v>0</v>
      </c>
      <c r="E944" s="27" t="inlineStr">
        <is>
          <t>ON 30%/2M 70%</t>
        </is>
      </c>
      <c r="F944" s="27" t="n">
        <v>75</v>
      </c>
      <c r="G944" s="27">
        <f>A944*$B$7&gt;=$B$9</f>
        <v/>
      </c>
      <c r="H944" s="13">
        <f>$B$7*(A944*E$71+B944*F$71+C944*G$71+D944*H$71)+F944/100*$B$7*J$71-$C$71</f>
        <v/>
      </c>
      <c r="I944" s="13">
        <f>$B$7*(A944*L$71+B944*M$71+C944*N$71+D944*O$71)+F944/100*$B$7*Q$71-$C$71</f>
        <v/>
      </c>
      <c r="J944" s="13">
        <f>$B$7*(A944*S$71+B944*T$71+C944*U$71+D944*V$71)+F944/100*$B$7*X$71-$C$71</f>
        <v/>
      </c>
      <c r="K944" s="13">
        <f>$B$7*(A944*Z$71+B944*AA$71+C944*AB$71+D944*AC$71)+F944/100*$B$7*AE$71-$C$71</f>
        <v/>
      </c>
      <c r="L944" s="13">
        <f>$B$7*(A944*AG$71+B944*AH$71+C944*AI$71+D944*AJ$71)+F944/100*$B$7*AL$71-$C$71</f>
        <v/>
      </c>
      <c r="M944" s="13">
        <f>$B$7*(A944*AN$71+B944*AO$71+C944*AP$71+D944*AQ$71)+F944/100*$B$7*AS$71-$C$71</f>
        <v/>
      </c>
      <c r="N944" s="13">
        <f>SUMPRODUCT($H$24:$M$24,H944:M944)</f>
        <v/>
      </c>
      <c r="O944" s="14">
        <f>SQRT(SUMPRODUCT($H$24:$M$24,(H944:M944-N944)^2))</f>
        <v/>
      </c>
      <c r="P944" s="13">
        <f>MIN(H944:M944)</f>
        <v/>
      </c>
      <c r="Q944" s="13">
        <f>MAX(H944:M944)</f>
        <v/>
      </c>
      <c r="R944" s="27">
        <f>IF(G944,SUMPRODUCT(($G$76:$G$1505)*($N$76:$N$1505&gt;=N944)*($O$76:$O$1505&lt;=O944))=1,FALSE)</f>
        <v/>
      </c>
      <c r="S944" s="16">
        <f>IF(R944,ABS((O944-$AC$76)/MAX(0.0001,$AC$77-$AC$76)-(N944-$AC$78)/MAX(0.0001,$AC$79-$AC$78)),-1)</f>
        <v/>
      </c>
      <c r="T944" s="14">
        <f>IF(G944,O944,NA())</f>
        <v/>
      </c>
      <c r="U944" s="13">
        <f>IF(G944,N944,NA())</f>
        <v/>
      </c>
      <c r="V944" s="14">
        <f>IF(R944,O944,NA())</f>
        <v/>
      </c>
      <c r="W944" s="13">
        <f>IF(R944,N944,NA())</f>
        <v/>
      </c>
      <c r="X944" s="27">
        <f>IF(G944,P944,"")</f>
        <v/>
      </c>
      <c r="Y944" s="27">
        <f>IF(G944,N944,"")</f>
        <v/>
      </c>
      <c r="Z944" s="27">
        <f>IF(R944,O944,"")</f>
        <v/>
      </c>
      <c r="AA944" s="27">
        <f>IF(R944,N944,"")</f>
        <v/>
      </c>
    </row>
    <row r="945">
      <c r="A945" s="31" t="n">
        <v>0.3</v>
      </c>
      <c r="B945" s="31" t="n">
        <v>0</v>
      </c>
      <c r="C945" s="31" t="n">
        <v>0.7</v>
      </c>
      <c r="D945" s="31" t="n">
        <v>0</v>
      </c>
      <c r="E945" s="27" t="inlineStr">
        <is>
          <t>ON 30%/2M 70%</t>
        </is>
      </c>
      <c r="F945" s="27" t="n">
        <v>100</v>
      </c>
      <c r="G945" s="27">
        <f>A945*$B$7&gt;=$B$9</f>
        <v/>
      </c>
      <c r="H945" s="13">
        <f>$B$7*(A945*E$71+B945*F$71+C945*G$71+D945*H$71)+F945/100*$B$7*J$71-$C$71</f>
        <v/>
      </c>
      <c r="I945" s="13">
        <f>$B$7*(A945*L$71+B945*M$71+C945*N$71+D945*O$71)+F945/100*$B$7*Q$71-$C$71</f>
        <v/>
      </c>
      <c r="J945" s="13">
        <f>$B$7*(A945*S$71+B945*T$71+C945*U$71+D945*V$71)+F945/100*$B$7*X$71-$C$71</f>
        <v/>
      </c>
      <c r="K945" s="13">
        <f>$B$7*(A945*Z$71+B945*AA$71+C945*AB$71+D945*AC$71)+F945/100*$B$7*AE$71-$C$71</f>
        <v/>
      </c>
      <c r="L945" s="13">
        <f>$B$7*(A945*AG$71+B945*AH$71+C945*AI$71+D945*AJ$71)+F945/100*$B$7*AL$71-$C$71</f>
        <v/>
      </c>
      <c r="M945" s="13">
        <f>$B$7*(A945*AN$71+B945*AO$71+C945*AP$71+D945*AQ$71)+F945/100*$B$7*AS$71-$C$71</f>
        <v/>
      </c>
      <c r="N945" s="13">
        <f>SUMPRODUCT($H$24:$M$24,H945:M945)</f>
        <v/>
      </c>
      <c r="O945" s="14">
        <f>SQRT(SUMPRODUCT($H$24:$M$24,(H945:M945-N945)^2))</f>
        <v/>
      </c>
      <c r="P945" s="13">
        <f>MIN(H945:M945)</f>
        <v/>
      </c>
      <c r="Q945" s="13">
        <f>MAX(H945:M945)</f>
        <v/>
      </c>
      <c r="R945" s="27">
        <f>IF(G945,SUMPRODUCT(($G$76:$G$1505)*($N$76:$N$1505&gt;=N945)*($O$76:$O$1505&lt;=O945))=1,FALSE)</f>
        <v/>
      </c>
      <c r="S945" s="16">
        <f>IF(R945,ABS((O945-$AC$76)/MAX(0.0001,$AC$77-$AC$76)-(N945-$AC$78)/MAX(0.0001,$AC$79-$AC$78)),-1)</f>
        <v/>
      </c>
      <c r="T945" s="14">
        <f>IF(G945,O945,NA())</f>
        <v/>
      </c>
      <c r="U945" s="13">
        <f>IF(G945,N945,NA())</f>
        <v/>
      </c>
      <c r="V945" s="14">
        <f>IF(R945,O945,NA())</f>
        <v/>
      </c>
      <c r="W945" s="13">
        <f>IF(R945,N945,NA())</f>
        <v/>
      </c>
      <c r="X945" s="27">
        <f>IF(G945,P945,"")</f>
        <v/>
      </c>
      <c r="Y945" s="27">
        <f>IF(G945,N945,"")</f>
        <v/>
      </c>
      <c r="Z945" s="27">
        <f>IF(R945,O945,"")</f>
        <v/>
      </c>
      <c r="AA945" s="27">
        <f>IF(R945,N945,"")</f>
        <v/>
      </c>
    </row>
    <row r="946">
      <c r="A946" s="31" t="n">
        <v>0.3</v>
      </c>
      <c r="B946" s="31" t="n">
        <v>0.1</v>
      </c>
      <c r="C946" s="31" t="n">
        <v>0</v>
      </c>
      <c r="D946" s="31" t="n">
        <v>0.6</v>
      </c>
      <c r="E946" s="27" t="inlineStr">
        <is>
          <t>ON 30%/1M 10%/3M 60%</t>
        </is>
      </c>
      <c r="F946" s="27" t="n">
        <v>0</v>
      </c>
      <c r="G946" s="27">
        <f>A946*$B$7&gt;=$B$9</f>
        <v/>
      </c>
      <c r="H946" s="13">
        <f>$B$7*(A946*E$71+B946*F$71+C946*G$71+D946*H$71)+F946/100*$B$7*J$71-$C$71</f>
        <v/>
      </c>
      <c r="I946" s="13">
        <f>$B$7*(A946*L$71+B946*M$71+C946*N$71+D946*O$71)+F946/100*$B$7*Q$71-$C$71</f>
        <v/>
      </c>
      <c r="J946" s="13">
        <f>$B$7*(A946*S$71+B946*T$71+C946*U$71+D946*V$71)+F946/100*$B$7*X$71-$C$71</f>
        <v/>
      </c>
      <c r="K946" s="13">
        <f>$B$7*(A946*Z$71+B946*AA$71+C946*AB$71+D946*AC$71)+F946/100*$B$7*AE$71-$C$71</f>
        <v/>
      </c>
      <c r="L946" s="13">
        <f>$B$7*(A946*AG$71+B946*AH$71+C946*AI$71+D946*AJ$71)+F946/100*$B$7*AL$71-$C$71</f>
        <v/>
      </c>
      <c r="M946" s="13">
        <f>$B$7*(A946*AN$71+B946*AO$71+C946*AP$71+D946*AQ$71)+F946/100*$B$7*AS$71-$C$71</f>
        <v/>
      </c>
      <c r="N946" s="13">
        <f>SUMPRODUCT($H$24:$M$24,H946:M946)</f>
        <v/>
      </c>
      <c r="O946" s="14">
        <f>SQRT(SUMPRODUCT($H$24:$M$24,(H946:M946-N946)^2))</f>
        <v/>
      </c>
      <c r="P946" s="13">
        <f>MIN(H946:M946)</f>
        <v/>
      </c>
      <c r="Q946" s="13">
        <f>MAX(H946:M946)</f>
        <v/>
      </c>
      <c r="R946" s="27">
        <f>IF(G946,SUMPRODUCT(($G$76:$G$1505)*($N$76:$N$1505&gt;=N946)*($O$76:$O$1505&lt;=O946))=1,FALSE)</f>
        <v/>
      </c>
      <c r="S946" s="16">
        <f>IF(R946,ABS((O946-$AC$76)/MAX(0.0001,$AC$77-$AC$76)-(N946-$AC$78)/MAX(0.0001,$AC$79-$AC$78)),-1)</f>
        <v/>
      </c>
      <c r="T946" s="14">
        <f>IF(G946,O946,NA())</f>
        <v/>
      </c>
      <c r="U946" s="13">
        <f>IF(G946,N946,NA())</f>
        <v/>
      </c>
      <c r="V946" s="14">
        <f>IF(R946,O946,NA())</f>
        <v/>
      </c>
      <c r="W946" s="13">
        <f>IF(R946,N946,NA())</f>
        <v/>
      </c>
      <c r="X946" s="27">
        <f>IF(G946,P946,"")</f>
        <v/>
      </c>
      <c r="Y946" s="27">
        <f>IF(G946,N946,"")</f>
        <v/>
      </c>
      <c r="Z946" s="27">
        <f>IF(R946,O946,"")</f>
        <v/>
      </c>
      <c r="AA946" s="27">
        <f>IF(R946,N946,"")</f>
        <v/>
      </c>
    </row>
    <row r="947">
      <c r="A947" s="31" t="n">
        <v>0.3</v>
      </c>
      <c r="B947" s="31" t="n">
        <v>0.1</v>
      </c>
      <c r="C947" s="31" t="n">
        <v>0</v>
      </c>
      <c r="D947" s="31" t="n">
        <v>0.6</v>
      </c>
      <c r="E947" s="27" t="inlineStr">
        <is>
          <t>ON 30%/1M 10%/3M 60%</t>
        </is>
      </c>
      <c r="F947" s="27" t="n">
        <v>25</v>
      </c>
      <c r="G947" s="27">
        <f>A947*$B$7&gt;=$B$9</f>
        <v/>
      </c>
      <c r="H947" s="13">
        <f>$B$7*(A947*E$71+B947*F$71+C947*G$71+D947*H$71)+F947/100*$B$7*J$71-$C$71</f>
        <v/>
      </c>
      <c r="I947" s="13">
        <f>$B$7*(A947*L$71+B947*M$71+C947*N$71+D947*O$71)+F947/100*$B$7*Q$71-$C$71</f>
        <v/>
      </c>
      <c r="J947" s="13">
        <f>$B$7*(A947*S$71+B947*T$71+C947*U$71+D947*V$71)+F947/100*$B$7*X$71-$C$71</f>
        <v/>
      </c>
      <c r="K947" s="13">
        <f>$B$7*(A947*Z$71+B947*AA$71+C947*AB$71+D947*AC$71)+F947/100*$B$7*AE$71-$C$71</f>
        <v/>
      </c>
      <c r="L947" s="13">
        <f>$B$7*(A947*AG$71+B947*AH$71+C947*AI$71+D947*AJ$71)+F947/100*$B$7*AL$71-$C$71</f>
        <v/>
      </c>
      <c r="M947" s="13">
        <f>$B$7*(A947*AN$71+B947*AO$71+C947*AP$71+D947*AQ$71)+F947/100*$B$7*AS$71-$C$71</f>
        <v/>
      </c>
      <c r="N947" s="13">
        <f>SUMPRODUCT($H$24:$M$24,H947:M947)</f>
        <v/>
      </c>
      <c r="O947" s="14">
        <f>SQRT(SUMPRODUCT($H$24:$M$24,(H947:M947-N947)^2))</f>
        <v/>
      </c>
      <c r="P947" s="13">
        <f>MIN(H947:M947)</f>
        <v/>
      </c>
      <c r="Q947" s="13">
        <f>MAX(H947:M947)</f>
        <v/>
      </c>
      <c r="R947" s="27">
        <f>IF(G947,SUMPRODUCT(($G$76:$G$1505)*($N$76:$N$1505&gt;=N947)*($O$76:$O$1505&lt;=O947))=1,FALSE)</f>
        <v/>
      </c>
      <c r="S947" s="16">
        <f>IF(R947,ABS((O947-$AC$76)/MAX(0.0001,$AC$77-$AC$76)-(N947-$AC$78)/MAX(0.0001,$AC$79-$AC$78)),-1)</f>
        <v/>
      </c>
      <c r="T947" s="14">
        <f>IF(G947,O947,NA())</f>
        <v/>
      </c>
      <c r="U947" s="13">
        <f>IF(G947,N947,NA())</f>
        <v/>
      </c>
      <c r="V947" s="14">
        <f>IF(R947,O947,NA())</f>
        <v/>
      </c>
      <c r="W947" s="13">
        <f>IF(R947,N947,NA())</f>
        <v/>
      </c>
      <c r="X947" s="27">
        <f>IF(G947,P947,"")</f>
        <v/>
      </c>
      <c r="Y947" s="27">
        <f>IF(G947,N947,"")</f>
        <v/>
      </c>
      <c r="Z947" s="27">
        <f>IF(R947,O947,"")</f>
        <v/>
      </c>
      <c r="AA947" s="27">
        <f>IF(R947,N947,"")</f>
        <v/>
      </c>
    </row>
    <row r="948">
      <c r="A948" s="31" t="n">
        <v>0.3</v>
      </c>
      <c r="B948" s="31" t="n">
        <v>0.1</v>
      </c>
      <c r="C948" s="31" t="n">
        <v>0</v>
      </c>
      <c r="D948" s="31" t="n">
        <v>0.6</v>
      </c>
      <c r="E948" s="27" t="inlineStr">
        <is>
          <t>ON 30%/1M 10%/3M 60%</t>
        </is>
      </c>
      <c r="F948" s="27" t="n">
        <v>50</v>
      </c>
      <c r="G948" s="27">
        <f>A948*$B$7&gt;=$B$9</f>
        <v/>
      </c>
      <c r="H948" s="13">
        <f>$B$7*(A948*E$71+B948*F$71+C948*G$71+D948*H$71)+F948/100*$B$7*J$71-$C$71</f>
        <v/>
      </c>
      <c r="I948" s="13">
        <f>$B$7*(A948*L$71+B948*M$71+C948*N$71+D948*O$71)+F948/100*$B$7*Q$71-$C$71</f>
        <v/>
      </c>
      <c r="J948" s="13">
        <f>$B$7*(A948*S$71+B948*T$71+C948*U$71+D948*V$71)+F948/100*$B$7*X$71-$C$71</f>
        <v/>
      </c>
      <c r="K948" s="13">
        <f>$B$7*(A948*Z$71+B948*AA$71+C948*AB$71+D948*AC$71)+F948/100*$B$7*AE$71-$C$71</f>
        <v/>
      </c>
      <c r="L948" s="13">
        <f>$B$7*(A948*AG$71+B948*AH$71+C948*AI$71+D948*AJ$71)+F948/100*$B$7*AL$71-$C$71</f>
        <v/>
      </c>
      <c r="M948" s="13">
        <f>$B$7*(A948*AN$71+B948*AO$71+C948*AP$71+D948*AQ$71)+F948/100*$B$7*AS$71-$C$71</f>
        <v/>
      </c>
      <c r="N948" s="13">
        <f>SUMPRODUCT($H$24:$M$24,H948:M948)</f>
        <v/>
      </c>
      <c r="O948" s="14">
        <f>SQRT(SUMPRODUCT($H$24:$M$24,(H948:M948-N948)^2))</f>
        <v/>
      </c>
      <c r="P948" s="13">
        <f>MIN(H948:M948)</f>
        <v/>
      </c>
      <c r="Q948" s="13">
        <f>MAX(H948:M948)</f>
        <v/>
      </c>
      <c r="R948" s="27">
        <f>IF(G948,SUMPRODUCT(($G$76:$G$1505)*($N$76:$N$1505&gt;=N948)*($O$76:$O$1505&lt;=O948))=1,FALSE)</f>
        <v/>
      </c>
      <c r="S948" s="16">
        <f>IF(R948,ABS((O948-$AC$76)/MAX(0.0001,$AC$77-$AC$76)-(N948-$AC$78)/MAX(0.0001,$AC$79-$AC$78)),-1)</f>
        <v/>
      </c>
      <c r="T948" s="14">
        <f>IF(G948,O948,NA())</f>
        <v/>
      </c>
      <c r="U948" s="13">
        <f>IF(G948,N948,NA())</f>
        <v/>
      </c>
      <c r="V948" s="14">
        <f>IF(R948,O948,NA())</f>
        <v/>
      </c>
      <c r="W948" s="13">
        <f>IF(R948,N948,NA())</f>
        <v/>
      </c>
      <c r="X948" s="27">
        <f>IF(G948,P948,"")</f>
        <v/>
      </c>
      <c r="Y948" s="27">
        <f>IF(G948,N948,"")</f>
        <v/>
      </c>
      <c r="Z948" s="27">
        <f>IF(R948,O948,"")</f>
        <v/>
      </c>
      <c r="AA948" s="27">
        <f>IF(R948,N948,"")</f>
        <v/>
      </c>
    </row>
    <row r="949">
      <c r="A949" s="31" t="n">
        <v>0.3</v>
      </c>
      <c r="B949" s="31" t="n">
        <v>0.1</v>
      </c>
      <c r="C949" s="31" t="n">
        <v>0</v>
      </c>
      <c r="D949" s="31" t="n">
        <v>0.6</v>
      </c>
      <c r="E949" s="27" t="inlineStr">
        <is>
          <t>ON 30%/1M 10%/3M 60%</t>
        </is>
      </c>
      <c r="F949" s="27" t="n">
        <v>75</v>
      </c>
      <c r="G949" s="27">
        <f>A949*$B$7&gt;=$B$9</f>
        <v/>
      </c>
      <c r="H949" s="13">
        <f>$B$7*(A949*E$71+B949*F$71+C949*G$71+D949*H$71)+F949/100*$B$7*J$71-$C$71</f>
        <v/>
      </c>
      <c r="I949" s="13">
        <f>$B$7*(A949*L$71+B949*M$71+C949*N$71+D949*O$71)+F949/100*$B$7*Q$71-$C$71</f>
        <v/>
      </c>
      <c r="J949" s="13">
        <f>$B$7*(A949*S$71+B949*T$71+C949*U$71+D949*V$71)+F949/100*$B$7*X$71-$C$71</f>
        <v/>
      </c>
      <c r="K949" s="13">
        <f>$B$7*(A949*Z$71+B949*AA$71+C949*AB$71+D949*AC$71)+F949/100*$B$7*AE$71-$C$71</f>
        <v/>
      </c>
      <c r="L949" s="13">
        <f>$B$7*(A949*AG$71+B949*AH$71+C949*AI$71+D949*AJ$71)+F949/100*$B$7*AL$71-$C$71</f>
        <v/>
      </c>
      <c r="M949" s="13">
        <f>$B$7*(A949*AN$71+B949*AO$71+C949*AP$71+D949*AQ$71)+F949/100*$B$7*AS$71-$C$71</f>
        <v/>
      </c>
      <c r="N949" s="13">
        <f>SUMPRODUCT($H$24:$M$24,H949:M949)</f>
        <v/>
      </c>
      <c r="O949" s="14">
        <f>SQRT(SUMPRODUCT($H$24:$M$24,(H949:M949-N949)^2))</f>
        <v/>
      </c>
      <c r="P949" s="13">
        <f>MIN(H949:M949)</f>
        <v/>
      </c>
      <c r="Q949" s="13">
        <f>MAX(H949:M949)</f>
        <v/>
      </c>
      <c r="R949" s="27">
        <f>IF(G949,SUMPRODUCT(($G$76:$G$1505)*($N$76:$N$1505&gt;=N949)*($O$76:$O$1505&lt;=O949))=1,FALSE)</f>
        <v/>
      </c>
      <c r="S949" s="16">
        <f>IF(R949,ABS((O949-$AC$76)/MAX(0.0001,$AC$77-$AC$76)-(N949-$AC$78)/MAX(0.0001,$AC$79-$AC$78)),-1)</f>
        <v/>
      </c>
      <c r="T949" s="14">
        <f>IF(G949,O949,NA())</f>
        <v/>
      </c>
      <c r="U949" s="13">
        <f>IF(G949,N949,NA())</f>
        <v/>
      </c>
      <c r="V949" s="14">
        <f>IF(R949,O949,NA())</f>
        <v/>
      </c>
      <c r="W949" s="13">
        <f>IF(R949,N949,NA())</f>
        <v/>
      </c>
      <c r="X949" s="27">
        <f>IF(G949,P949,"")</f>
        <v/>
      </c>
      <c r="Y949" s="27">
        <f>IF(G949,N949,"")</f>
        <v/>
      </c>
      <c r="Z949" s="27">
        <f>IF(R949,O949,"")</f>
        <v/>
      </c>
      <c r="AA949" s="27">
        <f>IF(R949,N949,"")</f>
        <v/>
      </c>
    </row>
    <row r="950">
      <c r="A950" s="31" t="n">
        <v>0.3</v>
      </c>
      <c r="B950" s="31" t="n">
        <v>0.1</v>
      </c>
      <c r="C950" s="31" t="n">
        <v>0</v>
      </c>
      <c r="D950" s="31" t="n">
        <v>0.6</v>
      </c>
      <c r="E950" s="27" t="inlineStr">
        <is>
          <t>ON 30%/1M 10%/3M 60%</t>
        </is>
      </c>
      <c r="F950" s="27" t="n">
        <v>100</v>
      </c>
      <c r="G950" s="27">
        <f>A950*$B$7&gt;=$B$9</f>
        <v/>
      </c>
      <c r="H950" s="13">
        <f>$B$7*(A950*E$71+B950*F$71+C950*G$71+D950*H$71)+F950/100*$B$7*J$71-$C$71</f>
        <v/>
      </c>
      <c r="I950" s="13">
        <f>$B$7*(A950*L$71+B950*M$71+C950*N$71+D950*O$71)+F950/100*$B$7*Q$71-$C$71</f>
        <v/>
      </c>
      <c r="J950" s="13">
        <f>$B$7*(A950*S$71+B950*T$71+C950*U$71+D950*V$71)+F950/100*$B$7*X$71-$C$71</f>
        <v/>
      </c>
      <c r="K950" s="13">
        <f>$B$7*(A950*Z$71+B950*AA$71+C950*AB$71+D950*AC$71)+F950/100*$B$7*AE$71-$C$71</f>
        <v/>
      </c>
      <c r="L950" s="13">
        <f>$B$7*(A950*AG$71+B950*AH$71+C950*AI$71+D950*AJ$71)+F950/100*$B$7*AL$71-$C$71</f>
        <v/>
      </c>
      <c r="M950" s="13">
        <f>$B$7*(A950*AN$71+B950*AO$71+C950*AP$71+D950*AQ$71)+F950/100*$B$7*AS$71-$C$71</f>
        <v/>
      </c>
      <c r="N950" s="13">
        <f>SUMPRODUCT($H$24:$M$24,H950:M950)</f>
        <v/>
      </c>
      <c r="O950" s="14">
        <f>SQRT(SUMPRODUCT($H$24:$M$24,(H950:M950-N950)^2))</f>
        <v/>
      </c>
      <c r="P950" s="13">
        <f>MIN(H950:M950)</f>
        <v/>
      </c>
      <c r="Q950" s="13">
        <f>MAX(H950:M950)</f>
        <v/>
      </c>
      <c r="R950" s="27">
        <f>IF(G950,SUMPRODUCT(($G$76:$G$1505)*($N$76:$N$1505&gt;=N950)*($O$76:$O$1505&lt;=O950))=1,FALSE)</f>
        <v/>
      </c>
      <c r="S950" s="16">
        <f>IF(R950,ABS((O950-$AC$76)/MAX(0.0001,$AC$77-$AC$76)-(N950-$AC$78)/MAX(0.0001,$AC$79-$AC$78)),-1)</f>
        <v/>
      </c>
      <c r="T950" s="14">
        <f>IF(G950,O950,NA())</f>
        <v/>
      </c>
      <c r="U950" s="13">
        <f>IF(G950,N950,NA())</f>
        <v/>
      </c>
      <c r="V950" s="14">
        <f>IF(R950,O950,NA())</f>
        <v/>
      </c>
      <c r="W950" s="13">
        <f>IF(R950,N950,NA())</f>
        <v/>
      </c>
      <c r="X950" s="27">
        <f>IF(G950,P950,"")</f>
        <v/>
      </c>
      <c r="Y950" s="27">
        <f>IF(G950,N950,"")</f>
        <v/>
      </c>
      <c r="Z950" s="27">
        <f>IF(R950,O950,"")</f>
        <v/>
      </c>
      <c r="AA950" s="27">
        <f>IF(R950,N950,"")</f>
        <v/>
      </c>
    </row>
    <row r="951">
      <c r="A951" s="31" t="n">
        <v>0.3</v>
      </c>
      <c r="B951" s="31" t="n">
        <v>0.1</v>
      </c>
      <c r="C951" s="31" t="n">
        <v>0.1</v>
      </c>
      <c r="D951" s="31" t="n">
        <v>0.5</v>
      </c>
      <c r="E951" s="27" t="inlineStr">
        <is>
          <t>ON 30%/1M 10%/2M 10%/3M 50%</t>
        </is>
      </c>
      <c r="F951" s="27" t="n">
        <v>0</v>
      </c>
      <c r="G951" s="27">
        <f>A951*$B$7&gt;=$B$9</f>
        <v/>
      </c>
      <c r="H951" s="13">
        <f>$B$7*(A951*E$71+B951*F$71+C951*G$71+D951*H$71)+F951/100*$B$7*J$71-$C$71</f>
        <v/>
      </c>
      <c r="I951" s="13">
        <f>$B$7*(A951*L$71+B951*M$71+C951*N$71+D951*O$71)+F951/100*$B$7*Q$71-$C$71</f>
        <v/>
      </c>
      <c r="J951" s="13">
        <f>$B$7*(A951*S$71+B951*T$71+C951*U$71+D951*V$71)+F951/100*$B$7*X$71-$C$71</f>
        <v/>
      </c>
      <c r="K951" s="13">
        <f>$B$7*(A951*Z$71+B951*AA$71+C951*AB$71+D951*AC$71)+F951/100*$B$7*AE$71-$C$71</f>
        <v/>
      </c>
      <c r="L951" s="13">
        <f>$B$7*(A951*AG$71+B951*AH$71+C951*AI$71+D951*AJ$71)+F951/100*$B$7*AL$71-$C$71</f>
        <v/>
      </c>
      <c r="M951" s="13">
        <f>$B$7*(A951*AN$71+B951*AO$71+C951*AP$71+D951*AQ$71)+F951/100*$B$7*AS$71-$C$71</f>
        <v/>
      </c>
      <c r="N951" s="13">
        <f>SUMPRODUCT($H$24:$M$24,H951:M951)</f>
        <v/>
      </c>
      <c r="O951" s="14">
        <f>SQRT(SUMPRODUCT($H$24:$M$24,(H951:M951-N951)^2))</f>
        <v/>
      </c>
      <c r="P951" s="13">
        <f>MIN(H951:M951)</f>
        <v/>
      </c>
      <c r="Q951" s="13">
        <f>MAX(H951:M951)</f>
        <v/>
      </c>
      <c r="R951" s="27">
        <f>IF(G951,SUMPRODUCT(($G$76:$G$1505)*($N$76:$N$1505&gt;=N951)*($O$76:$O$1505&lt;=O951))=1,FALSE)</f>
        <v/>
      </c>
      <c r="S951" s="16">
        <f>IF(R951,ABS((O951-$AC$76)/MAX(0.0001,$AC$77-$AC$76)-(N951-$AC$78)/MAX(0.0001,$AC$79-$AC$78)),-1)</f>
        <v/>
      </c>
      <c r="T951" s="14">
        <f>IF(G951,O951,NA())</f>
        <v/>
      </c>
      <c r="U951" s="13">
        <f>IF(G951,N951,NA())</f>
        <v/>
      </c>
      <c r="V951" s="14">
        <f>IF(R951,O951,NA())</f>
        <v/>
      </c>
      <c r="W951" s="13">
        <f>IF(R951,N951,NA())</f>
        <v/>
      </c>
      <c r="X951" s="27">
        <f>IF(G951,P951,"")</f>
        <v/>
      </c>
      <c r="Y951" s="27">
        <f>IF(G951,N951,"")</f>
        <v/>
      </c>
      <c r="Z951" s="27">
        <f>IF(R951,O951,"")</f>
        <v/>
      </c>
      <c r="AA951" s="27">
        <f>IF(R951,N951,"")</f>
        <v/>
      </c>
    </row>
    <row r="952">
      <c r="A952" s="31" t="n">
        <v>0.3</v>
      </c>
      <c r="B952" s="31" t="n">
        <v>0.1</v>
      </c>
      <c r="C952" s="31" t="n">
        <v>0.1</v>
      </c>
      <c r="D952" s="31" t="n">
        <v>0.5</v>
      </c>
      <c r="E952" s="27" t="inlineStr">
        <is>
          <t>ON 30%/1M 10%/2M 10%/3M 50%</t>
        </is>
      </c>
      <c r="F952" s="27" t="n">
        <v>25</v>
      </c>
      <c r="G952" s="27">
        <f>A952*$B$7&gt;=$B$9</f>
        <v/>
      </c>
      <c r="H952" s="13">
        <f>$B$7*(A952*E$71+B952*F$71+C952*G$71+D952*H$71)+F952/100*$B$7*J$71-$C$71</f>
        <v/>
      </c>
      <c r="I952" s="13">
        <f>$B$7*(A952*L$71+B952*M$71+C952*N$71+D952*O$71)+F952/100*$B$7*Q$71-$C$71</f>
        <v/>
      </c>
      <c r="J952" s="13">
        <f>$B$7*(A952*S$71+B952*T$71+C952*U$71+D952*V$71)+F952/100*$B$7*X$71-$C$71</f>
        <v/>
      </c>
      <c r="K952" s="13">
        <f>$B$7*(A952*Z$71+B952*AA$71+C952*AB$71+D952*AC$71)+F952/100*$B$7*AE$71-$C$71</f>
        <v/>
      </c>
      <c r="L952" s="13">
        <f>$B$7*(A952*AG$71+B952*AH$71+C952*AI$71+D952*AJ$71)+F952/100*$B$7*AL$71-$C$71</f>
        <v/>
      </c>
      <c r="M952" s="13">
        <f>$B$7*(A952*AN$71+B952*AO$71+C952*AP$71+D952*AQ$71)+F952/100*$B$7*AS$71-$C$71</f>
        <v/>
      </c>
      <c r="N952" s="13">
        <f>SUMPRODUCT($H$24:$M$24,H952:M952)</f>
        <v/>
      </c>
      <c r="O952" s="14">
        <f>SQRT(SUMPRODUCT($H$24:$M$24,(H952:M952-N952)^2))</f>
        <v/>
      </c>
      <c r="P952" s="13">
        <f>MIN(H952:M952)</f>
        <v/>
      </c>
      <c r="Q952" s="13">
        <f>MAX(H952:M952)</f>
        <v/>
      </c>
      <c r="R952" s="27">
        <f>IF(G952,SUMPRODUCT(($G$76:$G$1505)*($N$76:$N$1505&gt;=N952)*($O$76:$O$1505&lt;=O952))=1,FALSE)</f>
        <v/>
      </c>
      <c r="S952" s="16">
        <f>IF(R952,ABS((O952-$AC$76)/MAX(0.0001,$AC$77-$AC$76)-(N952-$AC$78)/MAX(0.0001,$AC$79-$AC$78)),-1)</f>
        <v/>
      </c>
      <c r="T952" s="14">
        <f>IF(G952,O952,NA())</f>
        <v/>
      </c>
      <c r="U952" s="13">
        <f>IF(G952,N952,NA())</f>
        <v/>
      </c>
      <c r="V952" s="14">
        <f>IF(R952,O952,NA())</f>
        <v/>
      </c>
      <c r="W952" s="13">
        <f>IF(R952,N952,NA())</f>
        <v/>
      </c>
      <c r="X952" s="27">
        <f>IF(G952,P952,"")</f>
        <v/>
      </c>
      <c r="Y952" s="27">
        <f>IF(G952,N952,"")</f>
        <v/>
      </c>
      <c r="Z952" s="27">
        <f>IF(R952,O952,"")</f>
        <v/>
      </c>
      <c r="AA952" s="27">
        <f>IF(R952,N952,"")</f>
        <v/>
      </c>
    </row>
    <row r="953">
      <c r="A953" s="31" t="n">
        <v>0.3</v>
      </c>
      <c r="B953" s="31" t="n">
        <v>0.1</v>
      </c>
      <c r="C953" s="31" t="n">
        <v>0.1</v>
      </c>
      <c r="D953" s="31" t="n">
        <v>0.5</v>
      </c>
      <c r="E953" s="27" t="inlineStr">
        <is>
          <t>ON 30%/1M 10%/2M 10%/3M 50%</t>
        </is>
      </c>
      <c r="F953" s="27" t="n">
        <v>50</v>
      </c>
      <c r="G953" s="27">
        <f>A953*$B$7&gt;=$B$9</f>
        <v/>
      </c>
      <c r="H953" s="13">
        <f>$B$7*(A953*E$71+B953*F$71+C953*G$71+D953*H$71)+F953/100*$B$7*J$71-$C$71</f>
        <v/>
      </c>
      <c r="I953" s="13">
        <f>$B$7*(A953*L$71+B953*M$71+C953*N$71+D953*O$71)+F953/100*$B$7*Q$71-$C$71</f>
        <v/>
      </c>
      <c r="J953" s="13">
        <f>$B$7*(A953*S$71+B953*T$71+C953*U$71+D953*V$71)+F953/100*$B$7*X$71-$C$71</f>
        <v/>
      </c>
      <c r="K953" s="13">
        <f>$B$7*(A953*Z$71+B953*AA$71+C953*AB$71+D953*AC$71)+F953/100*$B$7*AE$71-$C$71</f>
        <v/>
      </c>
      <c r="L953" s="13">
        <f>$B$7*(A953*AG$71+B953*AH$71+C953*AI$71+D953*AJ$71)+F953/100*$B$7*AL$71-$C$71</f>
        <v/>
      </c>
      <c r="M953" s="13">
        <f>$B$7*(A953*AN$71+B953*AO$71+C953*AP$71+D953*AQ$71)+F953/100*$B$7*AS$71-$C$71</f>
        <v/>
      </c>
      <c r="N953" s="13">
        <f>SUMPRODUCT($H$24:$M$24,H953:M953)</f>
        <v/>
      </c>
      <c r="O953" s="14">
        <f>SQRT(SUMPRODUCT($H$24:$M$24,(H953:M953-N953)^2))</f>
        <v/>
      </c>
      <c r="P953" s="13">
        <f>MIN(H953:M953)</f>
        <v/>
      </c>
      <c r="Q953" s="13">
        <f>MAX(H953:M953)</f>
        <v/>
      </c>
      <c r="R953" s="27">
        <f>IF(G953,SUMPRODUCT(($G$76:$G$1505)*($N$76:$N$1505&gt;=N953)*($O$76:$O$1505&lt;=O953))=1,FALSE)</f>
        <v/>
      </c>
      <c r="S953" s="16">
        <f>IF(R953,ABS((O953-$AC$76)/MAX(0.0001,$AC$77-$AC$76)-(N953-$AC$78)/MAX(0.0001,$AC$79-$AC$78)),-1)</f>
        <v/>
      </c>
      <c r="T953" s="14">
        <f>IF(G953,O953,NA())</f>
        <v/>
      </c>
      <c r="U953" s="13">
        <f>IF(G953,N953,NA())</f>
        <v/>
      </c>
      <c r="V953" s="14">
        <f>IF(R953,O953,NA())</f>
        <v/>
      </c>
      <c r="W953" s="13">
        <f>IF(R953,N953,NA())</f>
        <v/>
      </c>
      <c r="X953" s="27">
        <f>IF(G953,P953,"")</f>
        <v/>
      </c>
      <c r="Y953" s="27">
        <f>IF(G953,N953,"")</f>
        <v/>
      </c>
      <c r="Z953" s="27">
        <f>IF(R953,O953,"")</f>
        <v/>
      </c>
      <c r="AA953" s="27">
        <f>IF(R953,N953,"")</f>
        <v/>
      </c>
    </row>
    <row r="954">
      <c r="A954" s="31" t="n">
        <v>0.3</v>
      </c>
      <c r="B954" s="31" t="n">
        <v>0.1</v>
      </c>
      <c r="C954" s="31" t="n">
        <v>0.1</v>
      </c>
      <c r="D954" s="31" t="n">
        <v>0.5</v>
      </c>
      <c r="E954" s="27" t="inlineStr">
        <is>
          <t>ON 30%/1M 10%/2M 10%/3M 50%</t>
        </is>
      </c>
      <c r="F954" s="27" t="n">
        <v>75</v>
      </c>
      <c r="G954" s="27">
        <f>A954*$B$7&gt;=$B$9</f>
        <v/>
      </c>
      <c r="H954" s="13">
        <f>$B$7*(A954*E$71+B954*F$71+C954*G$71+D954*H$71)+F954/100*$B$7*J$71-$C$71</f>
        <v/>
      </c>
      <c r="I954" s="13">
        <f>$B$7*(A954*L$71+B954*M$71+C954*N$71+D954*O$71)+F954/100*$B$7*Q$71-$C$71</f>
        <v/>
      </c>
      <c r="J954" s="13">
        <f>$B$7*(A954*S$71+B954*T$71+C954*U$71+D954*V$71)+F954/100*$B$7*X$71-$C$71</f>
        <v/>
      </c>
      <c r="K954" s="13">
        <f>$B$7*(A954*Z$71+B954*AA$71+C954*AB$71+D954*AC$71)+F954/100*$B$7*AE$71-$C$71</f>
        <v/>
      </c>
      <c r="L954" s="13">
        <f>$B$7*(A954*AG$71+B954*AH$71+C954*AI$71+D954*AJ$71)+F954/100*$B$7*AL$71-$C$71</f>
        <v/>
      </c>
      <c r="M954" s="13">
        <f>$B$7*(A954*AN$71+B954*AO$71+C954*AP$71+D954*AQ$71)+F954/100*$B$7*AS$71-$C$71</f>
        <v/>
      </c>
      <c r="N954" s="13">
        <f>SUMPRODUCT($H$24:$M$24,H954:M954)</f>
        <v/>
      </c>
      <c r="O954" s="14">
        <f>SQRT(SUMPRODUCT($H$24:$M$24,(H954:M954-N954)^2))</f>
        <v/>
      </c>
      <c r="P954" s="13">
        <f>MIN(H954:M954)</f>
        <v/>
      </c>
      <c r="Q954" s="13">
        <f>MAX(H954:M954)</f>
        <v/>
      </c>
      <c r="R954" s="27">
        <f>IF(G954,SUMPRODUCT(($G$76:$G$1505)*($N$76:$N$1505&gt;=N954)*($O$76:$O$1505&lt;=O954))=1,FALSE)</f>
        <v/>
      </c>
      <c r="S954" s="16">
        <f>IF(R954,ABS((O954-$AC$76)/MAX(0.0001,$AC$77-$AC$76)-(N954-$AC$78)/MAX(0.0001,$AC$79-$AC$78)),-1)</f>
        <v/>
      </c>
      <c r="T954" s="14">
        <f>IF(G954,O954,NA())</f>
        <v/>
      </c>
      <c r="U954" s="13">
        <f>IF(G954,N954,NA())</f>
        <v/>
      </c>
      <c r="V954" s="14">
        <f>IF(R954,O954,NA())</f>
        <v/>
      </c>
      <c r="W954" s="13">
        <f>IF(R954,N954,NA())</f>
        <v/>
      </c>
      <c r="X954" s="27">
        <f>IF(G954,P954,"")</f>
        <v/>
      </c>
      <c r="Y954" s="27">
        <f>IF(G954,N954,"")</f>
        <v/>
      </c>
      <c r="Z954" s="27">
        <f>IF(R954,O954,"")</f>
        <v/>
      </c>
      <c r="AA954" s="27">
        <f>IF(R954,N954,"")</f>
        <v/>
      </c>
    </row>
    <row r="955">
      <c r="A955" s="31" t="n">
        <v>0.3</v>
      </c>
      <c r="B955" s="31" t="n">
        <v>0.1</v>
      </c>
      <c r="C955" s="31" t="n">
        <v>0.1</v>
      </c>
      <c r="D955" s="31" t="n">
        <v>0.5</v>
      </c>
      <c r="E955" s="27" t="inlineStr">
        <is>
          <t>ON 30%/1M 10%/2M 10%/3M 50%</t>
        </is>
      </c>
      <c r="F955" s="27" t="n">
        <v>100</v>
      </c>
      <c r="G955" s="27">
        <f>A955*$B$7&gt;=$B$9</f>
        <v/>
      </c>
      <c r="H955" s="13">
        <f>$B$7*(A955*E$71+B955*F$71+C955*G$71+D955*H$71)+F955/100*$B$7*J$71-$C$71</f>
        <v/>
      </c>
      <c r="I955" s="13">
        <f>$B$7*(A955*L$71+B955*M$71+C955*N$71+D955*O$71)+F955/100*$B$7*Q$71-$C$71</f>
        <v/>
      </c>
      <c r="J955" s="13">
        <f>$B$7*(A955*S$71+B955*T$71+C955*U$71+D955*V$71)+F955/100*$B$7*X$71-$C$71</f>
        <v/>
      </c>
      <c r="K955" s="13">
        <f>$B$7*(A955*Z$71+B955*AA$71+C955*AB$71+D955*AC$71)+F955/100*$B$7*AE$71-$C$71</f>
        <v/>
      </c>
      <c r="L955" s="13">
        <f>$B$7*(A955*AG$71+B955*AH$71+C955*AI$71+D955*AJ$71)+F955/100*$B$7*AL$71-$C$71</f>
        <v/>
      </c>
      <c r="M955" s="13">
        <f>$B$7*(A955*AN$71+B955*AO$71+C955*AP$71+D955*AQ$71)+F955/100*$B$7*AS$71-$C$71</f>
        <v/>
      </c>
      <c r="N955" s="13">
        <f>SUMPRODUCT($H$24:$M$24,H955:M955)</f>
        <v/>
      </c>
      <c r="O955" s="14">
        <f>SQRT(SUMPRODUCT($H$24:$M$24,(H955:M955-N955)^2))</f>
        <v/>
      </c>
      <c r="P955" s="13">
        <f>MIN(H955:M955)</f>
        <v/>
      </c>
      <c r="Q955" s="13">
        <f>MAX(H955:M955)</f>
        <v/>
      </c>
      <c r="R955" s="27">
        <f>IF(G955,SUMPRODUCT(($G$76:$G$1505)*($N$76:$N$1505&gt;=N955)*($O$76:$O$1505&lt;=O955))=1,FALSE)</f>
        <v/>
      </c>
      <c r="S955" s="16">
        <f>IF(R955,ABS((O955-$AC$76)/MAX(0.0001,$AC$77-$AC$76)-(N955-$AC$78)/MAX(0.0001,$AC$79-$AC$78)),-1)</f>
        <v/>
      </c>
      <c r="T955" s="14">
        <f>IF(G955,O955,NA())</f>
        <v/>
      </c>
      <c r="U955" s="13">
        <f>IF(G955,N955,NA())</f>
        <v/>
      </c>
      <c r="V955" s="14">
        <f>IF(R955,O955,NA())</f>
        <v/>
      </c>
      <c r="W955" s="13">
        <f>IF(R955,N955,NA())</f>
        <v/>
      </c>
      <c r="X955" s="27">
        <f>IF(G955,P955,"")</f>
        <v/>
      </c>
      <c r="Y955" s="27">
        <f>IF(G955,N955,"")</f>
        <v/>
      </c>
      <c r="Z955" s="27">
        <f>IF(R955,O955,"")</f>
        <v/>
      </c>
      <c r="AA955" s="27">
        <f>IF(R955,N955,"")</f>
        <v/>
      </c>
    </row>
    <row r="956">
      <c r="A956" s="31" t="n">
        <v>0.3</v>
      </c>
      <c r="B956" s="31" t="n">
        <v>0.1</v>
      </c>
      <c r="C956" s="31" t="n">
        <v>0.2</v>
      </c>
      <c r="D956" s="31" t="n">
        <v>0.4</v>
      </c>
      <c r="E956" s="27" t="inlineStr">
        <is>
          <t>ON 30%/1M 10%/2M 20%/3M 40%</t>
        </is>
      </c>
      <c r="F956" s="27" t="n">
        <v>0</v>
      </c>
      <c r="G956" s="27">
        <f>A956*$B$7&gt;=$B$9</f>
        <v/>
      </c>
      <c r="H956" s="13">
        <f>$B$7*(A956*E$71+B956*F$71+C956*G$71+D956*H$71)+F956/100*$B$7*J$71-$C$71</f>
        <v/>
      </c>
      <c r="I956" s="13">
        <f>$B$7*(A956*L$71+B956*M$71+C956*N$71+D956*O$71)+F956/100*$B$7*Q$71-$C$71</f>
        <v/>
      </c>
      <c r="J956" s="13">
        <f>$B$7*(A956*S$71+B956*T$71+C956*U$71+D956*V$71)+F956/100*$B$7*X$71-$C$71</f>
        <v/>
      </c>
      <c r="K956" s="13">
        <f>$B$7*(A956*Z$71+B956*AA$71+C956*AB$71+D956*AC$71)+F956/100*$B$7*AE$71-$C$71</f>
        <v/>
      </c>
      <c r="L956" s="13">
        <f>$B$7*(A956*AG$71+B956*AH$71+C956*AI$71+D956*AJ$71)+F956/100*$B$7*AL$71-$C$71</f>
        <v/>
      </c>
      <c r="M956" s="13">
        <f>$B$7*(A956*AN$71+B956*AO$71+C956*AP$71+D956*AQ$71)+F956/100*$B$7*AS$71-$C$71</f>
        <v/>
      </c>
      <c r="N956" s="13">
        <f>SUMPRODUCT($H$24:$M$24,H956:M956)</f>
        <v/>
      </c>
      <c r="O956" s="14">
        <f>SQRT(SUMPRODUCT($H$24:$M$24,(H956:M956-N956)^2))</f>
        <v/>
      </c>
      <c r="P956" s="13">
        <f>MIN(H956:M956)</f>
        <v/>
      </c>
      <c r="Q956" s="13">
        <f>MAX(H956:M956)</f>
        <v/>
      </c>
      <c r="R956" s="27">
        <f>IF(G956,SUMPRODUCT(($G$76:$G$1505)*($N$76:$N$1505&gt;=N956)*($O$76:$O$1505&lt;=O956))=1,FALSE)</f>
        <v/>
      </c>
      <c r="S956" s="16">
        <f>IF(R956,ABS((O956-$AC$76)/MAX(0.0001,$AC$77-$AC$76)-(N956-$AC$78)/MAX(0.0001,$AC$79-$AC$78)),-1)</f>
        <v/>
      </c>
      <c r="T956" s="14">
        <f>IF(G956,O956,NA())</f>
        <v/>
      </c>
      <c r="U956" s="13">
        <f>IF(G956,N956,NA())</f>
        <v/>
      </c>
      <c r="V956" s="14">
        <f>IF(R956,O956,NA())</f>
        <v/>
      </c>
      <c r="W956" s="13">
        <f>IF(R956,N956,NA())</f>
        <v/>
      </c>
      <c r="X956" s="27">
        <f>IF(G956,P956,"")</f>
        <v/>
      </c>
      <c r="Y956" s="27">
        <f>IF(G956,N956,"")</f>
        <v/>
      </c>
      <c r="Z956" s="27">
        <f>IF(R956,O956,"")</f>
        <v/>
      </c>
      <c r="AA956" s="27">
        <f>IF(R956,N956,"")</f>
        <v/>
      </c>
    </row>
    <row r="957">
      <c r="A957" s="31" t="n">
        <v>0.3</v>
      </c>
      <c r="B957" s="31" t="n">
        <v>0.1</v>
      </c>
      <c r="C957" s="31" t="n">
        <v>0.2</v>
      </c>
      <c r="D957" s="31" t="n">
        <v>0.4</v>
      </c>
      <c r="E957" s="27" t="inlineStr">
        <is>
          <t>ON 30%/1M 10%/2M 20%/3M 40%</t>
        </is>
      </c>
      <c r="F957" s="27" t="n">
        <v>25</v>
      </c>
      <c r="G957" s="27">
        <f>A957*$B$7&gt;=$B$9</f>
        <v/>
      </c>
      <c r="H957" s="13">
        <f>$B$7*(A957*E$71+B957*F$71+C957*G$71+D957*H$71)+F957/100*$B$7*J$71-$C$71</f>
        <v/>
      </c>
      <c r="I957" s="13">
        <f>$B$7*(A957*L$71+B957*M$71+C957*N$71+D957*O$71)+F957/100*$B$7*Q$71-$C$71</f>
        <v/>
      </c>
      <c r="J957" s="13">
        <f>$B$7*(A957*S$71+B957*T$71+C957*U$71+D957*V$71)+F957/100*$B$7*X$71-$C$71</f>
        <v/>
      </c>
      <c r="K957" s="13">
        <f>$B$7*(A957*Z$71+B957*AA$71+C957*AB$71+D957*AC$71)+F957/100*$B$7*AE$71-$C$71</f>
        <v/>
      </c>
      <c r="L957" s="13">
        <f>$B$7*(A957*AG$71+B957*AH$71+C957*AI$71+D957*AJ$71)+F957/100*$B$7*AL$71-$C$71</f>
        <v/>
      </c>
      <c r="M957" s="13">
        <f>$B$7*(A957*AN$71+B957*AO$71+C957*AP$71+D957*AQ$71)+F957/100*$B$7*AS$71-$C$71</f>
        <v/>
      </c>
      <c r="N957" s="13">
        <f>SUMPRODUCT($H$24:$M$24,H957:M957)</f>
        <v/>
      </c>
      <c r="O957" s="14">
        <f>SQRT(SUMPRODUCT($H$24:$M$24,(H957:M957-N957)^2))</f>
        <v/>
      </c>
      <c r="P957" s="13">
        <f>MIN(H957:M957)</f>
        <v/>
      </c>
      <c r="Q957" s="13">
        <f>MAX(H957:M957)</f>
        <v/>
      </c>
      <c r="R957" s="27">
        <f>IF(G957,SUMPRODUCT(($G$76:$G$1505)*($N$76:$N$1505&gt;=N957)*($O$76:$O$1505&lt;=O957))=1,FALSE)</f>
        <v/>
      </c>
      <c r="S957" s="16">
        <f>IF(R957,ABS((O957-$AC$76)/MAX(0.0001,$AC$77-$AC$76)-(N957-$AC$78)/MAX(0.0001,$AC$79-$AC$78)),-1)</f>
        <v/>
      </c>
      <c r="T957" s="14">
        <f>IF(G957,O957,NA())</f>
        <v/>
      </c>
      <c r="U957" s="13">
        <f>IF(G957,N957,NA())</f>
        <v/>
      </c>
      <c r="V957" s="14">
        <f>IF(R957,O957,NA())</f>
        <v/>
      </c>
      <c r="W957" s="13">
        <f>IF(R957,N957,NA())</f>
        <v/>
      </c>
      <c r="X957" s="27">
        <f>IF(G957,P957,"")</f>
        <v/>
      </c>
      <c r="Y957" s="27">
        <f>IF(G957,N957,"")</f>
        <v/>
      </c>
      <c r="Z957" s="27">
        <f>IF(R957,O957,"")</f>
        <v/>
      </c>
      <c r="AA957" s="27">
        <f>IF(R957,N957,"")</f>
        <v/>
      </c>
    </row>
    <row r="958">
      <c r="A958" s="31" t="n">
        <v>0.3</v>
      </c>
      <c r="B958" s="31" t="n">
        <v>0.1</v>
      </c>
      <c r="C958" s="31" t="n">
        <v>0.2</v>
      </c>
      <c r="D958" s="31" t="n">
        <v>0.4</v>
      </c>
      <c r="E958" s="27" t="inlineStr">
        <is>
          <t>ON 30%/1M 10%/2M 20%/3M 40%</t>
        </is>
      </c>
      <c r="F958" s="27" t="n">
        <v>50</v>
      </c>
      <c r="G958" s="27">
        <f>A958*$B$7&gt;=$B$9</f>
        <v/>
      </c>
      <c r="H958" s="13">
        <f>$B$7*(A958*E$71+B958*F$71+C958*G$71+D958*H$71)+F958/100*$B$7*J$71-$C$71</f>
        <v/>
      </c>
      <c r="I958" s="13">
        <f>$B$7*(A958*L$71+B958*M$71+C958*N$71+D958*O$71)+F958/100*$B$7*Q$71-$C$71</f>
        <v/>
      </c>
      <c r="J958" s="13">
        <f>$B$7*(A958*S$71+B958*T$71+C958*U$71+D958*V$71)+F958/100*$B$7*X$71-$C$71</f>
        <v/>
      </c>
      <c r="K958" s="13">
        <f>$B$7*(A958*Z$71+B958*AA$71+C958*AB$71+D958*AC$71)+F958/100*$B$7*AE$71-$C$71</f>
        <v/>
      </c>
      <c r="L958" s="13">
        <f>$B$7*(A958*AG$71+B958*AH$71+C958*AI$71+D958*AJ$71)+F958/100*$B$7*AL$71-$C$71</f>
        <v/>
      </c>
      <c r="M958" s="13">
        <f>$B$7*(A958*AN$71+B958*AO$71+C958*AP$71+D958*AQ$71)+F958/100*$B$7*AS$71-$C$71</f>
        <v/>
      </c>
      <c r="N958" s="13">
        <f>SUMPRODUCT($H$24:$M$24,H958:M958)</f>
        <v/>
      </c>
      <c r="O958" s="14">
        <f>SQRT(SUMPRODUCT($H$24:$M$24,(H958:M958-N958)^2))</f>
        <v/>
      </c>
      <c r="P958" s="13">
        <f>MIN(H958:M958)</f>
        <v/>
      </c>
      <c r="Q958" s="13">
        <f>MAX(H958:M958)</f>
        <v/>
      </c>
      <c r="R958" s="27">
        <f>IF(G958,SUMPRODUCT(($G$76:$G$1505)*($N$76:$N$1505&gt;=N958)*($O$76:$O$1505&lt;=O958))=1,FALSE)</f>
        <v/>
      </c>
      <c r="S958" s="16">
        <f>IF(R958,ABS((O958-$AC$76)/MAX(0.0001,$AC$77-$AC$76)-(N958-$AC$78)/MAX(0.0001,$AC$79-$AC$78)),-1)</f>
        <v/>
      </c>
      <c r="T958" s="14">
        <f>IF(G958,O958,NA())</f>
        <v/>
      </c>
      <c r="U958" s="13">
        <f>IF(G958,N958,NA())</f>
        <v/>
      </c>
      <c r="V958" s="14">
        <f>IF(R958,O958,NA())</f>
        <v/>
      </c>
      <c r="W958" s="13">
        <f>IF(R958,N958,NA())</f>
        <v/>
      </c>
      <c r="X958" s="27">
        <f>IF(G958,P958,"")</f>
        <v/>
      </c>
      <c r="Y958" s="27">
        <f>IF(G958,N958,"")</f>
        <v/>
      </c>
      <c r="Z958" s="27">
        <f>IF(R958,O958,"")</f>
        <v/>
      </c>
      <c r="AA958" s="27">
        <f>IF(R958,N958,"")</f>
        <v/>
      </c>
    </row>
    <row r="959">
      <c r="A959" s="31" t="n">
        <v>0.3</v>
      </c>
      <c r="B959" s="31" t="n">
        <v>0.1</v>
      </c>
      <c r="C959" s="31" t="n">
        <v>0.2</v>
      </c>
      <c r="D959" s="31" t="n">
        <v>0.4</v>
      </c>
      <c r="E959" s="27" t="inlineStr">
        <is>
          <t>ON 30%/1M 10%/2M 20%/3M 40%</t>
        </is>
      </c>
      <c r="F959" s="27" t="n">
        <v>75</v>
      </c>
      <c r="G959" s="27">
        <f>A959*$B$7&gt;=$B$9</f>
        <v/>
      </c>
      <c r="H959" s="13">
        <f>$B$7*(A959*E$71+B959*F$71+C959*G$71+D959*H$71)+F959/100*$B$7*J$71-$C$71</f>
        <v/>
      </c>
      <c r="I959" s="13">
        <f>$B$7*(A959*L$71+B959*M$71+C959*N$71+D959*O$71)+F959/100*$B$7*Q$71-$C$71</f>
        <v/>
      </c>
      <c r="J959" s="13">
        <f>$B$7*(A959*S$71+B959*T$71+C959*U$71+D959*V$71)+F959/100*$B$7*X$71-$C$71</f>
        <v/>
      </c>
      <c r="K959" s="13">
        <f>$B$7*(A959*Z$71+B959*AA$71+C959*AB$71+D959*AC$71)+F959/100*$B$7*AE$71-$C$71</f>
        <v/>
      </c>
      <c r="L959" s="13">
        <f>$B$7*(A959*AG$71+B959*AH$71+C959*AI$71+D959*AJ$71)+F959/100*$B$7*AL$71-$C$71</f>
        <v/>
      </c>
      <c r="M959" s="13">
        <f>$B$7*(A959*AN$71+B959*AO$71+C959*AP$71+D959*AQ$71)+F959/100*$B$7*AS$71-$C$71</f>
        <v/>
      </c>
      <c r="N959" s="13">
        <f>SUMPRODUCT($H$24:$M$24,H959:M959)</f>
        <v/>
      </c>
      <c r="O959" s="14">
        <f>SQRT(SUMPRODUCT($H$24:$M$24,(H959:M959-N959)^2))</f>
        <v/>
      </c>
      <c r="P959" s="13">
        <f>MIN(H959:M959)</f>
        <v/>
      </c>
      <c r="Q959" s="13">
        <f>MAX(H959:M959)</f>
        <v/>
      </c>
      <c r="R959" s="27">
        <f>IF(G959,SUMPRODUCT(($G$76:$G$1505)*($N$76:$N$1505&gt;=N959)*($O$76:$O$1505&lt;=O959))=1,FALSE)</f>
        <v/>
      </c>
      <c r="S959" s="16">
        <f>IF(R959,ABS((O959-$AC$76)/MAX(0.0001,$AC$77-$AC$76)-(N959-$AC$78)/MAX(0.0001,$AC$79-$AC$78)),-1)</f>
        <v/>
      </c>
      <c r="T959" s="14">
        <f>IF(G959,O959,NA())</f>
        <v/>
      </c>
      <c r="U959" s="13">
        <f>IF(G959,N959,NA())</f>
        <v/>
      </c>
      <c r="V959" s="14">
        <f>IF(R959,O959,NA())</f>
        <v/>
      </c>
      <c r="W959" s="13">
        <f>IF(R959,N959,NA())</f>
        <v/>
      </c>
      <c r="X959" s="27">
        <f>IF(G959,P959,"")</f>
        <v/>
      </c>
      <c r="Y959" s="27">
        <f>IF(G959,N959,"")</f>
        <v/>
      </c>
      <c r="Z959" s="27">
        <f>IF(R959,O959,"")</f>
        <v/>
      </c>
      <c r="AA959" s="27">
        <f>IF(R959,N959,"")</f>
        <v/>
      </c>
    </row>
    <row r="960">
      <c r="A960" s="31" t="n">
        <v>0.3</v>
      </c>
      <c r="B960" s="31" t="n">
        <v>0.1</v>
      </c>
      <c r="C960" s="31" t="n">
        <v>0.2</v>
      </c>
      <c r="D960" s="31" t="n">
        <v>0.4</v>
      </c>
      <c r="E960" s="27" t="inlineStr">
        <is>
          <t>ON 30%/1M 10%/2M 20%/3M 40%</t>
        </is>
      </c>
      <c r="F960" s="27" t="n">
        <v>100</v>
      </c>
      <c r="G960" s="27">
        <f>A960*$B$7&gt;=$B$9</f>
        <v/>
      </c>
      <c r="H960" s="13">
        <f>$B$7*(A960*E$71+B960*F$71+C960*G$71+D960*H$71)+F960/100*$B$7*J$71-$C$71</f>
        <v/>
      </c>
      <c r="I960" s="13">
        <f>$B$7*(A960*L$71+B960*M$71+C960*N$71+D960*O$71)+F960/100*$B$7*Q$71-$C$71</f>
        <v/>
      </c>
      <c r="J960" s="13">
        <f>$B$7*(A960*S$71+B960*T$71+C960*U$71+D960*V$71)+F960/100*$B$7*X$71-$C$71</f>
        <v/>
      </c>
      <c r="K960" s="13">
        <f>$B$7*(A960*Z$71+B960*AA$71+C960*AB$71+D960*AC$71)+F960/100*$B$7*AE$71-$C$71</f>
        <v/>
      </c>
      <c r="L960" s="13">
        <f>$B$7*(A960*AG$71+B960*AH$71+C960*AI$71+D960*AJ$71)+F960/100*$B$7*AL$71-$C$71</f>
        <v/>
      </c>
      <c r="M960" s="13">
        <f>$B$7*(A960*AN$71+B960*AO$71+C960*AP$71+D960*AQ$71)+F960/100*$B$7*AS$71-$C$71</f>
        <v/>
      </c>
      <c r="N960" s="13">
        <f>SUMPRODUCT($H$24:$M$24,H960:M960)</f>
        <v/>
      </c>
      <c r="O960" s="14">
        <f>SQRT(SUMPRODUCT($H$24:$M$24,(H960:M960-N960)^2))</f>
        <v/>
      </c>
      <c r="P960" s="13">
        <f>MIN(H960:M960)</f>
        <v/>
      </c>
      <c r="Q960" s="13">
        <f>MAX(H960:M960)</f>
        <v/>
      </c>
      <c r="R960" s="27">
        <f>IF(G960,SUMPRODUCT(($G$76:$G$1505)*($N$76:$N$1505&gt;=N960)*($O$76:$O$1505&lt;=O960))=1,FALSE)</f>
        <v/>
      </c>
      <c r="S960" s="16">
        <f>IF(R960,ABS((O960-$AC$76)/MAX(0.0001,$AC$77-$AC$76)-(N960-$AC$78)/MAX(0.0001,$AC$79-$AC$78)),-1)</f>
        <v/>
      </c>
      <c r="T960" s="14">
        <f>IF(G960,O960,NA())</f>
        <v/>
      </c>
      <c r="U960" s="13">
        <f>IF(G960,N960,NA())</f>
        <v/>
      </c>
      <c r="V960" s="14">
        <f>IF(R960,O960,NA())</f>
        <v/>
      </c>
      <c r="W960" s="13">
        <f>IF(R960,N960,NA())</f>
        <v/>
      </c>
      <c r="X960" s="27">
        <f>IF(G960,P960,"")</f>
        <v/>
      </c>
      <c r="Y960" s="27">
        <f>IF(G960,N960,"")</f>
        <v/>
      </c>
      <c r="Z960" s="27">
        <f>IF(R960,O960,"")</f>
        <v/>
      </c>
      <c r="AA960" s="27">
        <f>IF(R960,N960,"")</f>
        <v/>
      </c>
    </row>
    <row r="961">
      <c r="A961" s="31" t="n">
        <v>0.3</v>
      </c>
      <c r="B961" s="31" t="n">
        <v>0.1</v>
      </c>
      <c r="C961" s="31" t="n">
        <v>0.3</v>
      </c>
      <c r="D961" s="31" t="n">
        <v>0.3</v>
      </c>
      <c r="E961" s="27" t="inlineStr">
        <is>
          <t>ON 30%/1M 10%/2M 30%/3M 30%</t>
        </is>
      </c>
      <c r="F961" s="27" t="n">
        <v>0</v>
      </c>
      <c r="G961" s="27">
        <f>A961*$B$7&gt;=$B$9</f>
        <v/>
      </c>
      <c r="H961" s="13">
        <f>$B$7*(A961*E$71+B961*F$71+C961*G$71+D961*H$71)+F961/100*$B$7*J$71-$C$71</f>
        <v/>
      </c>
      <c r="I961" s="13">
        <f>$B$7*(A961*L$71+B961*M$71+C961*N$71+D961*O$71)+F961/100*$B$7*Q$71-$C$71</f>
        <v/>
      </c>
      <c r="J961" s="13">
        <f>$B$7*(A961*S$71+B961*T$71+C961*U$71+D961*V$71)+F961/100*$B$7*X$71-$C$71</f>
        <v/>
      </c>
      <c r="K961" s="13">
        <f>$B$7*(A961*Z$71+B961*AA$71+C961*AB$71+D961*AC$71)+F961/100*$B$7*AE$71-$C$71</f>
        <v/>
      </c>
      <c r="L961" s="13">
        <f>$B$7*(A961*AG$71+B961*AH$71+C961*AI$71+D961*AJ$71)+F961/100*$B$7*AL$71-$C$71</f>
        <v/>
      </c>
      <c r="M961" s="13">
        <f>$B$7*(A961*AN$71+B961*AO$71+C961*AP$71+D961*AQ$71)+F961/100*$B$7*AS$71-$C$71</f>
        <v/>
      </c>
      <c r="N961" s="13">
        <f>SUMPRODUCT($H$24:$M$24,H961:M961)</f>
        <v/>
      </c>
      <c r="O961" s="14">
        <f>SQRT(SUMPRODUCT($H$24:$M$24,(H961:M961-N961)^2))</f>
        <v/>
      </c>
      <c r="P961" s="13">
        <f>MIN(H961:M961)</f>
        <v/>
      </c>
      <c r="Q961" s="13">
        <f>MAX(H961:M961)</f>
        <v/>
      </c>
      <c r="R961" s="27">
        <f>IF(G961,SUMPRODUCT(($G$76:$G$1505)*($N$76:$N$1505&gt;=N961)*($O$76:$O$1505&lt;=O961))=1,FALSE)</f>
        <v/>
      </c>
      <c r="S961" s="16">
        <f>IF(R961,ABS((O961-$AC$76)/MAX(0.0001,$AC$77-$AC$76)-(N961-$AC$78)/MAX(0.0001,$AC$79-$AC$78)),-1)</f>
        <v/>
      </c>
      <c r="T961" s="14">
        <f>IF(G961,O961,NA())</f>
        <v/>
      </c>
      <c r="U961" s="13">
        <f>IF(G961,N961,NA())</f>
        <v/>
      </c>
      <c r="V961" s="14">
        <f>IF(R961,O961,NA())</f>
        <v/>
      </c>
      <c r="W961" s="13">
        <f>IF(R961,N961,NA())</f>
        <v/>
      </c>
      <c r="X961" s="27">
        <f>IF(G961,P961,"")</f>
        <v/>
      </c>
      <c r="Y961" s="27">
        <f>IF(G961,N961,"")</f>
        <v/>
      </c>
      <c r="Z961" s="27">
        <f>IF(R961,O961,"")</f>
        <v/>
      </c>
      <c r="AA961" s="27">
        <f>IF(R961,N961,"")</f>
        <v/>
      </c>
    </row>
    <row r="962">
      <c r="A962" s="31" t="n">
        <v>0.3</v>
      </c>
      <c r="B962" s="31" t="n">
        <v>0.1</v>
      </c>
      <c r="C962" s="31" t="n">
        <v>0.3</v>
      </c>
      <c r="D962" s="31" t="n">
        <v>0.3</v>
      </c>
      <c r="E962" s="27" t="inlineStr">
        <is>
          <t>ON 30%/1M 10%/2M 30%/3M 30%</t>
        </is>
      </c>
      <c r="F962" s="27" t="n">
        <v>25</v>
      </c>
      <c r="G962" s="27">
        <f>A962*$B$7&gt;=$B$9</f>
        <v/>
      </c>
      <c r="H962" s="13">
        <f>$B$7*(A962*E$71+B962*F$71+C962*G$71+D962*H$71)+F962/100*$B$7*J$71-$C$71</f>
        <v/>
      </c>
      <c r="I962" s="13">
        <f>$B$7*(A962*L$71+B962*M$71+C962*N$71+D962*O$71)+F962/100*$B$7*Q$71-$C$71</f>
        <v/>
      </c>
      <c r="J962" s="13">
        <f>$B$7*(A962*S$71+B962*T$71+C962*U$71+D962*V$71)+F962/100*$B$7*X$71-$C$71</f>
        <v/>
      </c>
      <c r="K962" s="13">
        <f>$B$7*(A962*Z$71+B962*AA$71+C962*AB$71+D962*AC$71)+F962/100*$B$7*AE$71-$C$71</f>
        <v/>
      </c>
      <c r="L962" s="13">
        <f>$B$7*(A962*AG$71+B962*AH$71+C962*AI$71+D962*AJ$71)+F962/100*$B$7*AL$71-$C$71</f>
        <v/>
      </c>
      <c r="M962" s="13">
        <f>$B$7*(A962*AN$71+B962*AO$71+C962*AP$71+D962*AQ$71)+F962/100*$B$7*AS$71-$C$71</f>
        <v/>
      </c>
      <c r="N962" s="13">
        <f>SUMPRODUCT($H$24:$M$24,H962:M962)</f>
        <v/>
      </c>
      <c r="O962" s="14">
        <f>SQRT(SUMPRODUCT($H$24:$M$24,(H962:M962-N962)^2))</f>
        <v/>
      </c>
      <c r="P962" s="13">
        <f>MIN(H962:M962)</f>
        <v/>
      </c>
      <c r="Q962" s="13">
        <f>MAX(H962:M962)</f>
        <v/>
      </c>
      <c r="R962" s="27">
        <f>IF(G962,SUMPRODUCT(($G$76:$G$1505)*($N$76:$N$1505&gt;=N962)*($O$76:$O$1505&lt;=O962))=1,FALSE)</f>
        <v/>
      </c>
      <c r="S962" s="16">
        <f>IF(R962,ABS((O962-$AC$76)/MAX(0.0001,$AC$77-$AC$76)-(N962-$AC$78)/MAX(0.0001,$AC$79-$AC$78)),-1)</f>
        <v/>
      </c>
      <c r="T962" s="14">
        <f>IF(G962,O962,NA())</f>
        <v/>
      </c>
      <c r="U962" s="13">
        <f>IF(G962,N962,NA())</f>
        <v/>
      </c>
      <c r="V962" s="14">
        <f>IF(R962,O962,NA())</f>
        <v/>
      </c>
      <c r="W962" s="13">
        <f>IF(R962,N962,NA())</f>
        <v/>
      </c>
      <c r="X962" s="27">
        <f>IF(G962,P962,"")</f>
        <v/>
      </c>
      <c r="Y962" s="27">
        <f>IF(G962,N962,"")</f>
        <v/>
      </c>
      <c r="Z962" s="27">
        <f>IF(R962,O962,"")</f>
        <v/>
      </c>
      <c r="AA962" s="27">
        <f>IF(R962,N962,"")</f>
        <v/>
      </c>
    </row>
    <row r="963">
      <c r="A963" s="31" t="n">
        <v>0.3</v>
      </c>
      <c r="B963" s="31" t="n">
        <v>0.1</v>
      </c>
      <c r="C963" s="31" t="n">
        <v>0.3</v>
      </c>
      <c r="D963" s="31" t="n">
        <v>0.3</v>
      </c>
      <c r="E963" s="27" t="inlineStr">
        <is>
          <t>ON 30%/1M 10%/2M 30%/3M 30%</t>
        </is>
      </c>
      <c r="F963" s="27" t="n">
        <v>50</v>
      </c>
      <c r="G963" s="27">
        <f>A963*$B$7&gt;=$B$9</f>
        <v/>
      </c>
      <c r="H963" s="13">
        <f>$B$7*(A963*E$71+B963*F$71+C963*G$71+D963*H$71)+F963/100*$B$7*J$71-$C$71</f>
        <v/>
      </c>
      <c r="I963" s="13">
        <f>$B$7*(A963*L$71+B963*M$71+C963*N$71+D963*O$71)+F963/100*$B$7*Q$71-$C$71</f>
        <v/>
      </c>
      <c r="J963" s="13">
        <f>$B$7*(A963*S$71+B963*T$71+C963*U$71+D963*V$71)+F963/100*$B$7*X$71-$C$71</f>
        <v/>
      </c>
      <c r="K963" s="13">
        <f>$B$7*(A963*Z$71+B963*AA$71+C963*AB$71+D963*AC$71)+F963/100*$B$7*AE$71-$C$71</f>
        <v/>
      </c>
      <c r="L963" s="13">
        <f>$B$7*(A963*AG$71+B963*AH$71+C963*AI$71+D963*AJ$71)+F963/100*$B$7*AL$71-$C$71</f>
        <v/>
      </c>
      <c r="M963" s="13">
        <f>$B$7*(A963*AN$71+B963*AO$71+C963*AP$71+D963*AQ$71)+F963/100*$B$7*AS$71-$C$71</f>
        <v/>
      </c>
      <c r="N963" s="13">
        <f>SUMPRODUCT($H$24:$M$24,H963:M963)</f>
        <v/>
      </c>
      <c r="O963" s="14">
        <f>SQRT(SUMPRODUCT($H$24:$M$24,(H963:M963-N963)^2))</f>
        <v/>
      </c>
      <c r="P963" s="13">
        <f>MIN(H963:M963)</f>
        <v/>
      </c>
      <c r="Q963" s="13">
        <f>MAX(H963:M963)</f>
        <v/>
      </c>
      <c r="R963" s="27">
        <f>IF(G963,SUMPRODUCT(($G$76:$G$1505)*($N$76:$N$1505&gt;=N963)*($O$76:$O$1505&lt;=O963))=1,FALSE)</f>
        <v/>
      </c>
      <c r="S963" s="16">
        <f>IF(R963,ABS((O963-$AC$76)/MAX(0.0001,$AC$77-$AC$76)-(N963-$AC$78)/MAX(0.0001,$AC$79-$AC$78)),-1)</f>
        <v/>
      </c>
      <c r="T963" s="14">
        <f>IF(G963,O963,NA())</f>
        <v/>
      </c>
      <c r="U963" s="13">
        <f>IF(G963,N963,NA())</f>
        <v/>
      </c>
      <c r="V963" s="14">
        <f>IF(R963,O963,NA())</f>
        <v/>
      </c>
      <c r="W963" s="13">
        <f>IF(R963,N963,NA())</f>
        <v/>
      </c>
      <c r="X963" s="27">
        <f>IF(G963,P963,"")</f>
        <v/>
      </c>
      <c r="Y963" s="27">
        <f>IF(G963,N963,"")</f>
        <v/>
      </c>
      <c r="Z963" s="27">
        <f>IF(R963,O963,"")</f>
        <v/>
      </c>
      <c r="AA963" s="27">
        <f>IF(R963,N963,"")</f>
        <v/>
      </c>
    </row>
    <row r="964">
      <c r="A964" s="31" t="n">
        <v>0.3</v>
      </c>
      <c r="B964" s="31" t="n">
        <v>0.1</v>
      </c>
      <c r="C964" s="31" t="n">
        <v>0.3</v>
      </c>
      <c r="D964" s="31" t="n">
        <v>0.3</v>
      </c>
      <c r="E964" s="27" t="inlineStr">
        <is>
          <t>ON 30%/1M 10%/2M 30%/3M 30%</t>
        </is>
      </c>
      <c r="F964" s="27" t="n">
        <v>75</v>
      </c>
      <c r="G964" s="27">
        <f>A964*$B$7&gt;=$B$9</f>
        <v/>
      </c>
      <c r="H964" s="13">
        <f>$B$7*(A964*E$71+B964*F$71+C964*G$71+D964*H$71)+F964/100*$B$7*J$71-$C$71</f>
        <v/>
      </c>
      <c r="I964" s="13">
        <f>$B$7*(A964*L$71+B964*M$71+C964*N$71+D964*O$71)+F964/100*$B$7*Q$71-$C$71</f>
        <v/>
      </c>
      <c r="J964" s="13">
        <f>$B$7*(A964*S$71+B964*T$71+C964*U$71+D964*V$71)+F964/100*$B$7*X$71-$C$71</f>
        <v/>
      </c>
      <c r="K964" s="13">
        <f>$B$7*(A964*Z$71+B964*AA$71+C964*AB$71+D964*AC$71)+F964/100*$B$7*AE$71-$C$71</f>
        <v/>
      </c>
      <c r="L964" s="13">
        <f>$B$7*(A964*AG$71+B964*AH$71+C964*AI$71+D964*AJ$71)+F964/100*$B$7*AL$71-$C$71</f>
        <v/>
      </c>
      <c r="M964" s="13">
        <f>$B$7*(A964*AN$71+B964*AO$71+C964*AP$71+D964*AQ$71)+F964/100*$B$7*AS$71-$C$71</f>
        <v/>
      </c>
      <c r="N964" s="13">
        <f>SUMPRODUCT($H$24:$M$24,H964:M964)</f>
        <v/>
      </c>
      <c r="O964" s="14">
        <f>SQRT(SUMPRODUCT($H$24:$M$24,(H964:M964-N964)^2))</f>
        <v/>
      </c>
      <c r="P964" s="13">
        <f>MIN(H964:M964)</f>
        <v/>
      </c>
      <c r="Q964" s="13">
        <f>MAX(H964:M964)</f>
        <v/>
      </c>
      <c r="R964" s="27">
        <f>IF(G964,SUMPRODUCT(($G$76:$G$1505)*($N$76:$N$1505&gt;=N964)*($O$76:$O$1505&lt;=O964))=1,FALSE)</f>
        <v/>
      </c>
      <c r="S964" s="16">
        <f>IF(R964,ABS((O964-$AC$76)/MAX(0.0001,$AC$77-$AC$76)-(N964-$AC$78)/MAX(0.0001,$AC$79-$AC$78)),-1)</f>
        <v/>
      </c>
      <c r="T964" s="14">
        <f>IF(G964,O964,NA())</f>
        <v/>
      </c>
      <c r="U964" s="13">
        <f>IF(G964,N964,NA())</f>
        <v/>
      </c>
      <c r="V964" s="14">
        <f>IF(R964,O964,NA())</f>
        <v/>
      </c>
      <c r="W964" s="13">
        <f>IF(R964,N964,NA())</f>
        <v/>
      </c>
      <c r="X964" s="27">
        <f>IF(G964,P964,"")</f>
        <v/>
      </c>
      <c r="Y964" s="27">
        <f>IF(G964,N964,"")</f>
        <v/>
      </c>
      <c r="Z964" s="27">
        <f>IF(R964,O964,"")</f>
        <v/>
      </c>
      <c r="AA964" s="27">
        <f>IF(R964,N964,"")</f>
        <v/>
      </c>
    </row>
    <row r="965">
      <c r="A965" s="31" t="n">
        <v>0.3</v>
      </c>
      <c r="B965" s="31" t="n">
        <v>0.1</v>
      </c>
      <c r="C965" s="31" t="n">
        <v>0.3</v>
      </c>
      <c r="D965" s="31" t="n">
        <v>0.3</v>
      </c>
      <c r="E965" s="27" t="inlineStr">
        <is>
          <t>ON 30%/1M 10%/2M 30%/3M 30%</t>
        </is>
      </c>
      <c r="F965" s="27" t="n">
        <v>100</v>
      </c>
      <c r="G965" s="27">
        <f>A965*$B$7&gt;=$B$9</f>
        <v/>
      </c>
      <c r="H965" s="13">
        <f>$B$7*(A965*E$71+B965*F$71+C965*G$71+D965*H$71)+F965/100*$B$7*J$71-$C$71</f>
        <v/>
      </c>
      <c r="I965" s="13">
        <f>$B$7*(A965*L$71+B965*M$71+C965*N$71+D965*O$71)+F965/100*$B$7*Q$71-$C$71</f>
        <v/>
      </c>
      <c r="J965" s="13">
        <f>$B$7*(A965*S$71+B965*T$71+C965*U$71+D965*V$71)+F965/100*$B$7*X$71-$C$71</f>
        <v/>
      </c>
      <c r="K965" s="13">
        <f>$B$7*(A965*Z$71+B965*AA$71+C965*AB$71+D965*AC$71)+F965/100*$B$7*AE$71-$C$71</f>
        <v/>
      </c>
      <c r="L965" s="13">
        <f>$B$7*(A965*AG$71+B965*AH$71+C965*AI$71+D965*AJ$71)+F965/100*$B$7*AL$71-$C$71</f>
        <v/>
      </c>
      <c r="M965" s="13">
        <f>$B$7*(A965*AN$71+B965*AO$71+C965*AP$71+D965*AQ$71)+F965/100*$B$7*AS$71-$C$71</f>
        <v/>
      </c>
      <c r="N965" s="13">
        <f>SUMPRODUCT($H$24:$M$24,H965:M965)</f>
        <v/>
      </c>
      <c r="O965" s="14">
        <f>SQRT(SUMPRODUCT($H$24:$M$24,(H965:M965-N965)^2))</f>
        <v/>
      </c>
      <c r="P965" s="13">
        <f>MIN(H965:M965)</f>
        <v/>
      </c>
      <c r="Q965" s="13">
        <f>MAX(H965:M965)</f>
        <v/>
      </c>
      <c r="R965" s="27">
        <f>IF(G965,SUMPRODUCT(($G$76:$G$1505)*($N$76:$N$1505&gt;=N965)*($O$76:$O$1505&lt;=O965))=1,FALSE)</f>
        <v/>
      </c>
      <c r="S965" s="16">
        <f>IF(R965,ABS((O965-$AC$76)/MAX(0.0001,$AC$77-$AC$76)-(N965-$AC$78)/MAX(0.0001,$AC$79-$AC$78)),-1)</f>
        <v/>
      </c>
      <c r="T965" s="14">
        <f>IF(G965,O965,NA())</f>
        <v/>
      </c>
      <c r="U965" s="13">
        <f>IF(G965,N965,NA())</f>
        <v/>
      </c>
      <c r="V965" s="14">
        <f>IF(R965,O965,NA())</f>
        <v/>
      </c>
      <c r="W965" s="13">
        <f>IF(R965,N965,NA())</f>
        <v/>
      </c>
      <c r="X965" s="27">
        <f>IF(G965,P965,"")</f>
        <v/>
      </c>
      <c r="Y965" s="27">
        <f>IF(G965,N965,"")</f>
        <v/>
      </c>
      <c r="Z965" s="27">
        <f>IF(R965,O965,"")</f>
        <v/>
      </c>
      <c r="AA965" s="27">
        <f>IF(R965,N965,"")</f>
        <v/>
      </c>
    </row>
    <row r="966">
      <c r="A966" s="31" t="n">
        <v>0.3</v>
      </c>
      <c r="B966" s="31" t="n">
        <v>0.1</v>
      </c>
      <c r="C966" s="31" t="n">
        <v>0.4</v>
      </c>
      <c r="D966" s="31" t="n">
        <v>0.2</v>
      </c>
      <c r="E966" s="27" t="inlineStr">
        <is>
          <t>ON 30%/1M 10%/2M 40%/3M 20%</t>
        </is>
      </c>
      <c r="F966" s="27" t="n">
        <v>0</v>
      </c>
      <c r="G966" s="27">
        <f>A966*$B$7&gt;=$B$9</f>
        <v/>
      </c>
      <c r="H966" s="13">
        <f>$B$7*(A966*E$71+B966*F$71+C966*G$71+D966*H$71)+F966/100*$B$7*J$71-$C$71</f>
        <v/>
      </c>
      <c r="I966" s="13">
        <f>$B$7*(A966*L$71+B966*M$71+C966*N$71+D966*O$71)+F966/100*$B$7*Q$71-$C$71</f>
        <v/>
      </c>
      <c r="J966" s="13">
        <f>$B$7*(A966*S$71+B966*T$71+C966*U$71+D966*V$71)+F966/100*$B$7*X$71-$C$71</f>
        <v/>
      </c>
      <c r="K966" s="13">
        <f>$B$7*(A966*Z$71+B966*AA$71+C966*AB$71+D966*AC$71)+F966/100*$B$7*AE$71-$C$71</f>
        <v/>
      </c>
      <c r="L966" s="13">
        <f>$B$7*(A966*AG$71+B966*AH$71+C966*AI$71+D966*AJ$71)+F966/100*$B$7*AL$71-$C$71</f>
        <v/>
      </c>
      <c r="M966" s="13">
        <f>$B$7*(A966*AN$71+B966*AO$71+C966*AP$71+D966*AQ$71)+F966/100*$B$7*AS$71-$C$71</f>
        <v/>
      </c>
      <c r="N966" s="13">
        <f>SUMPRODUCT($H$24:$M$24,H966:M966)</f>
        <v/>
      </c>
      <c r="O966" s="14">
        <f>SQRT(SUMPRODUCT($H$24:$M$24,(H966:M966-N966)^2))</f>
        <v/>
      </c>
      <c r="P966" s="13">
        <f>MIN(H966:M966)</f>
        <v/>
      </c>
      <c r="Q966" s="13">
        <f>MAX(H966:M966)</f>
        <v/>
      </c>
      <c r="R966" s="27">
        <f>IF(G966,SUMPRODUCT(($G$76:$G$1505)*($N$76:$N$1505&gt;=N966)*($O$76:$O$1505&lt;=O966))=1,FALSE)</f>
        <v/>
      </c>
      <c r="S966" s="16">
        <f>IF(R966,ABS((O966-$AC$76)/MAX(0.0001,$AC$77-$AC$76)-(N966-$AC$78)/MAX(0.0001,$AC$79-$AC$78)),-1)</f>
        <v/>
      </c>
      <c r="T966" s="14">
        <f>IF(G966,O966,NA())</f>
        <v/>
      </c>
      <c r="U966" s="13">
        <f>IF(G966,N966,NA())</f>
        <v/>
      </c>
      <c r="V966" s="14">
        <f>IF(R966,O966,NA())</f>
        <v/>
      </c>
      <c r="W966" s="13">
        <f>IF(R966,N966,NA())</f>
        <v/>
      </c>
      <c r="X966" s="27">
        <f>IF(G966,P966,"")</f>
        <v/>
      </c>
      <c r="Y966" s="27">
        <f>IF(G966,N966,"")</f>
        <v/>
      </c>
      <c r="Z966" s="27">
        <f>IF(R966,O966,"")</f>
        <v/>
      </c>
      <c r="AA966" s="27">
        <f>IF(R966,N966,"")</f>
        <v/>
      </c>
    </row>
    <row r="967">
      <c r="A967" s="31" t="n">
        <v>0.3</v>
      </c>
      <c r="B967" s="31" t="n">
        <v>0.1</v>
      </c>
      <c r="C967" s="31" t="n">
        <v>0.4</v>
      </c>
      <c r="D967" s="31" t="n">
        <v>0.2</v>
      </c>
      <c r="E967" s="27" t="inlineStr">
        <is>
          <t>ON 30%/1M 10%/2M 40%/3M 20%</t>
        </is>
      </c>
      <c r="F967" s="27" t="n">
        <v>25</v>
      </c>
      <c r="G967" s="27">
        <f>A967*$B$7&gt;=$B$9</f>
        <v/>
      </c>
      <c r="H967" s="13">
        <f>$B$7*(A967*E$71+B967*F$71+C967*G$71+D967*H$71)+F967/100*$B$7*J$71-$C$71</f>
        <v/>
      </c>
      <c r="I967" s="13">
        <f>$B$7*(A967*L$71+B967*M$71+C967*N$71+D967*O$71)+F967/100*$B$7*Q$71-$C$71</f>
        <v/>
      </c>
      <c r="J967" s="13">
        <f>$B$7*(A967*S$71+B967*T$71+C967*U$71+D967*V$71)+F967/100*$B$7*X$71-$C$71</f>
        <v/>
      </c>
      <c r="K967" s="13">
        <f>$B$7*(A967*Z$71+B967*AA$71+C967*AB$71+D967*AC$71)+F967/100*$B$7*AE$71-$C$71</f>
        <v/>
      </c>
      <c r="L967" s="13">
        <f>$B$7*(A967*AG$71+B967*AH$71+C967*AI$71+D967*AJ$71)+F967/100*$B$7*AL$71-$C$71</f>
        <v/>
      </c>
      <c r="M967" s="13">
        <f>$B$7*(A967*AN$71+B967*AO$71+C967*AP$71+D967*AQ$71)+F967/100*$B$7*AS$71-$C$71</f>
        <v/>
      </c>
      <c r="N967" s="13">
        <f>SUMPRODUCT($H$24:$M$24,H967:M967)</f>
        <v/>
      </c>
      <c r="O967" s="14">
        <f>SQRT(SUMPRODUCT($H$24:$M$24,(H967:M967-N967)^2))</f>
        <v/>
      </c>
      <c r="P967" s="13">
        <f>MIN(H967:M967)</f>
        <v/>
      </c>
      <c r="Q967" s="13">
        <f>MAX(H967:M967)</f>
        <v/>
      </c>
      <c r="R967" s="27">
        <f>IF(G967,SUMPRODUCT(($G$76:$G$1505)*($N$76:$N$1505&gt;=N967)*($O$76:$O$1505&lt;=O967))=1,FALSE)</f>
        <v/>
      </c>
      <c r="S967" s="16">
        <f>IF(R967,ABS((O967-$AC$76)/MAX(0.0001,$AC$77-$AC$76)-(N967-$AC$78)/MAX(0.0001,$AC$79-$AC$78)),-1)</f>
        <v/>
      </c>
      <c r="T967" s="14">
        <f>IF(G967,O967,NA())</f>
        <v/>
      </c>
      <c r="U967" s="13">
        <f>IF(G967,N967,NA())</f>
        <v/>
      </c>
      <c r="V967" s="14">
        <f>IF(R967,O967,NA())</f>
        <v/>
      </c>
      <c r="W967" s="13">
        <f>IF(R967,N967,NA())</f>
        <v/>
      </c>
      <c r="X967" s="27">
        <f>IF(G967,P967,"")</f>
        <v/>
      </c>
      <c r="Y967" s="27">
        <f>IF(G967,N967,"")</f>
        <v/>
      </c>
      <c r="Z967" s="27">
        <f>IF(R967,O967,"")</f>
        <v/>
      </c>
      <c r="AA967" s="27">
        <f>IF(R967,N967,"")</f>
        <v/>
      </c>
    </row>
    <row r="968">
      <c r="A968" s="31" t="n">
        <v>0.3</v>
      </c>
      <c r="B968" s="31" t="n">
        <v>0.1</v>
      </c>
      <c r="C968" s="31" t="n">
        <v>0.4</v>
      </c>
      <c r="D968" s="31" t="n">
        <v>0.2</v>
      </c>
      <c r="E968" s="27" t="inlineStr">
        <is>
          <t>ON 30%/1M 10%/2M 40%/3M 20%</t>
        </is>
      </c>
      <c r="F968" s="27" t="n">
        <v>50</v>
      </c>
      <c r="G968" s="27">
        <f>A968*$B$7&gt;=$B$9</f>
        <v/>
      </c>
      <c r="H968" s="13">
        <f>$B$7*(A968*E$71+B968*F$71+C968*G$71+D968*H$71)+F968/100*$B$7*J$71-$C$71</f>
        <v/>
      </c>
      <c r="I968" s="13">
        <f>$B$7*(A968*L$71+B968*M$71+C968*N$71+D968*O$71)+F968/100*$B$7*Q$71-$C$71</f>
        <v/>
      </c>
      <c r="J968" s="13">
        <f>$B$7*(A968*S$71+B968*T$71+C968*U$71+D968*V$71)+F968/100*$B$7*X$71-$C$71</f>
        <v/>
      </c>
      <c r="K968" s="13">
        <f>$B$7*(A968*Z$71+B968*AA$71+C968*AB$71+D968*AC$71)+F968/100*$B$7*AE$71-$C$71</f>
        <v/>
      </c>
      <c r="L968" s="13">
        <f>$B$7*(A968*AG$71+B968*AH$71+C968*AI$71+D968*AJ$71)+F968/100*$B$7*AL$71-$C$71</f>
        <v/>
      </c>
      <c r="M968" s="13">
        <f>$B$7*(A968*AN$71+B968*AO$71+C968*AP$71+D968*AQ$71)+F968/100*$B$7*AS$71-$C$71</f>
        <v/>
      </c>
      <c r="N968" s="13">
        <f>SUMPRODUCT($H$24:$M$24,H968:M968)</f>
        <v/>
      </c>
      <c r="O968" s="14">
        <f>SQRT(SUMPRODUCT($H$24:$M$24,(H968:M968-N968)^2))</f>
        <v/>
      </c>
      <c r="P968" s="13">
        <f>MIN(H968:M968)</f>
        <v/>
      </c>
      <c r="Q968" s="13">
        <f>MAX(H968:M968)</f>
        <v/>
      </c>
      <c r="R968" s="27">
        <f>IF(G968,SUMPRODUCT(($G$76:$G$1505)*($N$76:$N$1505&gt;=N968)*($O$76:$O$1505&lt;=O968))=1,FALSE)</f>
        <v/>
      </c>
      <c r="S968" s="16">
        <f>IF(R968,ABS((O968-$AC$76)/MAX(0.0001,$AC$77-$AC$76)-(N968-$AC$78)/MAX(0.0001,$AC$79-$AC$78)),-1)</f>
        <v/>
      </c>
      <c r="T968" s="14">
        <f>IF(G968,O968,NA())</f>
        <v/>
      </c>
      <c r="U968" s="13">
        <f>IF(G968,N968,NA())</f>
        <v/>
      </c>
      <c r="V968" s="14">
        <f>IF(R968,O968,NA())</f>
        <v/>
      </c>
      <c r="W968" s="13">
        <f>IF(R968,N968,NA())</f>
        <v/>
      </c>
      <c r="X968" s="27">
        <f>IF(G968,P968,"")</f>
        <v/>
      </c>
      <c r="Y968" s="27">
        <f>IF(G968,N968,"")</f>
        <v/>
      </c>
      <c r="Z968" s="27">
        <f>IF(R968,O968,"")</f>
        <v/>
      </c>
      <c r="AA968" s="27">
        <f>IF(R968,N968,"")</f>
        <v/>
      </c>
    </row>
    <row r="969">
      <c r="A969" s="31" t="n">
        <v>0.3</v>
      </c>
      <c r="B969" s="31" t="n">
        <v>0.1</v>
      </c>
      <c r="C969" s="31" t="n">
        <v>0.4</v>
      </c>
      <c r="D969" s="31" t="n">
        <v>0.2</v>
      </c>
      <c r="E969" s="27" t="inlineStr">
        <is>
          <t>ON 30%/1M 10%/2M 40%/3M 20%</t>
        </is>
      </c>
      <c r="F969" s="27" t="n">
        <v>75</v>
      </c>
      <c r="G969" s="27">
        <f>A969*$B$7&gt;=$B$9</f>
        <v/>
      </c>
      <c r="H969" s="13">
        <f>$B$7*(A969*E$71+B969*F$71+C969*G$71+D969*H$71)+F969/100*$B$7*J$71-$C$71</f>
        <v/>
      </c>
      <c r="I969" s="13">
        <f>$B$7*(A969*L$71+B969*M$71+C969*N$71+D969*O$71)+F969/100*$B$7*Q$71-$C$71</f>
        <v/>
      </c>
      <c r="J969" s="13">
        <f>$B$7*(A969*S$71+B969*T$71+C969*U$71+D969*V$71)+F969/100*$B$7*X$71-$C$71</f>
        <v/>
      </c>
      <c r="K969" s="13">
        <f>$B$7*(A969*Z$71+B969*AA$71+C969*AB$71+D969*AC$71)+F969/100*$B$7*AE$71-$C$71</f>
        <v/>
      </c>
      <c r="L969" s="13">
        <f>$B$7*(A969*AG$71+B969*AH$71+C969*AI$71+D969*AJ$71)+F969/100*$B$7*AL$71-$C$71</f>
        <v/>
      </c>
      <c r="M969" s="13">
        <f>$B$7*(A969*AN$71+B969*AO$71+C969*AP$71+D969*AQ$71)+F969/100*$B$7*AS$71-$C$71</f>
        <v/>
      </c>
      <c r="N969" s="13">
        <f>SUMPRODUCT($H$24:$M$24,H969:M969)</f>
        <v/>
      </c>
      <c r="O969" s="14">
        <f>SQRT(SUMPRODUCT($H$24:$M$24,(H969:M969-N969)^2))</f>
        <v/>
      </c>
      <c r="P969" s="13">
        <f>MIN(H969:M969)</f>
        <v/>
      </c>
      <c r="Q969" s="13">
        <f>MAX(H969:M969)</f>
        <v/>
      </c>
      <c r="R969" s="27">
        <f>IF(G969,SUMPRODUCT(($G$76:$G$1505)*($N$76:$N$1505&gt;=N969)*($O$76:$O$1505&lt;=O969))=1,FALSE)</f>
        <v/>
      </c>
      <c r="S969" s="16">
        <f>IF(R969,ABS((O969-$AC$76)/MAX(0.0001,$AC$77-$AC$76)-(N969-$AC$78)/MAX(0.0001,$AC$79-$AC$78)),-1)</f>
        <v/>
      </c>
      <c r="T969" s="14">
        <f>IF(G969,O969,NA())</f>
        <v/>
      </c>
      <c r="U969" s="13">
        <f>IF(G969,N969,NA())</f>
        <v/>
      </c>
      <c r="V969" s="14">
        <f>IF(R969,O969,NA())</f>
        <v/>
      </c>
      <c r="W969" s="13">
        <f>IF(R969,N969,NA())</f>
        <v/>
      </c>
      <c r="X969" s="27">
        <f>IF(G969,P969,"")</f>
        <v/>
      </c>
      <c r="Y969" s="27">
        <f>IF(G969,N969,"")</f>
        <v/>
      </c>
      <c r="Z969" s="27">
        <f>IF(R969,O969,"")</f>
        <v/>
      </c>
      <c r="AA969" s="27">
        <f>IF(R969,N969,"")</f>
        <v/>
      </c>
    </row>
    <row r="970">
      <c r="A970" s="31" t="n">
        <v>0.3</v>
      </c>
      <c r="B970" s="31" t="n">
        <v>0.1</v>
      </c>
      <c r="C970" s="31" t="n">
        <v>0.4</v>
      </c>
      <c r="D970" s="31" t="n">
        <v>0.2</v>
      </c>
      <c r="E970" s="27" t="inlineStr">
        <is>
          <t>ON 30%/1M 10%/2M 40%/3M 20%</t>
        </is>
      </c>
      <c r="F970" s="27" t="n">
        <v>100</v>
      </c>
      <c r="G970" s="27">
        <f>A970*$B$7&gt;=$B$9</f>
        <v/>
      </c>
      <c r="H970" s="13">
        <f>$B$7*(A970*E$71+B970*F$71+C970*G$71+D970*H$71)+F970/100*$B$7*J$71-$C$71</f>
        <v/>
      </c>
      <c r="I970" s="13">
        <f>$B$7*(A970*L$71+B970*M$71+C970*N$71+D970*O$71)+F970/100*$B$7*Q$71-$C$71</f>
        <v/>
      </c>
      <c r="J970" s="13">
        <f>$B$7*(A970*S$71+B970*T$71+C970*U$71+D970*V$71)+F970/100*$B$7*X$71-$C$71</f>
        <v/>
      </c>
      <c r="K970" s="13">
        <f>$B$7*(A970*Z$71+B970*AA$71+C970*AB$71+D970*AC$71)+F970/100*$B$7*AE$71-$C$71</f>
        <v/>
      </c>
      <c r="L970" s="13">
        <f>$B$7*(A970*AG$71+B970*AH$71+C970*AI$71+D970*AJ$71)+F970/100*$B$7*AL$71-$C$71</f>
        <v/>
      </c>
      <c r="M970" s="13">
        <f>$B$7*(A970*AN$71+B970*AO$71+C970*AP$71+D970*AQ$71)+F970/100*$B$7*AS$71-$C$71</f>
        <v/>
      </c>
      <c r="N970" s="13">
        <f>SUMPRODUCT($H$24:$M$24,H970:M970)</f>
        <v/>
      </c>
      <c r="O970" s="14">
        <f>SQRT(SUMPRODUCT($H$24:$M$24,(H970:M970-N970)^2))</f>
        <v/>
      </c>
      <c r="P970" s="13">
        <f>MIN(H970:M970)</f>
        <v/>
      </c>
      <c r="Q970" s="13">
        <f>MAX(H970:M970)</f>
        <v/>
      </c>
      <c r="R970" s="27">
        <f>IF(G970,SUMPRODUCT(($G$76:$G$1505)*($N$76:$N$1505&gt;=N970)*($O$76:$O$1505&lt;=O970))=1,FALSE)</f>
        <v/>
      </c>
      <c r="S970" s="16">
        <f>IF(R970,ABS((O970-$AC$76)/MAX(0.0001,$AC$77-$AC$76)-(N970-$AC$78)/MAX(0.0001,$AC$79-$AC$78)),-1)</f>
        <v/>
      </c>
      <c r="T970" s="14">
        <f>IF(G970,O970,NA())</f>
        <v/>
      </c>
      <c r="U970" s="13">
        <f>IF(G970,N970,NA())</f>
        <v/>
      </c>
      <c r="V970" s="14">
        <f>IF(R970,O970,NA())</f>
        <v/>
      </c>
      <c r="W970" s="13">
        <f>IF(R970,N970,NA())</f>
        <v/>
      </c>
      <c r="X970" s="27">
        <f>IF(G970,P970,"")</f>
        <v/>
      </c>
      <c r="Y970" s="27">
        <f>IF(G970,N970,"")</f>
        <v/>
      </c>
      <c r="Z970" s="27">
        <f>IF(R970,O970,"")</f>
        <v/>
      </c>
      <c r="AA970" s="27">
        <f>IF(R970,N970,"")</f>
        <v/>
      </c>
    </row>
    <row r="971">
      <c r="A971" s="31" t="n">
        <v>0.3</v>
      </c>
      <c r="B971" s="31" t="n">
        <v>0.1</v>
      </c>
      <c r="C971" s="31" t="n">
        <v>0.5</v>
      </c>
      <c r="D971" s="31" t="n">
        <v>0.1</v>
      </c>
      <c r="E971" s="27" t="inlineStr">
        <is>
          <t>ON 30%/1M 10%/2M 50%/3M 10%</t>
        </is>
      </c>
      <c r="F971" s="27" t="n">
        <v>0</v>
      </c>
      <c r="G971" s="27">
        <f>A971*$B$7&gt;=$B$9</f>
        <v/>
      </c>
      <c r="H971" s="13">
        <f>$B$7*(A971*E$71+B971*F$71+C971*G$71+D971*H$71)+F971/100*$B$7*J$71-$C$71</f>
        <v/>
      </c>
      <c r="I971" s="13">
        <f>$B$7*(A971*L$71+B971*M$71+C971*N$71+D971*O$71)+F971/100*$B$7*Q$71-$C$71</f>
        <v/>
      </c>
      <c r="J971" s="13">
        <f>$B$7*(A971*S$71+B971*T$71+C971*U$71+D971*V$71)+F971/100*$B$7*X$71-$C$71</f>
        <v/>
      </c>
      <c r="K971" s="13">
        <f>$B$7*(A971*Z$71+B971*AA$71+C971*AB$71+D971*AC$71)+F971/100*$B$7*AE$71-$C$71</f>
        <v/>
      </c>
      <c r="L971" s="13">
        <f>$B$7*(A971*AG$71+B971*AH$71+C971*AI$71+D971*AJ$71)+F971/100*$B$7*AL$71-$C$71</f>
        <v/>
      </c>
      <c r="M971" s="13">
        <f>$B$7*(A971*AN$71+B971*AO$71+C971*AP$71+D971*AQ$71)+F971/100*$B$7*AS$71-$C$71</f>
        <v/>
      </c>
      <c r="N971" s="13">
        <f>SUMPRODUCT($H$24:$M$24,H971:M971)</f>
        <v/>
      </c>
      <c r="O971" s="14">
        <f>SQRT(SUMPRODUCT($H$24:$M$24,(H971:M971-N971)^2))</f>
        <v/>
      </c>
      <c r="P971" s="13">
        <f>MIN(H971:M971)</f>
        <v/>
      </c>
      <c r="Q971" s="13">
        <f>MAX(H971:M971)</f>
        <v/>
      </c>
      <c r="R971" s="27">
        <f>IF(G971,SUMPRODUCT(($G$76:$G$1505)*($N$76:$N$1505&gt;=N971)*($O$76:$O$1505&lt;=O971))=1,FALSE)</f>
        <v/>
      </c>
      <c r="S971" s="16">
        <f>IF(R971,ABS((O971-$AC$76)/MAX(0.0001,$AC$77-$AC$76)-(N971-$AC$78)/MAX(0.0001,$AC$79-$AC$78)),-1)</f>
        <v/>
      </c>
      <c r="T971" s="14">
        <f>IF(G971,O971,NA())</f>
        <v/>
      </c>
      <c r="U971" s="13">
        <f>IF(G971,N971,NA())</f>
        <v/>
      </c>
      <c r="V971" s="14">
        <f>IF(R971,O971,NA())</f>
        <v/>
      </c>
      <c r="W971" s="13">
        <f>IF(R971,N971,NA())</f>
        <v/>
      </c>
      <c r="X971" s="27">
        <f>IF(G971,P971,"")</f>
        <v/>
      </c>
      <c r="Y971" s="27">
        <f>IF(G971,N971,"")</f>
        <v/>
      </c>
      <c r="Z971" s="27">
        <f>IF(R971,O971,"")</f>
        <v/>
      </c>
      <c r="AA971" s="27">
        <f>IF(R971,N971,"")</f>
        <v/>
      </c>
    </row>
    <row r="972">
      <c r="A972" s="31" t="n">
        <v>0.3</v>
      </c>
      <c r="B972" s="31" t="n">
        <v>0.1</v>
      </c>
      <c r="C972" s="31" t="n">
        <v>0.5</v>
      </c>
      <c r="D972" s="31" t="n">
        <v>0.1</v>
      </c>
      <c r="E972" s="27" t="inlineStr">
        <is>
          <t>ON 30%/1M 10%/2M 50%/3M 10%</t>
        </is>
      </c>
      <c r="F972" s="27" t="n">
        <v>25</v>
      </c>
      <c r="G972" s="27">
        <f>A972*$B$7&gt;=$B$9</f>
        <v/>
      </c>
      <c r="H972" s="13">
        <f>$B$7*(A972*E$71+B972*F$71+C972*G$71+D972*H$71)+F972/100*$B$7*J$71-$C$71</f>
        <v/>
      </c>
      <c r="I972" s="13">
        <f>$B$7*(A972*L$71+B972*M$71+C972*N$71+D972*O$71)+F972/100*$B$7*Q$71-$C$71</f>
        <v/>
      </c>
      <c r="J972" s="13">
        <f>$B$7*(A972*S$71+B972*T$71+C972*U$71+D972*V$71)+F972/100*$B$7*X$71-$C$71</f>
        <v/>
      </c>
      <c r="K972" s="13">
        <f>$B$7*(A972*Z$71+B972*AA$71+C972*AB$71+D972*AC$71)+F972/100*$B$7*AE$71-$C$71</f>
        <v/>
      </c>
      <c r="L972" s="13">
        <f>$B$7*(A972*AG$71+B972*AH$71+C972*AI$71+D972*AJ$71)+F972/100*$B$7*AL$71-$C$71</f>
        <v/>
      </c>
      <c r="M972" s="13">
        <f>$B$7*(A972*AN$71+B972*AO$71+C972*AP$71+D972*AQ$71)+F972/100*$B$7*AS$71-$C$71</f>
        <v/>
      </c>
      <c r="N972" s="13">
        <f>SUMPRODUCT($H$24:$M$24,H972:M972)</f>
        <v/>
      </c>
      <c r="O972" s="14">
        <f>SQRT(SUMPRODUCT($H$24:$M$24,(H972:M972-N972)^2))</f>
        <v/>
      </c>
      <c r="P972" s="13">
        <f>MIN(H972:M972)</f>
        <v/>
      </c>
      <c r="Q972" s="13">
        <f>MAX(H972:M972)</f>
        <v/>
      </c>
      <c r="R972" s="27">
        <f>IF(G972,SUMPRODUCT(($G$76:$G$1505)*($N$76:$N$1505&gt;=N972)*($O$76:$O$1505&lt;=O972))=1,FALSE)</f>
        <v/>
      </c>
      <c r="S972" s="16">
        <f>IF(R972,ABS((O972-$AC$76)/MAX(0.0001,$AC$77-$AC$76)-(N972-$AC$78)/MAX(0.0001,$AC$79-$AC$78)),-1)</f>
        <v/>
      </c>
      <c r="T972" s="14">
        <f>IF(G972,O972,NA())</f>
        <v/>
      </c>
      <c r="U972" s="13">
        <f>IF(G972,N972,NA())</f>
        <v/>
      </c>
      <c r="V972" s="14">
        <f>IF(R972,O972,NA())</f>
        <v/>
      </c>
      <c r="W972" s="13">
        <f>IF(R972,N972,NA())</f>
        <v/>
      </c>
      <c r="X972" s="27">
        <f>IF(G972,P972,"")</f>
        <v/>
      </c>
      <c r="Y972" s="27">
        <f>IF(G972,N972,"")</f>
        <v/>
      </c>
      <c r="Z972" s="27">
        <f>IF(R972,O972,"")</f>
        <v/>
      </c>
      <c r="AA972" s="27">
        <f>IF(R972,N972,"")</f>
        <v/>
      </c>
    </row>
    <row r="973">
      <c r="A973" s="31" t="n">
        <v>0.3</v>
      </c>
      <c r="B973" s="31" t="n">
        <v>0.1</v>
      </c>
      <c r="C973" s="31" t="n">
        <v>0.5</v>
      </c>
      <c r="D973" s="31" t="n">
        <v>0.1</v>
      </c>
      <c r="E973" s="27" t="inlineStr">
        <is>
          <t>ON 30%/1M 10%/2M 50%/3M 10%</t>
        </is>
      </c>
      <c r="F973" s="27" t="n">
        <v>50</v>
      </c>
      <c r="G973" s="27">
        <f>A973*$B$7&gt;=$B$9</f>
        <v/>
      </c>
      <c r="H973" s="13">
        <f>$B$7*(A973*E$71+B973*F$71+C973*G$71+D973*H$71)+F973/100*$B$7*J$71-$C$71</f>
        <v/>
      </c>
      <c r="I973" s="13">
        <f>$B$7*(A973*L$71+B973*M$71+C973*N$71+D973*O$71)+F973/100*$B$7*Q$71-$C$71</f>
        <v/>
      </c>
      <c r="J973" s="13">
        <f>$B$7*(A973*S$71+B973*T$71+C973*U$71+D973*V$71)+F973/100*$B$7*X$71-$C$71</f>
        <v/>
      </c>
      <c r="K973" s="13">
        <f>$B$7*(A973*Z$71+B973*AA$71+C973*AB$71+D973*AC$71)+F973/100*$B$7*AE$71-$C$71</f>
        <v/>
      </c>
      <c r="L973" s="13">
        <f>$B$7*(A973*AG$71+B973*AH$71+C973*AI$71+D973*AJ$71)+F973/100*$B$7*AL$71-$C$71</f>
        <v/>
      </c>
      <c r="M973" s="13">
        <f>$B$7*(A973*AN$71+B973*AO$71+C973*AP$71+D973*AQ$71)+F973/100*$B$7*AS$71-$C$71</f>
        <v/>
      </c>
      <c r="N973" s="13">
        <f>SUMPRODUCT($H$24:$M$24,H973:M973)</f>
        <v/>
      </c>
      <c r="O973" s="14">
        <f>SQRT(SUMPRODUCT($H$24:$M$24,(H973:M973-N973)^2))</f>
        <v/>
      </c>
      <c r="P973" s="13">
        <f>MIN(H973:M973)</f>
        <v/>
      </c>
      <c r="Q973" s="13">
        <f>MAX(H973:M973)</f>
        <v/>
      </c>
      <c r="R973" s="27">
        <f>IF(G973,SUMPRODUCT(($G$76:$G$1505)*($N$76:$N$1505&gt;=N973)*($O$76:$O$1505&lt;=O973))=1,FALSE)</f>
        <v/>
      </c>
      <c r="S973" s="16">
        <f>IF(R973,ABS((O973-$AC$76)/MAX(0.0001,$AC$77-$AC$76)-(N973-$AC$78)/MAX(0.0001,$AC$79-$AC$78)),-1)</f>
        <v/>
      </c>
      <c r="T973" s="14">
        <f>IF(G973,O973,NA())</f>
        <v/>
      </c>
      <c r="U973" s="13">
        <f>IF(G973,N973,NA())</f>
        <v/>
      </c>
      <c r="V973" s="14">
        <f>IF(R973,O973,NA())</f>
        <v/>
      </c>
      <c r="W973" s="13">
        <f>IF(R973,N973,NA())</f>
        <v/>
      </c>
      <c r="X973" s="27">
        <f>IF(G973,P973,"")</f>
        <v/>
      </c>
      <c r="Y973" s="27">
        <f>IF(G973,N973,"")</f>
        <v/>
      </c>
      <c r="Z973" s="27">
        <f>IF(R973,O973,"")</f>
        <v/>
      </c>
      <c r="AA973" s="27">
        <f>IF(R973,N973,"")</f>
        <v/>
      </c>
    </row>
    <row r="974">
      <c r="A974" s="31" t="n">
        <v>0.3</v>
      </c>
      <c r="B974" s="31" t="n">
        <v>0.1</v>
      </c>
      <c r="C974" s="31" t="n">
        <v>0.5</v>
      </c>
      <c r="D974" s="31" t="n">
        <v>0.1</v>
      </c>
      <c r="E974" s="27" t="inlineStr">
        <is>
          <t>ON 30%/1M 10%/2M 50%/3M 10%</t>
        </is>
      </c>
      <c r="F974" s="27" t="n">
        <v>75</v>
      </c>
      <c r="G974" s="27">
        <f>A974*$B$7&gt;=$B$9</f>
        <v/>
      </c>
      <c r="H974" s="13">
        <f>$B$7*(A974*E$71+B974*F$71+C974*G$71+D974*H$71)+F974/100*$B$7*J$71-$C$71</f>
        <v/>
      </c>
      <c r="I974" s="13">
        <f>$B$7*(A974*L$71+B974*M$71+C974*N$71+D974*O$71)+F974/100*$B$7*Q$71-$C$71</f>
        <v/>
      </c>
      <c r="J974" s="13">
        <f>$B$7*(A974*S$71+B974*T$71+C974*U$71+D974*V$71)+F974/100*$B$7*X$71-$C$71</f>
        <v/>
      </c>
      <c r="K974" s="13">
        <f>$B$7*(A974*Z$71+B974*AA$71+C974*AB$71+D974*AC$71)+F974/100*$B$7*AE$71-$C$71</f>
        <v/>
      </c>
      <c r="L974" s="13">
        <f>$B$7*(A974*AG$71+B974*AH$71+C974*AI$71+D974*AJ$71)+F974/100*$B$7*AL$71-$C$71</f>
        <v/>
      </c>
      <c r="M974" s="13">
        <f>$B$7*(A974*AN$71+B974*AO$71+C974*AP$71+D974*AQ$71)+F974/100*$B$7*AS$71-$C$71</f>
        <v/>
      </c>
      <c r="N974" s="13">
        <f>SUMPRODUCT($H$24:$M$24,H974:M974)</f>
        <v/>
      </c>
      <c r="O974" s="14">
        <f>SQRT(SUMPRODUCT($H$24:$M$24,(H974:M974-N974)^2))</f>
        <v/>
      </c>
      <c r="P974" s="13">
        <f>MIN(H974:M974)</f>
        <v/>
      </c>
      <c r="Q974" s="13">
        <f>MAX(H974:M974)</f>
        <v/>
      </c>
      <c r="R974" s="27">
        <f>IF(G974,SUMPRODUCT(($G$76:$G$1505)*($N$76:$N$1505&gt;=N974)*($O$76:$O$1505&lt;=O974))=1,FALSE)</f>
        <v/>
      </c>
      <c r="S974" s="16">
        <f>IF(R974,ABS((O974-$AC$76)/MAX(0.0001,$AC$77-$AC$76)-(N974-$AC$78)/MAX(0.0001,$AC$79-$AC$78)),-1)</f>
        <v/>
      </c>
      <c r="T974" s="14">
        <f>IF(G974,O974,NA())</f>
        <v/>
      </c>
      <c r="U974" s="13">
        <f>IF(G974,N974,NA())</f>
        <v/>
      </c>
      <c r="V974" s="14">
        <f>IF(R974,O974,NA())</f>
        <v/>
      </c>
      <c r="W974" s="13">
        <f>IF(R974,N974,NA())</f>
        <v/>
      </c>
      <c r="X974" s="27">
        <f>IF(G974,P974,"")</f>
        <v/>
      </c>
      <c r="Y974" s="27">
        <f>IF(G974,N974,"")</f>
        <v/>
      </c>
      <c r="Z974" s="27">
        <f>IF(R974,O974,"")</f>
        <v/>
      </c>
      <c r="AA974" s="27">
        <f>IF(R974,N974,"")</f>
        <v/>
      </c>
    </row>
    <row r="975">
      <c r="A975" s="31" t="n">
        <v>0.3</v>
      </c>
      <c r="B975" s="31" t="n">
        <v>0.1</v>
      </c>
      <c r="C975" s="31" t="n">
        <v>0.5</v>
      </c>
      <c r="D975" s="31" t="n">
        <v>0.1</v>
      </c>
      <c r="E975" s="27" t="inlineStr">
        <is>
          <t>ON 30%/1M 10%/2M 50%/3M 10%</t>
        </is>
      </c>
      <c r="F975" s="27" t="n">
        <v>100</v>
      </c>
      <c r="G975" s="27">
        <f>A975*$B$7&gt;=$B$9</f>
        <v/>
      </c>
      <c r="H975" s="13">
        <f>$B$7*(A975*E$71+B975*F$71+C975*G$71+D975*H$71)+F975/100*$B$7*J$71-$C$71</f>
        <v/>
      </c>
      <c r="I975" s="13">
        <f>$B$7*(A975*L$71+B975*M$71+C975*N$71+D975*O$71)+F975/100*$B$7*Q$71-$C$71</f>
        <v/>
      </c>
      <c r="J975" s="13">
        <f>$B$7*(A975*S$71+B975*T$71+C975*U$71+D975*V$71)+F975/100*$B$7*X$71-$C$71</f>
        <v/>
      </c>
      <c r="K975" s="13">
        <f>$B$7*(A975*Z$71+B975*AA$71+C975*AB$71+D975*AC$71)+F975/100*$B$7*AE$71-$C$71</f>
        <v/>
      </c>
      <c r="L975" s="13">
        <f>$B$7*(A975*AG$71+B975*AH$71+C975*AI$71+D975*AJ$71)+F975/100*$B$7*AL$71-$C$71</f>
        <v/>
      </c>
      <c r="M975" s="13">
        <f>$B$7*(A975*AN$71+B975*AO$71+C975*AP$71+D975*AQ$71)+F975/100*$B$7*AS$71-$C$71</f>
        <v/>
      </c>
      <c r="N975" s="13">
        <f>SUMPRODUCT($H$24:$M$24,H975:M975)</f>
        <v/>
      </c>
      <c r="O975" s="14">
        <f>SQRT(SUMPRODUCT($H$24:$M$24,(H975:M975-N975)^2))</f>
        <v/>
      </c>
      <c r="P975" s="13">
        <f>MIN(H975:M975)</f>
        <v/>
      </c>
      <c r="Q975" s="13">
        <f>MAX(H975:M975)</f>
        <v/>
      </c>
      <c r="R975" s="27">
        <f>IF(G975,SUMPRODUCT(($G$76:$G$1505)*($N$76:$N$1505&gt;=N975)*($O$76:$O$1505&lt;=O975))=1,FALSE)</f>
        <v/>
      </c>
      <c r="S975" s="16">
        <f>IF(R975,ABS((O975-$AC$76)/MAX(0.0001,$AC$77-$AC$76)-(N975-$AC$78)/MAX(0.0001,$AC$79-$AC$78)),-1)</f>
        <v/>
      </c>
      <c r="T975" s="14">
        <f>IF(G975,O975,NA())</f>
        <v/>
      </c>
      <c r="U975" s="13">
        <f>IF(G975,N975,NA())</f>
        <v/>
      </c>
      <c r="V975" s="14">
        <f>IF(R975,O975,NA())</f>
        <v/>
      </c>
      <c r="W975" s="13">
        <f>IF(R975,N975,NA())</f>
        <v/>
      </c>
      <c r="X975" s="27">
        <f>IF(G975,P975,"")</f>
        <v/>
      </c>
      <c r="Y975" s="27">
        <f>IF(G975,N975,"")</f>
        <v/>
      </c>
      <c r="Z975" s="27">
        <f>IF(R975,O975,"")</f>
        <v/>
      </c>
      <c r="AA975" s="27">
        <f>IF(R975,N975,"")</f>
        <v/>
      </c>
    </row>
    <row r="976">
      <c r="A976" s="31" t="n">
        <v>0.3</v>
      </c>
      <c r="B976" s="31" t="n">
        <v>0.1</v>
      </c>
      <c r="C976" s="31" t="n">
        <v>0.6</v>
      </c>
      <c r="D976" s="31" t="n">
        <v>0</v>
      </c>
      <c r="E976" s="27" t="inlineStr">
        <is>
          <t>ON 30%/1M 10%/2M 60%</t>
        </is>
      </c>
      <c r="F976" s="27" t="n">
        <v>0</v>
      </c>
      <c r="G976" s="27">
        <f>A976*$B$7&gt;=$B$9</f>
        <v/>
      </c>
      <c r="H976" s="13">
        <f>$B$7*(A976*E$71+B976*F$71+C976*G$71+D976*H$71)+F976/100*$B$7*J$71-$C$71</f>
        <v/>
      </c>
      <c r="I976" s="13">
        <f>$B$7*(A976*L$71+B976*M$71+C976*N$71+D976*O$71)+F976/100*$B$7*Q$71-$C$71</f>
        <v/>
      </c>
      <c r="J976" s="13">
        <f>$B$7*(A976*S$71+B976*T$71+C976*U$71+D976*V$71)+F976/100*$B$7*X$71-$C$71</f>
        <v/>
      </c>
      <c r="K976" s="13">
        <f>$B$7*(A976*Z$71+B976*AA$71+C976*AB$71+D976*AC$71)+F976/100*$B$7*AE$71-$C$71</f>
        <v/>
      </c>
      <c r="L976" s="13">
        <f>$B$7*(A976*AG$71+B976*AH$71+C976*AI$71+D976*AJ$71)+F976/100*$B$7*AL$71-$C$71</f>
        <v/>
      </c>
      <c r="M976" s="13">
        <f>$B$7*(A976*AN$71+B976*AO$71+C976*AP$71+D976*AQ$71)+F976/100*$B$7*AS$71-$C$71</f>
        <v/>
      </c>
      <c r="N976" s="13">
        <f>SUMPRODUCT($H$24:$M$24,H976:M976)</f>
        <v/>
      </c>
      <c r="O976" s="14">
        <f>SQRT(SUMPRODUCT($H$24:$M$24,(H976:M976-N976)^2))</f>
        <v/>
      </c>
      <c r="P976" s="13">
        <f>MIN(H976:M976)</f>
        <v/>
      </c>
      <c r="Q976" s="13">
        <f>MAX(H976:M976)</f>
        <v/>
      </c>
      <c r="R976" s="27">
        <f>IF(G976,SUMPRODUCT(($G$76:$G$1505)*($N$76:$N$1505&gt;=N976)*($O$76:$O$1505&lt;=O976))=1,FALSE)</f>
        <v/>
      </c>
      <c r="S976" s="16">
        <f>IF(R976,ABS((O976-$AC$76)/MAX(0.0001,$AC$77-$AC$76)-(N976-$AC$78)/MAX(0.0001,$AC$79-$AC$78)),-1)</f>
        <v/>
      </c>
      <c r="T976" s="14">
        <f>IF(G976,O976,NA())</f>
        <v/>
      </c>
      <c r="U976" s="13">
        <f>IF(G976,N976,NA())</f>
        <v/>
      </c>
      <c r="V976" s="14">
        <f>IF(R976,O976,NA())</f>
        <v/>
      </c>
      <c r="W976" s="13">
        <f>IF(R976,N976,NA())</f>
        <v/>
      </c>
      <c r="X976" s="27">
        <f>IF(G976,P976,"")</f>
        <v/>
      </c>
      <c r="Y976" s="27">
        <f>IF(G976,N976,"")</f>
        <v/>
      </c>
      <c r="Z976" s="27">
        <f>IF(R976,O976,"")</f>
        <v/>
      </c>
      <c r="AA976" s="27">
        <f>IF(R976,N976,"")</f>
        <v/>
      </c>
    </row>
    <row r="977">
      <c r="A977" s="31" t="n">
        <v>0.3</v>
      </c>
      <c r="B977" s="31" t="n">
        <v>0.1</v>
      </c>
      <c r="C977" s="31" t="n">
        <v>0.6</v>
      </c>
      <c r="D977" s="31" t="n">
        <v>0</v>
      </c>
      <c r="E977" s="27" t="inlineStr">
        <is>
          <t>ON 30%/1M 10%/2M 60%</t>
        </is>
      </c>
      <c r="F977" s="27" t="n">
        <v>25</v>
      </c>
      <c r="G977" s="27">
        <f>A977*$B$7&gt;=$B$9</f>
        <v/>
      </c>
      <c r="H977" s="13">
        <f>$B$7*(A977*E$71+B977*F$71+C977*G$71+D977*H$71)+F977/100*$B$7*J$71-$C$71</f>
        <v/>
      </c>
      <c r="I977" s="13">
        <f>$B$7*(A977*L$71+B977*M$71+C977*N$71+D977*O$71)+F977/100*$B$7*Q$71-$C$71</f>
        <v/>
      </c>
      <c r="J977" s="13">
        <f>$B$7*(A977*S$71+B977*T$71+C977*U$71+D977*V$71)+F977/100*$B$7*X$71-$C$71</f>
        <v/>
      </c>
      <c r="K977" s="13">
        <f>$B$7*(A977*Z$71+B977*AA$71+C977*AB$71+D977*AC$71)+F977/100*$B$7*AE$71-$C$71</f>
        <v/>
      </c>
      <c r="L977" s="13">
        <f>$B$7*(A977*AG$71+B977*AH$71+C977*AI$71+D977*AJ$71)+F977/100*$B$7*AL$71-$C$71</f>
        <v/>
      </c>
      <c r="M977" s="13">
        <f>$B$7*(A977*AN$71+B977*AO$71+C977*AP$71+D977*AQ$71)+F977/100*$B$7*AS$71-$C$71</f>
        <v/>
      </c>
      <c r="N977" s="13">
        <f>SUMPRODUCT($H$24:$M$24,H977:M977)</f>
        <v/>
      </c>
      <c r="O977" s="14">
        <f>SQRT(SUMPRODUCT($H$24:$M$24,(H977:M977-N977)^2))</f>
        <v/>
      </c>
      <c r="P977" s="13">
        <f>MIN(H977:M977)</f>
        <v/>
      </c>
      <c r="Q977" s="13">
        <f>MAX(H977:M977)</f>
        <v/>
      </c>
      <c r="R977" s="27">
        <f>IF(G977,SUMPRODUCT(($G$76:$G$1505)*($N$76:$N$1505&gt;=N977)*($O$76:$O$1505&lt;=O977))=1,FALSE)</f>
        <v/>
      </c>
      <c r="S977" s="16">
        <f>IF(R977,ABS((O977-$AC$76)/MAX(0.0001,$AC$77-$AC$76)-(N977-$AC$78)/MAX(0.0001,$AC$79-$AC$78)),-1)</f>
        <v/>
      </c>
      <c r="T977" s="14">
        <f>IF(G977,O977,NA())</f>
        <v/>
      </c>
      <c r="U977" s="13">
        <f>IF(G977,N977,NA())</f>
        <v/>
      </c>
      <c r="V977" s="14">
        <f>IF(R977,O977,NA())</f>
        <v/>
      </c>
      <c r="W977" s="13">
        <f>IF(R977,N977,NA())</f>
        <v/>
      </c>
      <c r="X977" s="27">
        <f>IF(G977,P977,"")</f>
        <v/>
      </c>
      <c r="Y977" s="27">
        <f>IF(G977,N977,"")</f>
        <v/>
      </c>
      <c r="Z977" s="27">
        <f>IF(R977,O977,"")</f>
        <v/>
      </c>
      <c r="AA977" s="27">
        <f>IF(R977,N977,"")</f>
        <v/>
      </c>
    </row>
    <row r="978">
      <c r="A978" s="31" t="n">
        <v>0.3</v>
      </c>
      <c r="B978" s="31" t="n">
        <v>0.1</v>
      </c>
      <c r="C978" s="31" t="n">
        <v>0.6</v>
      </c>
      <c r="D978" s="31" t="n">
        <v>0</v>
      </c>
      <c r="E978" s="27" t="inlineStr">
        <is>
          <t>ON 30%/1M 10%/2M 60%</t>
        </is>
      </c>
      <c r="F978" s="27" t="n">
        <v>50</v>
      </c>
      <c r="G978" s="27">
        <f>A978*$B$7&gt;=$B$9</f>
        <v/>
      </c>
      <c r="H978" s="13">
        <f>$B$7*(A978*E$71+B978*F$71+C978*G$71+D978*H$71)+F978/100*$B$7*J$71-$C$71</f>
        <v/>
      </c>
      <c r="I978" s="13">
        <f>$B$7*(A978*L$71+B978*M$71+C978*N$71+D978*O$71)+F978/100*$B$7*Q$71-$C$71</f>
        <v/>
      </c>
      <c r="J978" s="13">
        <f>$B$7*(A978*S$71+B978*T$71+C978*U$71+D978*V$71)+F978/100*$B$7*X$71-$C$71</f>
        <v/>
      </c>
      <c r="K978" s="13">
        <f>$B$7*(A978*Z$71+B978*AA$71+C978*AB$71+D978*AC$71)+F978/100*$B$7*AE$71-$C$71</f>
        <v/>
      </c>
      <c r="L978" s="13">
        <f>$B$7*(A978*AG$71+B978*AH$71+C978*AI$71+D978*AJ$71)+F978/100*$B$7*AL$71-$C$71</f>
        <v/>
      </c>
      <c r="M978" s="13">
        <f>$B$7*(A978*AN$71+B978*AO$71+C978*AP$71+D978*AQ$71)+F978/100*$B$7*AS$71-$C$71</f>
        <v/>
      </c>
      <c r="N978" s="13">
        <f>SUMPRODUCT($H$24:$M$24,H978:M978)</f>
        <v/>
      </c>
      <c r="O978" s="14">
        <f>SQRT(SUMPRODUCT($H$24:$M$24,(H978:M978-N978)^2))</f>
        <v/>
      </c>
      <c r="P978" s="13">
        <f>MIN(H978:M978)</f>
        <v/>
      </c>
      <c r="Q978" s="13">
        <f>MAX(H978:M978)</f>
        <v/>
      </c>
      <c r="R978" s="27">
        <f>IF(G978,SUMPRODUCT(($G$76:$G$1505)*($N$76:$N$1505&gt;=N978)*($O$76:$O$1505&lt;=O978))=1,FALSE)</f>
        <v/>
      </c>
      <c r="S978" s="16">
        <f>IF(R978,ABS((O978-$AC$76)/MAX(0.0001,$AC$77-$AC$76)-(N978-$AC$78)/MAX(0.0001,$AC$79-$AC$78)),-1)</f>
        <v/>
      </c>
      <c r="T978" s="14">
        <f>IF(G978,O978,NA())</f>
        <v/>
      </c>
      <c r="U978" s="13">
        <f>IF(G978,N978,NA())</f>
        <v/>
      </c>
      <c r="V978" s="14">
        <f>IF(R978,O978,NA())</f>
        <v/>
      </c>
      <c r="W978" s="13">
        <f>IF(R978,N978,NA())</f>
        <v/>
      </c>
      <c r="X978" s="27">
        <f>IF(G978,P978,"")</f>
        <v/>
      </c>
      <c r="Y978" s="27">
        <f>IF(G978,N978,"")</f>
        <v/>
      </c>
      <c r="Z978" s="27">
        <f>IF(R978,O978,"")</f>
        <v/>
      </c>
      <c r="AA978" s="27">
        <f>IF(R978,N978,"")</f>
        <v/>
      </c>
    </row>
    <row r="979">
      <c r="A979" s="31" t="n">
        <v>0.3</v>
      </c>
      <c r="B979" s="31" t="n">
        <v>0.1</v>
      </c>
      <c r="C979" s="31" t="n">
        <v>0.6</v>
      </c>
      <c r="D979" s="31" t="n">
        <v>0</v>
      </c>
      <c r="E979" s="27" t="inlineStr">
        <is>
          <t>ON 30%/1M 10%/2M 60%</t>
        </is>
      </c>
      <c r="F979" s="27" t="n">
        <v>75</v>
      </c>
      <c r="G979" s="27">
        <f>A979*$B$7&gt;=$B$9</f>
        <v/>
      </c>
      <c r="H979" s="13">
        <f>$B$7*(A979*E$71+B979*F$71+C979*G$71+D979*H$71)+F979/100*$B$7*J$71-$C$71</f>
        <v/>
      </c>
      <c r="I979" s="13">
        <f>$B$7*(A979*L$71+B979*M$71+C979*N$71+D979*O$71)+F979/100*$B$7*Q$71-$C$71</f>
        <v/>
      </c>
      <c r="J979" s="13">
        <f>$B$7*(A979*S$71+B979*T$71+C979*U$71+D979*V$71)+F979/100*$B$7*X$71-$C$71</f>
        <v/>
      </c>
      <c r="K979" s="13">
        <f>$B$7*(A979*Z$71+B979*AA$71+C979*AB$71+D979*AC$71)+F979/100*$B$7*AE$71-$C$71</f>
        <v/>
      </c>
      <c r="L979" s="13">
        <f>$B$7*(A979*AG$71+B979*AH$71+C979*AI$71+D979*AJ$71)+F979/100*$B$7*AL$71-$C$71</f>
        <v/>
      </c>
      <c r="M979" s="13">
        <f>$B$7*(A979*AN$71+B979*AO$71+C979*AP$71+D979*AQ$71)+F979/100*$B$7*AS$71-$C$71</f>
        <v/>
      </c>
      <c r="N979" s="13">
        <f>SUMPRODUCT($H$24:$M$24,H979:M979)</f>
        <v/>
      </c>
      <c r="O979" s="14">
        <f>SQRT(SUMPRODUCT($H$24:$M$24,(H979:M979-N979)^2))</f>
        <v/>
      </c>
      <c r="P979" s="13">
        <f>MIN(H979:M979)</f>
        <v/>
      </c>
      <c r="Q979" s="13">
        <f>MAX(H979:M979)</f>
        <v/>
      </c>
      <c r="R979" s="27">
        <f>IF(G979,SUMPRODUCT(($G$76:$G$1505)*($N$76:$N$1505&gt;=N979)*($O$76:$O$1505&lt;=O979))=1,FALSE)</f>
        <v/>
      </c>
      <c r="S979" s="16">
        <f>IF(R979,ABS((O979-$AC$76)/MAX(0.0001,$AC$77-$AC$76)-(N979-$AC$78)/MAX(0.0001,$AC$79-$AC$78)),-1)</f>
        <v/>
      </c>
      <c r="T979" s="14">
        <f>IF(G979,O979,NA())</f>
        <v/>
      </c>
      <c r="U979" s="13">
        <f>IF(G979,N979,NA())</f>
        <v/>
      </c>
      <c r="V979" s="14">
        <f>IF(R979,O979,NA())</f>
        <v/>
      </c>
      <c r="W979" s="13">
        <f>IF(R979,N979,NA())</f>
        <v/>
      </c>
      <c r="X979" s="27">
        <f>IF(G979,P979,"")</f>
        <v/>
      </c>
      <c r="Y979" s="27">
        <f>IF(G979,N979,"")</f>
        <v/>
      </c>
      <c r="Z979" s="27">
        <f>IF(R979,O979,"")</f>
        <v/>
      </c>
      <c r="AA979" s="27">
        <f>IF(R979,N979,"")</f>
        <v/>
      </c>
    </row>
    <row r="980">
      <c r="A980" s="31" t="n">
        <v>0.3</v>
      </c>
      <c r="B980" s="31" t="n">
        <v>0.1</v>
      </c>
      <c r="C980" s="31" t="n">
        <v>0.6</v>
      </c>
      <c r="D980" s="31" t="n">
        <v>0</v>
      </c>
      <c r="E980" s="27" t="inlineStr">
        <is>
          <t>ON 30%/1M 10%/2M 60%</t>
        </is>
      </c>
      <c r="F980" s="27" t="n">
        <v>100</v>
      </c>
      <c r="G980" s="27">
        <f>A980*$B$7&gt;=$B$9</f>
        <v/>
      </c>
      <c r="H980" s="13">
        <f>$B$7*(A980*E$71+B980*F$71+C980*G$71+D980*H$71)+F980/100*$B$7*J$71-$C$71</f>
        <v/>
      </c>
      <c r="I980" s="13">
        <f>$B$7*(A980*L$71+B980*M$71+C980*N$71+D980*O$71)+F980/100*$B$7*Q$71-$C$71</f>
        <v/>
      </c>
      <c r="J980" s="13">
        <f>$B$7*(A980*S$71+B980*T$71+C980*U$71+D980*V$71)+F980/100*$B$7*X$71-$C$71</f>
        <v/>
      </c>
      <c r="K980" s="13">
        <f>$B$7*(A980*Z$71+B980*AA$71+C980*AB$71+D980*AC$71)+F980/100*$B$7*AE$71-$C$71</f>
        <v/>
      </c>
      <c r="L980" s="13">
        <f>$B$7*(A980*AG$71+B980*AH$71+C980*AI$71+D980*AJ$71)+F980/100*$B$7*AL$71-$C$71</f>
        <v/>
      </c>
      <c r="M980" s="13">
        <f>$B$7*(A980*AN$71+B980*AO$71+C980*AP$71+D980*AQ$71)+F980/100*$B$7*AS$71-$C$71</f>
        <v/>
      </c>
      <c r="N980" s="13">
        <f>SUMPRODUCT($H$24:$M$24,H980:M980)</f>
        <v/>
      </c>
      <c r="O980" s="14">
        <f>SQRT(SUMPRODUCT($H$24:$M$24,(H980:M980-N980)^2))</f>
        <v/>
      </c>
      <c r="P980" s="13">
        <f>MIN(H980:M980)</f>
        <v/>
      </c>
      <c r="Q980" s="13">
        <f>MAX(H980:M980)</f>
        <v/>
      </c>
      <c r="R980" s="27">
        <f>IF(G980,SUMPRODUCT(($G$76:$G$1505)*($N$76:$N$1505&gt;=N980)*($O$76:$O$1505&lt;=O980))=1,FALSE)</f>
        <v/>
      </c>
      <c r="S980" s="16">
        <f>IF(R980,ABS((O980-$AC$76)/MAX(0.0001,$AC$77-$AC$76)-(N980-$AC$78)/MAX(0.0001,$AC$79-$AC$78)),-1)</f>
        <v/>
      </c>
      <c r="T980" s="14">
        <f>IF(G980,O980,NA())</f>
        <v/>
      </c>
      <c r="U980" s="13">
        <f>IF(G980,N980,NA())</f>
        <v/>
      </c>
      <c r="V980" s="14">
        <f>IF(R980,O980,NA())</f>
        <v/>
      </c>
      <c r="W980" s="13">
        <f>IF(R980,N980,NA())</f>
        <v/>
      </c>
      <c r="X980" s="27">
        <f>IF(G980,P980,"")</f>
        <v/>
      </c>
      <c r="Y980" s="27">
        <f>IF(G980,N980,"")</f>
        <v/>
      </c>
      <c r="Z980" s="27">
        <f>IF(R980,O980,"")</f>
        <v/>
      </c>
      <c r="AA980" s="27">
        <f>IF(R980,N980,"")</f>
        <v/>
      </c>
    </row>
    <row r="981">
      <c r="A981" s="31" t="n">
        <v>0.3</v>
      </c>
      <c r="B981" s="31" t="n">
        <v>0.2</v>
      </c>
      <c r="C981" s="31" t="n">
        <v>0</v>
      </c>
      <c r="D981" s="31" t="n">
        <v>0.5</v>
      </c>
      <c r="E981" s="27" t="inlineStr">
        <is>
          <t>ON 30%/1M 20%/3M 50%</t>
        </is>
      </c>
      <c r="F981" s="27" t="n">
        <v>0</v>
      </c>
      <c r="G981" s="27">
        <f>A981*$B$7&gt;=$B$9</f>
        <v/>
      </c>
      <c r="H981" s="13">
        <f>$B$7*(A981*E$71+B981*F$71+C981*G$71+D981*H$71)+F981/100*$B$7*J$71-$C$71</f>
        <v/>
      </c>
      <c r="I981" s="13">
        <f>$B$7*(A981*L$71+B981*M$71+C981*N$71+D981*O$71)+F981/100*$B$7*Q$71-$C$71</f>
        <v/>
      </c>
      <c r="J981" s="13">
        <f>$B$7*(A981*S$71+B981*T$71+C981*U$71+D981*V$71)+F981/100*$B$7*X$71-$C$71</f>
        <v/>
      </c>
      <c r="K981" s="13">
        <f>$B$7*(A981*Z$71+B981*AA$71+C981*AB$71+D981*AC$71)+F981/100*$B$7*AE$71-$C$71</f>
        <v/>
      </c>
      <c r="L981" s="13">
        <f>$B$7*(A981*AG$71+B981*AH$71+C981*AI$71+D981*AJ$71)+F981/100*$B$7*AL$71-$C$71</f>
        <v/>
      </c>
      <c r="M981" s="13">
        <f>$B$7*(A981*AN$71+B981*AO$71+C981*AP$71+D981*AQ$71)+F981/100*$B$7*AS$71-$C$71</f>
        <v/>
      </c>
      <c r="N981" s="13">
        <f>SUMPRODUCT($H$24:$M$24,H981:M981)</f>
        <v/>
      </c>
      <c r="O981" s="14">
        <f>SQRT(SUMPRODUCT($H$24:$M$24,(H981:M981-N981)^2))</f>
        <v/>
      </c>
      <c r="P981" s="13">
        <f>MIN(H981:M981)</f>
        <v/>
      </c>
      <c r="Q981" s="13">
        <f>MAX(H981:M981)</f>
        <v/>
      </c>
      <c r="R981" s="27">
        <f>IF(G981,SUMPRODUCT(($G$76:$G$1505)*($N$76:$N$1505&gt;=N981)*($O$76:$O$1505&lt;=O981))=1,FALSE)</f>
        <v/>
      </c>
      <c r="S981" s="16">
        <f>IF(R981,ABS((O981-$AC$76)/MAX(0.0001,$AC$77-$AC$76)-(N981-$AC$78)/MAX(0.0001,$AC$79-$AC$78)),-1)</f>
        <v/>
      </c>
      <c r="T981" s="14">
        <f>IF(G981,O981,NA())</f>
        <v/>
      </c>
      <c r="U981" s="13">
        <f>IF(G981,N981,NA())</f>
        <v/>
      </c>
      <c r="V981" s="14">
        <f>IF(R981,O981,NA())</f>
        <v/>
      </c>
      <c r="W981" s="13">
        <f>IF(R981,N981,NA())</f>
        <v/>
      </c>
      <c r="X981" s="27">
        <f>IF(G981,P981,"")</f>
        <v/>
      </c>
      <c r="Y981" s="27">
        <f>IF(G981,N981,"")</f>
        <v/>
      </c>
      <c r="Z981" s="27">
        <f>IF(R981,O981,"")</f>
        <v/>
      </c>
      <c r="AA981" s="27">
        <f>IF(R981,N981,"")</f>
        <v/>
      </c>
    </row>
    <row r="982">
      <c r="A982" s="31" t="n">
        <v>0.3</v>
      </c>
      <c r="B982" s="31" t="n">
        <v>0.2</v>
      </c>
      <c r="C982" s="31" t="n">
        <v>0</v>
      </c>
      <c r="D982" s="31" t="n">
        <v>0.5</v>
      </c>
      <c r="E982" s="27" t="inlineStr">
        <is>
          <t>ON 30%/1M 20%/3M 50%</t>
        </is>
      </c>
      <c r="F982" s="27" t="n">
        <v>25</v>
      </c>
      <c r="G982" s="27">
        <f>A982*$B$7&gt;=$B$9</f>
        <v/>
      </c>
      <c r="H982" s="13">
        <f>$B$7*(A982*E$71+B982*F$71+C982*G$71+D982*H$71)+F982/100*$B$7*J$71-$C$71</f>
        <v/>
      </c>
      <c r="I982" s="13">
        <f>$B$7*(A982*L$71+B982*M$71+C982*N$71+D982*O$71)+F982/100*$B$7*Q$71-$C$71</f>
        <v/>
      </c>
      <c r="J982" s="13">
        <f>$B$7*(A982*S$71+B982*T$71+C982*U$71+D982*V$71)+F982/100*$B$7*X$71-$C$71</f>
        <v/>
      </c>
      <c r="K982" s="13">
        <f>$B$7*(A982*Z$71+B982*AA$71+C982*AB$71+D982*AC$71)+F982/100*$B$7*AE$71-$C$71</f>
        <v/>
      </c>
      <c r="L982" s="13">
        <f>$B$7*(A982*AG$71+B982*AH$71+C982*AI$71+D982*AJ$71)+F982/100*$B$7*AL$71-$C$71</f>
        <v/>
      </c>
      <c r="M982" s="13">
        <f>$B$7*(A982*AN$71+B982*AO$71+C982*AP$71+D982*AQ$71)+F982/100*$B$7*AS$71-$C$71</f>
        <v/>
      </c>
      <c r="N982" s="13">
        <f>SUMPRODUCT($H$24:$M$24,H982:M982)</f>
        <v/>
      </c>
      <c r="O982" s="14">
        <f>SQRT(SUMPRODUCT($H$24:$M$24,(H982:M982-N982)^2))</f>
        <v/>
      </c>
      <c r="P982" s="13">
        <f>MIN(H982:M982)</f>
        <v/>
      </c>
      <c r="Q982" s="13">
        <f>MAX(H982:M982)</f>
        <v/>
      </c>
      <c r="R982" s="27">
        <f>IF(G982,SUMPRODUCT(($G$76:$G$1505)*($N$76:$N$1505&gt;=N982)*($O$76:$O$1505&lt;=O982))=1,FALSE)</f>
        <v/>
      </c>
      <c r="S982" s="16">
        <f>IF(R982,ABS((O982-$AC$76)/MAX(0.0001,$AC$77-$AC$76)-(N982-$AC$78)/MAX(0.0001,$AC$79-$AC$78)),-1)</f>
        <v/>
      </c>
      <c r="T982" s="14">
        <f>IF(G982,O982,NA())</f>
        <v/>
      </c>
      <c r="U982" s="13">
        <f>IF(G982,N982,NA())</f>
        <v/>
      </c>
      <c r="V982" s="14">
        <f>IF(R982,O982,NA())</f>
        <v/>
      </c>
      <c r="W982" s="13">
        <f>IF(R982,N982,NA())</f>
        <v/>
      </c>
      <c r="X982" s="27">
        <f>IF(G982,P982,"")</f>
        <v/>
      </c>
      <c r="Y982" s="27">
        <f>IF(G982,N982,"")</f>
        <v/>
      </c>
      <c r="Z982" s="27">
        <f>IF(R982,O982,"")</f>
        <v/>
      </c>
      <c r="AA982" s="27">
        <f>IF(R982,N982,"")</f>
        <v/>
      </c>
    </row>
    <row r="983">
      <c r="A983" s="31" t="n">
        <v>0.3</v>
      </c>
      <c r="B983" s="31" t="n">
        <v>0.2</v>
      </c>
      <c r="C983" s="31" t="n">
        <v>0</v>
      </c>
      <c r="D983" s="31" t="n">
        <v>0.5</v>
      </c>
      <c r="E983" s="27" t="inlineStr">
        <is>
          <t>ON 30%/1M 20%/3M 50%</t>
        </is>
      </c>
      <c r="F983" s="27" t="n">
        <v>50</v>
      </c>
      <c r="G983" s="27">
        <f>A983*$B$7&gt;=$B$9</f>
        <v/>
      </c>
      <c r="H983" s="13">
        <f>$B$7*(A983*E$71+B983*F$71+C983*G$71+D983*H$71)+F983/100*$B$7*J$71-$C$71</f>
        <v/>
      </c>
      <c r="I983" s="13">
        <f>$B$7*(A983*L$71+B983*M$71+C983*N$71+D983*O$71)+F983/100*$B$7*Q$71-$C$71</f>
        <v/>
      </c>
      <c r="J983" s="13">
        <f>$B$7*(A983*S$71+B983*T$71+C983*U$71+D983*V$71)+F983/100*$B$7*X$71-$C$71</f>
        <v/>
      </c>
      <c r="K983" s="13">
        <f>$B$7*(A983*Z$71+B983*AA$71+C983*AB$71+D983*AC$71)+F983/100*$B$7*AE$71-$C$71</f>
        <v/>
      </c>
      <c r="L983" s="13">
        <f>$B$7*(A983*AG$71+B983*AH$71+C983*AI$71+D983*AJ$71)+F983/100*$B$7*AL$71-$C$71</f>
        <v/>
      </c>
      <c r="M983" s="13">
        <f>$B$7*(A983*AN$71+B983*AO$71+C983*AP$71+D983*AQ$71)+F983/100*$B$7*AS$71-$C$71</f>
        <v/>
      </c>
      <c r="N983" s="13">
        <f>SUMPRODUCT($H$24:$M$24,H983:M983)</f>
        <v/>
      </c>
      <c r="O983" s="14">
        <f>SQRT(SUMPRODUCT($H$24:$M$24,(H983:M983-N983)^2))</f>
        <v/>
      </c>
      <c r="P983" s="13">
        <f>MIN(H983:M983)</f>
        <v/>
      </c>
      <c r="Q983" s="13">
        <f>MAX(H983:M983)</f>
        <v/>
      </c>
      <c r="R983" s="27">
        <f>IF(G983,SUMPRODUCT(($G$76:$G$1505)*($N$76:$N$1505&gt;=N983)*($O$76:$O$1505&lt;=O983))=1,FALSE)</f>
        <v/>
      </c>
      <c r="S983" s="16">
        <f>IF(R983,ABS((O983-$AC$76)/MAX(0.0001,$AC$77-$AC$76)-(N983-$AC$78)/MAX(0.0001,$AC$79-$AC$78)),-1)</f>
        <v/>
      </c>
      <c r="T983" s="14">
        <f>IF(G983,O983,NA())</f>
        <v/>
      </c>
      <c r="U983" s="13">
        <f>IF(G983,N983,NA())</f>
        <v/>
      </c>
      <c r="V983" s="14">
        <f>IF(R983,O983,NA())</f>
        <v/>
      </c>
      <c r="W983" s="13">
        <f>IF(R983,N983,NA())</f>
        <v/>
      </c>
      <c r="X983" s="27">
        <f>IF(G983,P983,"")</f>
        <v/>
      </c>
      <c r="Y983" s="27">
        <f>IF(G983,N983,"")</f>
        <v/>
      </c>
      <c r="Z983" s="27">
        <f>IF(R983,O983,"")</f>
        <v/>
      </c>
      <c r="AA983" s="27">
        <f>IF(R983,N983,"")</f>
        <v/>
      </c>
    </row>
    <row r="984">
      <c r="A984" s="31" t="n">
        <v>0.3</v>
      </c>
      <c r="B984" s="31" t="n">
        <v>0.2</v>
      </c>
      <c r="C984" s="31" t="n">
        <v>0</v>
      </c>
      <c r="D984" s="31" t="n">
        <v>0.5</v>
      </c>
      <c r="E984" s="27" t="inlineStr">
        <is>
          <t>ON 30%/1M 20%/3M 50%</t>
        </is>
      </c>
      <c r="F984" s="27" t="n">
        <v>75</v>
      </c>
      <c r="G984" s="27">
        <f>A984*$B$7&gt;=$B$9</f>
        <v/>
      </c>
      <c r="H984" s="13">
        <f>$B$7*(A984*E$71+B984*F$71+C984*G$71+D984*H$71)+F984/100*$B$7*J$71-$C$71</f>
        <v/>
      </c>
      <c r="I984" s="13">
        <f>$B$7*(A984*L$71+B984*M$71+C984*N$71+D984*O$71)+F984/100*$B$7*Q$71-$C$71</f>
        <v/>
      </c>
      <c r="J984" s="13">
        <f>$B$7*(A984*S$71+B984*T$71+C984*U$71+D984*V$71)+F984/100*$B$7*X$71-$C$71</f>
        <v/>
      </c>
      <c r="K984" s="13">
        <f>$B$7*(A984*Z$71+B984*AA$71+C984*AB$71+D984*AC$71)+F984/100*$B$7*AE$71-$C$71</f>
        <v/>
      </c>
      <c r="L984" s="13">
        <f>$B$7*(A984*AG$71+B984*AH$71+C984*AI$71+D984*AJ$71)+F984/100*$B$7*AL$71-$C$71</f>
        <v/>
      </c>
      <c r="M984" s="13">
        <f>$B$7*(A984*AN$71+B984*AO$71+C984*AP$71+D984*AQ$71)+F984/100*$B$7*AS$71-$C$71</f>
        <v/>
      </c>
      <c r="N984" s="13">
        <f>SUMPRODUCT($H$24:$M$24,H984:M984)</f>
        <v/>
      </c>
      <c r="O984" s="14">
        <f>SQRT(SUMPRODUCT($H$24:$M$24,(H984:M984-N984)^2))</f>
        <v/>
      </c>
      <c r="P984" s="13">
        <f>MIN(H984:M984)</f>
        <v/>
      </c>
      <c r="Q984" s="13">
        <f>MAX(H984:M984)</f>
        <v/>
      </c>
      <c r="R984" s="27">
        <f>IF(G984,SUMPRODUCT(($G$76:$G$1505)*($N$76:$N$1505&gt;=N984)*($O$76:$O$1505&lt;=O984))=1,FALSE)</f>
        <v/>
      </c>
      <c r="S984" s="16">
        <f>IF(R984,ABS((O984-$AC$76)/MAX(0.0001,$AC$77-$AC$76)-(N984-$AC$78)/MAX(0.0001,$AC$79-$AC$78)),-1)</f>
        <v/>
      </c>
      <c r="T984" s="14">
        <f>IF(G984,O984,NA())</f>
        <v/>
      </c>
      <c r="U984" s="13">
        <f>IF(G984,N984,NA())</f>
        <v/>
      </c>
      <c r="V984" s="14">
        <f>IF(R984,O984,NA())</f>
        <v/>
      </c>
      <c r="W984" s="13">
        <f>IF(R984,N984,NA())</f>
        <v/>
      </c>
      <c r="X984" s="27">
        <f>IF(G984,P984,"")</f>
        <v/>
      </c>
      <c r="Y984" s="27">
        <f>IF(G984,N984,"")</f>
        <v/>
      </c>
      <c r="Z984" s="27">
        <f>IF(R984,O984,"")</f>
        <v/>
      </c>
      <c r="AA984" s="27">
        <f>IF(R984,N984,"")</f>
        <v/>
      </c>
    </row>
    <row r="985">
      <c r="A985" s="31" t="n">
        <v>0.3</v>
      </c>
      <c r="B985" s="31" t="n">
        <v>0.2</v>
      </c>
      <c r="C985" s="31" t="n">
        <v>0</v>
      </c>
      <c r="D985" s="31" t="n">
        <v>0.5</v>
      </c>
      <c r="E985" s="27" t="inlineStr">
        <is>
          <t>ON 30%/1M 20%/3M 50%</t>
        </is>
      </c>
      <c r="F985" s="27" t="n">
        <v>100</v>
      </c>
      <c r="G985" s="27">
        <f>A985*$B$7&gt;=$B$9</f>
        <v/>
      </c>
      <c r="H985" s="13">
        <f>$B$7*(A985*E$71+B985*F$71+C985*G$71+D985*H$71)+F985/100*$B$7*J$71-$C$71</f>
        <v/>
      </c>
      <c r="I985" s="13">
        <f>$B$7*(A985*L$71+B985*M$71+C985*N$71+D985*O$71)+F985/100*$B$7*Q$71-$C$71</f>
        <v/>
      </c>
      <c r="J985" s="13">
        <f>$B$7*(A985*S$71+B985*T$71+C985*U$71+D985*V$71)+F985/100*$B$7*X$71-$C$71</f>
        <v/>
      </c>
      <c r="K985" s="13">
        <f>$B$7*(A985*Z$71+B985*AA$71+C985*AB$71+D985*AC$71)+F985/100*$B$7*AE$71-$C$71</f>
        <v/>
      </c>
      <c r="L985" s="13">
        <f>$B$7*(A985*AG$71+B985*AH$71+C985*AI$71+D985*AJ$71)+F985/100*$B$7*AL$71-$C$71</f>
        <v/>
      </c>
      <c r="M985" s="13">
        <f>$B$7*(A985*AN$71+B985*AO$71+C985*AP$71+D985*AQ$71)+F985/100*$B$7*AS$71-$C$71</f>
        <v/>
      </c>
      <c r="N985" s="13">
        <f>SUMPRODUCT($H$24:$M$24,H985:M985)</f>
        <v/>
      </c>
      <c r="O985" s="14">
        <f>SQRT(SUMPRODUCT($H$24:$M$24,(H985:M985-N985)^2))</f>
        <v/>
      </c>
      <c r="P985" s="13">
        <f>MIN(H985:M985)</f>
        <v/>
      </c>
      <c r="Q985" s="13">
        <f>MAX(H985:M985)</f>
        <v/>
      </c>
      <c r="R985" s="27">
        <f>IF(G985,SUMPRODUCT(($G$76:$G$1505)*($N$76:$N$1505&gt;=N985)*($O$76:$O$1505&lt;=O985))=1,FALSE)</f>
        <v/>
      </c>
      <c r="S985" s="16">
        <f>IF(R985,ABS((O985-$AC$76)/MAX(0.0001,$AC$77-$AC$76)-(N985-$AC$78)/MAX(0.0001,$AC$79-$AC$78)),-1)</f>
        <v/>
      </c>
      <c r="T985" s="14">
        <f>IF(G985,O985,NA())</f>
        <v/>
      </c>
      <c r="U985" s="13">
        <f>IF(G985,N985,NA())</f>
        <v/>
      </c>
      <c r="V985" s="14">
        <f>IF(R985,O985,NA())</f>
        <v/>
      </c>
      <c r="W985" s="13">
        <f>IF(R985,N985,NA())</f>
        <v/>
      </c>
      <c r="X985" s="27">
        <f>IF(G985,P985,"")</f>
        <v/>
      </c>
      <c r="Y985" s="27">
        <f>IF(G985,N985,"")</f>
        <v/>
      </c>
      <c r="Z985" s="27">
        <f>IF(R985,O985,"")</f>
        <v/>
      </c>
      <c r="AA985" s="27">
        <f>IF(R985,N985,"")</f>
        <v/>
      </c>
    </row>
    <row r="986">
      <c r="A986" s="31" t="n">
        <v>0.3</v>
      </c>
      <c r="B986" s="31" t="n">
        <v>0.2</v>
      </c>
      <c r="C986" s="31" t="n">
        <v>0.1</v>
      </c>
      <c r="D986" s="31" t="n">
        <v>0.4</v>
      </c>
      <c r="E986" s="27" t="inlineStr">
        <is>
          <t>ON 30%/1M 20%/2M 10%/3M 40%</t>
        </is>
      </c>
      <c r="F986" s="27" t="n">
        <v>0</v>
      </c>
      <c r="G986" s="27">
        <f>A986*$B$7&gt;=$B$9</f>
        <v/>
      </c>
      <c r="H986" s="13">
        <f>$B$7*(A986*E$71+B986*F$71+C986*G$71+D986*H$71)+F986/100*$B$7*J$71-$C$71</f>
        <v/>
      </c>
      <c r="I986" s="13">
        <f>$B$7*(A986*L$71+B986*M$71+C986*N$71+D986*O$71)+F986/100*$B$7*Q$71-$C$71</f>
        <v/>
      </c>
      <c r="J986" s="13">
        <f>$B$7*(A986*S$71+B986*T$71+C986*U$71+D986*V$71)+F986/100*$B$7*X$71-$C$71</f>
        <v/>
      </c>
      <c r="K986" s="13">
        <f>$B$7*(A986*Z$71+B986*AA$71+C986*AB$71+D986*AC$71)+F986/100*$B$7*AE$71-$C$71</f>
        <v/>
      </c>
      <c r="L986" s="13">
        <f>$B$7*(A986*AG$71+B986*AH$71+C986*AI$71+D986*AJ$71)+F986/100*$B$7*AL$71-$C$71</f>
        <v/>
      </c>
      <c r="M986" s="13">
        <f>$B$7*(A986*AN$71+B986*AO$71+C986*AP$71+D986*AQ$71)+F986/100*$B$7*AS$71-$C$71</f>
        <v/>
      </c>
      <c r="N986" s="13">
        <f>SUMPRODUCT($H$24:$M$24,H986:M986)</f>
        <v/>
      </c>
      <c r="O986" s="14">
        <f>SQRT(SUMPRODUCT($H$24:$M$24,(H986:M986-N986)^2))</f>
        <v/>
      </c>
      <c r="P986" s="13">
        <f>MIN(H986:M986)</f>
        <v/>
      </c>
      <c r="Q986" s="13">
        <f>MAX(H986:M986)</f>
        <v/>
      </c>
      <c r="R986" s="27">
        <f>IF(G986,SUMPRODUCT(($G$76:$G$1505)*($N$76:$N$1505&gt;=N986)*($O$76:$O$1505&lt;=O986))=1,FALSE)</f>
        <v/>
      </c>
      <c r="S986" s="16">
        <f>IF(R986,ABS((O986-$AC$76)/MAX(0.0001,$AC$77-$AC$76)-(N986-$AC$78)/MAX(0.0001,$AC$79-$AC$78)),-1)</f>
        <v/>
      </c>
      <c r="T986" s="14">
        <f>IF(G986,O986,NA())</f>
        <v/>
      </c>
      <c r="U986" s="13">
        <f>IF(G986,N986,NA())</f>
        <v/>
      </c>
      <c r="V986" s="14">
        <f>IF(R986,O986,NA())</f>
        <v/>
      </c>
      <c r="W986" s="13">
        <f>IF(R986,N986,NA())</f>
        <v/>
      </c>
      <c r="X986" s="27">
        <f>IF(G986,P986,"")</f>
        <v/>
      </c>
      <c r="Y986" s="27">
        <f>IF(G986,N986,"")</f>
        <v/>
      </c>
      <c r="Z986" s="27">
        <f>IF(R986,O986,"")</f>
        <v/>
      </c>
      <c r="AA986" s="27">
        <f>IF(R986,N986,"")</f>
        <v/>
      </c>
    </row>
    <row r="987">
      <c r="A987" s="31" t="n">
        <v>0.3</v>
      </c>
      <c r="B987" s="31" t="n">
        <v>0.2</v>
      </c>
      <c r="C987" s="31" t="n">
        <v>0.1</v>
      </c>
      <c r="D987" s="31" t="n">
        <v>0.4</v>
      </c>
      <c r="E987" s="27" t="inlineStr">
        <is>
          <t>ON 30%/1M 20%/2M 10%/3M 40%</t>
        </is>
      </c>
      <c r="F987" s="27" t="n">
        <v>25</v>
      </c>
      <c r="G987" s="27">
        <f>A987*$B$7&gt;=$B$9</f>
        <v/>
      </c>
      <c r="H987" s="13">
        <f>$B$7*(A987*E$71+B987*F$71+C987*G$71+D987*H$71)+F987/100*$B$7*J$71-$C$71</f>
        <v/>
      </c>
      <c r="I987" s="13">
        <f>$B$7*(A987*L$71+B987*M$71+C987*N$71+D987*O$71)+F987/100*$B$7*Q$71-$C$71</f>
        <v/>
      </c>
      <c r="J987" s="13">
        <f>$B$7*(A987*S$71+B987*T$71+C987*U$71+D987*V$71)+F987/100*$B$7*X$71-$C$71</f>
        <v/>
      </c>
      <c r="K987" s="13">
        <f>$B$7*(A987*Z$71+B987*AA$71+C987*AB$71+D987*AC$71)+F987/100*$B$7*AE$71-$C$71</f>
        <v/>
      </c>
      <c r="L987" s="13">
        <f>$B$7*(A987*AG$71+B987*AH$71+C987*AI$71+D987*AJ$71)+F987/100*$B$7*AL$71-$C$71</f>
        <v/>
      </c>
      <c r="M987" s="13">
        <f>$B$7*(A987*AN$71+B987*AO$71+C987*AP$71+D987*AQ$71)+F987/100*$B$7*AS$71-$C$71</f>
        <v/>
      </c>
      <c r="N987" s="13">
        <f>SUMPRODUCT($H$24:$M$24,H987:M987)</f>
        <v/>
      </c>
      <c r="O987" s="14">
        <f>SQRT(SUMPRODUCT($H$24:$M$24,(H987:M987-N987)^2))</f>
        <v/>
      </c>
      <c r="P987" s="13">
        <f>MIN(H987:M987)</f>
        <v/>
      </c>
      <c r="Q987" s="13">
        <f>MAX(H987:M987)</f>
        <v/>
      </c>
      <c r="R987" s="27">
        <f>IF(G987,SUMPRODUCT(($G$76:$G$1505)*($N$76:$N$1505&gt;=N987)*($O$76:$O$1505&lt;=O987))=1,FALSE)</f>
        <v/>
      </c>
      <c r="S987" s="16">
        <f>IF(R987,ABS((O987-$AC$76)/MAX(0.0001,$AC$77-$AC$76)-(N987-$AC$78)/MAX(0.0001,$AC$79-$AC$78)),-1)</f>
        <v/>
      </c>
      <c r="T987" s="14">
        <f>IF(G987,O987,NA())</f>
        <v/>
      </c>
      <c r="U987" s="13">
        <f>IF(G987,N987,NA())</f>
        <v/>
      </c>
      <c r="V987" s="14">
        <f>IF(R987,O987,NA())</f>
        <v/>
      </c>
      <c r="W987" s="13">
        <f>IF(R987,N987,NA())</f>
        <v/>
      </c>
      <c r="X987" s="27">
        <f>IF(G987,P987,"")</f>
        <v/>
      </c>
      <c r="Y987" s="27">
        <f>IF(G987,N987,"")</f>
        <v/>
      </c>
      <c r="Z987" s="27">
        <f>IF(R987,O987,"")</f>
        <v/>
      </c>
      <c r="AA987" s="27">
        <f>IF(R987,N987,"")</f>
        <v/>
      </c>
    </row>
    <row r="988">
      <c r="A988" s="31" t="n">
        <v>0.3</v>
      </c>
      <c r="B988" s="31" t="n">
        <v>0.2</v>
      </c>
      <c r="C988" s="31" t="n">
        <v>0.1</v>
      </c>
      <c r="D988" s="31" t="n">
        <v>0.4</v>
      </c>
      <c r="E988" s="27" t="inlineStr">
        <is>
          <t>ON 30%/1M 20%/2M 10%/3M 40%</t>
        </is>
      </c>
      <c r="F988" s="27" t="n">
        <v>50</v>
      </c>
      <c r="G988" s="27">
        <f>A988*$B$7&gt;=$B$9</f>
        <v/>
      </c>
      <c r="H988" s="13">
        <f>$B$7*(A988*E$71+B988*F$71+C988*G$71+D988*H$71)+F988/100*$B$7*J$71-$C$71</f>
        <v/>
      </c>
      <c r="I988" s="13">
        <f>$B$7*(A988*L$71+B988*M$71+C988*N$71+D988*O$71)+F988/100*$B$7*Q$71-$C$71</f>
        <v/>
      </c>
      <c r="J988" s="13">
        <f>$B$7*(A988*S$71+B988*T$71+C988*U$71+D988*V$71)+F988/100*$B$7*X$71-$C$71</f>
        <v/>
      </c>
      <c r="K988" s="13">
        <f>$B$7*(A988*Z$71+B988*AA$71+C988*AB$71+D988*AC$71)+F988/100*$B$7*AE$71-$C$71</f>
        <v/>
      </c>
      <c r="L988" s="13">
        <f>$B$7*(A988*AG$71+B988*AH$71+C988*AI$71+D988*AJ$71)+F988/100*$B$7*AL$71-$C$71</f>
        <v/>
      </c>
      <c r="M988" s="13">
        <f>$B$7*(A988*AN$71+B988*AO$71+C988*AP$71+D988*AQ$71)+F988/100*$B$7*AS$71-$C$71</f>
        <v/>
      </c>
      <c r="N988" s="13">
        <f>SUMPRODUCT($H$24:$M$24,H988:M988)</f>
        <v/>
      </c>
      <c r="O988" s="14">
        <f>SQRT(SUMPRODUCT($H$24:$M$24,(H988:M988-N988)^2))</f>
        <v/>
      </c>
      <c r="P988" s="13">
        <f>MIN(H988:M988)</f>
        <v/>
      </c>
      <c r="Q988" s="13">
        <f>MAX(H988:M988)</f>
        <v/>
      </c>
      <c r="R988" s="27">
        <f>IF(G988,SUMPRODUCT(($G$76:$G$1505)*($N$76:$N$1505&gt;=N988)*($O$76:$O$1505&lt;=O988))=1,FALSE)</f>
        <v/>
      </c>
      <c r="S988" s="16">
        <f>IF(R988,ABS((O988-$AC$76)/MAX(0.0001,$AC$77-$AC$76)-(N988-$AC$78)/MAX(0.0001,$AC$79-$AC$78)),-1)</f>
        <v/>
      </c>
      <c r="T988" s="14">
        <f>IF(G988,O988,NA())</f>
        <v/>
      </c>
      <c r="U988" s="13">
        <f>IF(G988,N988,NA())</f>
        <v/>
      </c>
      <c r="V988" s="14">
        <f>IF(R988,O988,NA())</f>
        <v/>
      </c>
      <c r="W988" s="13">
        <f>IF(R988,N988,NA())</f>
        <v/>
      </c>
      <c r="X988" s="27">
        <f>IF(G988,P988,"")</f>
        <v/>
      </c>
      <c r="Y988" s="27">
        <f>IF(G988,N988,"")</f>
        <v/>
      </c>
      <c r="Z988" s="27">
        <f>IF(R988,O988,"")</f>
        <v/>
      </c>
      <c r="AA988" s="27">
        <f>IF(R988,N988,"")</f>
        <v/>
      </c>
    </row>
    <row r="989">
      <c r="A989" s="31" t="n">
        <v>0.3</v>
      </c>
      <c r="B989" s="31" t="n">
        <v>0.2</v>
      </c>
      <c r="C989" s="31" t="n">
        <v>0.1</v>
      </c>
      <c r="D989" s="31" t="n">
        <v>0.4</v>
      </c>
      <c r="E989" s="27" t="inlineStr">
        <is>
          <t>ON 30%/1M 20%/2M 10%/3M 40%</t>
        </is>
      </c>
      <c r="F989" s="27" t="n">
        <v>75</v>
      </c>
      <c r="G989" s="27">
        <f>A989*$B$7&gt;=$B$9</f>
        <v/>
      </c>
      <c r="H989" s="13">
        <f>$B$7*(A989*E$71+B989*F$71+C989*G$71+D989*H$71)+F989/100*$B$7*J$71-$C$71</f>
        <v/>
      </c>
      <c r="I989" s="13">
        <f>$B$7*(A989*L$71+B989*M$71+C989*N$71+D989*O$71)+F989/100*$B$7*Q$71-$C$71</f>
        <v/>
      </c>
      <c r="J989" s="13">
        <f>$B$7*(A989*S$71+B989*T$71+C989*U$71+D989*V$71)+F989/100*$B$7*X$71-$C$71</f>
        <v/>
      </c>
      <c r="K989" s="13">
        <f>$B$7*(A989*Z$71+B989*AA$71+C989*AB$71+D989*AC$71)+F989/100*$B$7*AE$71-$C$71</f>
        <v/>
      </c>
      <c r="L989" s="13">
        <f>$B$7*(A989*AG$71+B989*AH$71+C989*AI$71+D989*AJ$71)+F989/100*$B$7*AL$71-$C$71</f>
        <v/>
      </c>
      <c r="M989" s="13">
        <f>$B$7*(A989*AN$71+B989*AO$71+C989*AP$71+D989*AQ$71)+F989/100*$B$7*AS$71-$C$71</f>
        <v/>
      </c>
      <c r="N989" s="13">
        <f>SUMPRODUCT($H$24:$M$24,H989:M989)</f>
        <v/>
      </c>
      <c r="O989" s="14">
        <f>SQRT(SUMPRODUCT($H$24:$M$24,(H989:M989-N989)^2))</f>
        <v/>
      </c>
      <c r="P989" s="13">
        <f>MIN(H989:M989)</f>
        <v/>
      </c>
      <c r="Q989" s="13">
        <f>MAX(H989:M989)</f>
        <v/>
      </c>
      <c r="R989" s="27">
        <f>IF(G989,SUMPRODUCT(($G$76:$G$1505)*($N$76:$N$1505&gt;=N989)*($O$76:$O$1505&lt;=O989))=1,FALSE)</f>
        <v/>
      </c>
      <c r="S989" s="16">
        <f>IF(R989,ABS((O989-$AC$76)/MAX(0.0001,$AC$77-$AC$76)-(N989-$AC$78)/MAX(0.0001,$AC$79-$AC$78)),-1)</f>
        <v/>
      </c>
      <c r="T989" s="14">
        <f>IF(G989,O989,NA())</f>
        <v/>
      </c>
      <c r="U989" s="13">
        <f>IF(G989,N989,NA())</f>
        <v/>
      </c>
      <c r="V989" s="14">
        <f>IF(R989,O989,NA())</f>
        <v/>
      </c>
      <c r="W989" s="13">
        <f>IF(R989,N989,NA())</f>
        <v/>
      </c>
      <c r="X989" s="27">
        <f>IF(G989,P989,"")</f>
        <v/>
      </c>
      <c r="Y989" s="27">
        <f>IF(G989,N989,"")</f>
        <v/>
      </c>
      <c r="Z989" s="27">
        <f>IF(R989,O989,"")</f>
        <v/>
      </c>
      <c r="AA989" s="27">
        <f>IF(R989,N989,"")</f>
        <v/>
      </c>
    </row>
    <row r="990">
      <c r="A990" s="31" t="n">
        <v>0.3</v>
      </c>
      <c r="B990" s="31" t="n">
        <v>0.2</v>
      </c>
      <c r="C990" s="31" t="n">
        <v>0.1</v>
      </c>
      <c r="D990" s="31" t="n">
        <v>0.4</v>
      </c>
      <c r="E990" s="27" t="inlineStr">
        <is>
          <t>ON 30%/1M 20%/2M 10%/3M 40%</t>
        </is>
      </c>
      <c r="F990" s="27" t="n">
        <v>100</v>
      </c>
      <c r="G990" s="27">
        <f>A990*$B$7&gt;=$B$9</f>
        <v/>
      </c>
      <c r="H990" s="13">
        <f>$B$7*(A990*E$71+B990*F$71+C990*G$71+D990*H$71)+F990/100*$B$7*J$71-$C$71</f>
        <v/>
      </c>
      <c r="I990" s="13">
        <f>$B$7*(A990*L$71+B990*M$71+C990*N$71+D990*O$71)+F990/100*$B$7*Q$71-$C$71</f>
        <v/>
      </c>
      <c r="J990" s="13">
        <f>$B$7*(A990*S$71+B990*T$71+C990*U$71+D990*V$71)+F990/100*$B$7*X$71-$C$71</f>
        <v/>
      </c>
      <c r="K990" s="13">
        <f>$B$7*(A990*Z$71+B990*AA$71+C990*AB$71+D990*AC$71)+F990/100*$B$7*AE$71-$C$71</f>
        <v/>
      </c>
      <c r="L990" s="13">
        <f>$B$7*(A990*AG$71+B990*AH$71+C990*AI$71+D990*AJ$71)+F990/100*$B$7*AL$71-$C$71</f>
        <v/>
      </c>
      <c r="M990" s="13">
        <f>$B$7*(A990*AN$71+B990*AO$71+C990*AP$71+D990*AQ$71)+F990/100*$B$7*AS$71-$C$71</f>
        <v/>
      </c>
      <c r="N990" s="13">
        <f>SUMPRODUCT($H$24:$M$24,H990:M990)</f>
        <v/>
      </c>
      <c r="O990" s="14">
        <f>SQRT(SUMPRODUCT($H$24:$M$24,(H990:M990-N990)^2))</f>
        <v/>
      </c>
      <c r="P990" s="13">
        <f>MIN(H990:M990)</f>
        <v/>
      </c>
      <c r="Q990" s="13">
        <f>MAX(H990:M990)</f>
        <v/>
      </c>
      <c r="R990" s="27">
        <f>IF(G990,SUMPRODUCT(($G$76:$G$1505)*($N$76:$N$1505&gt;=N990)*($O$76:$O$1505&lt;=O990))=1,FALSE)</f>
        <v/>
      </c>
      <c r="S990" s="16">
        <f>IF(R990,ABS((O990-$AC$76)/MAX(0.0001,$AC$77-$AC$76)-(N990-$AC$78)/MAX(0.0001,$AC$79-$AC$78)),-1)</f>
        <v/>
      </c>
      <c r="T990" s="14">
        <f>IF(G990,O990,NA())</f>
        <v/>
      </c>
      <c r="U990" s="13">
        <f>IF(G990,N990,NA())</f>
        <v/>
      </c>
      <c r="V990" s="14">
        <f>IF(R990,O990,NA())</f>
        <v/>
      </c>
      <c r="W990" s="13">
        <f>IF(R990,N990,NA())</f>
        <v/>
      </c>
      <c r="X990" s="27">
        <f>IF(G990,P990,"")</f>
        <v/>
      </c>
      <c r="Y990" s="27">
        <f>IF(G990,N990,"")</f>
        <v/>
      </c>
      <c r="Z990" s="27">
        <f>IF(R990,O990,"")</f>
        <v/>
      </c>
      <c r="AA990" s="27">
        <f>IF(R990,N990,"")</f>
        <v/>
      </c>
    </row>
    <row r="991">
      <c r="A991" s="31" t="n">
        <v>0.3</v>
      </c>
      <c r="B991" s="31" t="n">
        <v>0.2</v>
      </c>
      <c r="C991" s="31" t="n">
        <v>0.2</v>
      </c>
      <c r="D991" s="31" t="n">
        <v>0.3</v>
      </c>
      <c r="E991" s="27" t="inlineStr">
        <is>
          <t>ON 30%/1M 20%/2M 20%/3M 30%</t>
        </is>
      </c>
      <c r="F991" s="27" t="n">
        <v>0</v>
      </c>
      <c r="G991" s="27">
        <f>A991*$B$7&gt;=$B$9</f>
        <v/>
      </c>
      <c r="H991" s="13">
        <f>$B$7*(A991*E$71+B991*F$71+C991*G$71+D991*H$71)+F991/100*$B$7*J$71-$C$71</f>
        <v/>
      </c>
      <c r="I991" s="13">
        <f>$B$7*(A991*L$71+B991*M$71+C991*N$71+D991*O$71)+F991/100*$B$7*Q$71-$C$71</f>
        <v/>
      </c>
      <c r="J991" s="13">
        <f>$B$7*(A991*S$71+B991*T$71+C991*U$71+D991*V$71)+F991/100*$B$7*X$71-$C$71</f>
        <v/>
      </c>
      <c r="K991" s="13">
        <f>$B$7*(A991*Z$71+B991*AA$71+C991*AB$71+D991*AC$71)+F991/100*$B$7*AE$71-$C$71</f>
        <v/>
      </c>
      <c r="L991" s="13">
        <f>$B$7*(A991*AG$71+B991*AH$71+C991*AI$71+D991*AJ$71)+F991/100*$B$7*AL$71-$C$71</f>
        <v/>
      </c>
      <c r="M991" s="13">
        <f>$B$7*(A991*AN$71+B991*AO$71+C991*AP$71+D991*AQ$71)+F991/100*$B$7*AS$71-$C$71</f>
        <v/>
      </c>
      <c r="N991" s="13">
        <f>SUMPRODUCT($H$24:$M$24,H991:M991)</f>
        <v/>
      </c>
      <c r="O991" s="14">
        <f>SQRT(SUMPRODUCT($H$24:$M$24,(H991:M991-N991)^2))</f>
        <v/>
      </c>
      <c r="P991" s="13">
        <f>MIN(H991:M991)</f>
        <v/>
      </c>
      <c r="Q991" s="13">
        <f>MAX(H991:M991)</f>
        <v/>
      </c>
      <c r="R991" s="27">
        <f>IF(G991,SUMPRODUCT(($G$76:$G$1505)*($N$76:$N$1505&gt;=N991)*($O$76:$O$1505&lt;=O991))=1,FALSE)</f>
        <v/>
      </c>
      <c r="S991" s="16">
        <f>IF(R991,ABS((O991-$AC$76)/MAX(0.0001,$AC$77-$AC$76)-(N991-$AC$78)/MAX(0.0001,$AC$79-$AC$78)),-1)</f>
        <v/>
      </c>
      <c r="T991" s="14">
        <f>IF(G991,O991,NA())</f>
        <v/>
      </c>
      <c r="U991" s="13">
        <f>IF(G991,N991,NA())</f>
        <v/>
      </c>
      <c r="V991" s="14">
        <f>IF(R991,O991,NA())</f>
        <v/>
      </c>
      <c r="W991" s="13">
        <f>IF(R991,N991,NA())</f>
        <v/>
      </c>
      <c r="X991" s="27">
        <f>IF(G991,P991,"")</f>
        <v/>
      </c>
      <c r="Y991" s="27">
        <f>IF(G991,N991,"")</f>
        <v/>
      </c>
      <c r="Z991" s="27">
        <f>IF(R991,O991,"")</f>
        <v/>
      </c>
      <c r="AA991" s="27">
        <f>IF(R991,N991,"")</f>
        <v/>
      </c>
    </row>
    <row r="992">
      <c r="A992" s="31" t="n">
        <v>0.3</v>
      </c>
      <c r="B992" s="31" t="n">
        <v>0.2</v>
      </c>
      <c r="C992" s="31" t="n">
        <v>0.2</v>
      </c>
      <c r="D992" s="31" t="n">
        <v>0.3</v>
      </c>
      <c r="E992" s="27" t="inlineStr">
        <is>
          <t>ON 30%/1M 20%/2M 20%/3M 30%</t>
        </is>
      </c>
      <c r="F992" s="27" t="n">
        <v>25</v>
      </c>
      <c r="G992" s="27">
        <f>A992*$B$7&gt;=$B$9</f>
        <v/>
      </c>
      <c r="H992" s="13">
        <f>$B$7*(A992*E$71+B992*F$71+C992*G$71+D992*H$71)+F992/100*$B$7*J$71-$C$71</f>
        <v/>
      </c>
      <c r="I992" s="13">
        <f>$B$7*(A992*L$71+B992*M$71+C992*N$71+D992*O$71)+F992/100*$B$7*Q$71-$C$71</f>
        <v/>
      </c>
      <c r="J992" s="13">
        <f>$B$7*(A992*S$71+B992*T$71+C992*U$71+D992*V$71)+F992/100*$B$7*X$71-$C$71</f>
        <v/>
      </c>
      <c r="K992" s="13">
        <f>$B$7*(A992*Z$71+B992*AA$71+C992*AB$71+D992*AC$71)+F992/100*$B$7*AE$71-$C$71</f>
        <v/>
      </c>
      <c r="L992" s="13">
        <f>$B$7*(A992*AG$71+B992*AH$71+C992*AI$71+D992*AJ$71)+F992/100*$B$7*AL$71-$C$71</f>
        <v/>
      </c>
      <c r="M992" s="13">
        <f>$B$7*(A992*AN$71+B992*AO$71+C992*AP$71+D992*AQ$71)+F992/100*$B$7*AS$71-$C$71</f>
        <v/>
      </c>
      <c r="N992" s="13">
        <f>SUMPRODUCT($H$24:$M$24,H992:M992)</f>
        <v/>
      </c>
      <c r="O992" s="14">
        <f>SQRT(SUMPRODUCT($H$24:$M$24,(H992:M992-N992)^2))</f>
        <v/>
      </c>
      <c r="P992" s="13">
        <f>MIN(H992:M992)</f>
        <v/>
      </c>
      <c r="Q992" s="13">
        <f>MAX(H992:M992)</f>
        <v/>
      </c>
      <c r="R992" s="27">
        <f>IF(G992,SUMPRODUCT(($G$76:$G$1505)*($N$76:$N$1505&gt;=N992)*($O$76:$O$1505&lt;=O992))=1,FALSE)</f>
        <v/>
      </c>
      <c r="S992" s="16">
        <f>IF(R992,ABS((O992-$AC$76)/MAX(0.0001,$AC$77-$AC$76)-(N992-$AC$78)/MAX(0.0001,$AC$79-$AC$78)),-1)</f>
        <v/>
      </c>
      <c r="T992" s="14">
        <f>IF(G992,O992,NA())</f>
        <v/>
      </c>
      <c r="U992" s="13">
        <f>IF(G992,N992,NA())</f>
        <v/>
      </c>
      <c r="V992" s="14">
        <f>IF(R992,O992,NA())</f>
        <v/>
      </c>
      <c r="W992" s="13">
        <f>IF(R992,N992,NA())</f>
        <v/>
      </c>
      <c r="X992" s="27">
        <f>IF(G992,P992,"")</f>
        <v/>
      </c>
      <c r="Y992" s="27">
        <f>IF(G992,N992,"")</f>
        <v/>
      </c>
      <c r="Z992" s="27">
        <f>IF(R992,O992,"")</f>
        <v/>
      </c>
      <c r="AA992" s="27">
        <f>IF(R992,N992,"")</f>
        <v/>
      </c>
    </row>
    <row r="993">
      <c r="A993" s="31" t="n">
        <v>0.3</v>
      </c>
      <c r="B993" s="31" t="n">
        <v>0.2</v>
      </c>
      <c r="C993" s="31" t="n">
        <v>0.2</v>
      </c>
      <c r="D993" s="31" t="n">
        <v>0.3</v>
      </c>
      <c r="E993" s="27" t="inlineStr">
        <is>
          <t>ON 30%/1M 20%/2M 20%/3M 30%</t>
        </is>
      </c>
      <c r="F993" s="27" t="n">
        <v>50</v>
      </c>
      <c r="G993" s="27">
        <f>A993*$B$7&gt;=$B$9</f>
        <v/>
      </c>
      <c r="H993" s="13">
        <f>$B$7*(A993*E$71+B993*F$71+C993*G$71+D993*H$71)+F993/100*$B$7*J$71-$C$71</f>
        <v/>
      </c>
      <c r="I993" s="13">
        <f>$B$7*(A993*L$71+B993*M$71+C993*N$71+D993*O$71)+F993/100*$B$7*Q$71-$C$71</f>
        <v/>
      </c>
      <c r="J993" s="13">
        <f>$B$7*(A993*S$71+B993*T$71+C993*U$71+D993*V$71)+F993/100*$B$7*X$71-$C$71</f>
        <v/>
      </c>
      <c r="K993" s="13">
        <f>$B$7*(A993*Z$71+B993*AA$71+C993*AB$71+D993*AC$71)+F993/100*$B$7*AE$71-$C$71</f>
        <v/>
      </c>
      <c r="L993" s="13">
        <f>$B$7*(A993*AG$71+B993*AH$71+C993*AI$71+D993*AJ$71)+F993/100*$B$7*AL$71-$C$71</f>
        <v/>
      </c>
      <c r="M993" s="13">
        <f>$B$7*(A993*AN$71+B993*AO$71+C993*AP$71+D993*AQ$71)+F993/100*$B$7*AS$71-$C$71</f>
        <v/>
      </c>
      <c r="N993" s="13">
        <f>SUMPRODUCT($H$24:$M$24,H993:M993)</f>
        <v/>
      </c>
      <c r="O993" s="14">
        <f>SQRT(SUMPRODUCT($H$24:$M$24,(H993:M993-N993)^2))</f>
        <v/>
      </c>
      <c r="P993" s="13">
        <f>MIN(H993:M993)</f>
        <v/>
      </c>
      <c r="Q993" s="13">
        <f>MAX(H993:M993)</f>
        <v/>
      </c>
      <c r="R993" s="27">
        <f>IF(G993,SUMPRODUCT(($G$76:$G$1505)*($N$76:$N$1505&gt;=N993)*($O$76:$O$1505&lt;=O993))=1,FALSE)</f>
        <v/>
      </c>
      <c r="S993" s="16">
        <f>IF(R993,ABS((O993-$AC$76)/MAX(0.0001,$AC$77-$AC$76)-(N993-$AC$78)/MAX(0.0001,$AC$79-$AC$78)),-1)</f>
        <v/>
      </c>
      <c r="T993" s="14">
        <f>IF(G993,O993,NA())</f>
        <v/>
      </c>
      <c r="U993" s="13">
        <f>IF(G993,N993,NA())</f>
        <v/>
      </c>
      <c r="V993" s="14">
        <f>IF(R993,O993,NA())</f>
        <v/>
      </c>
      <c r="W993" s="13">
        <f>IF(R993,N993,NA())</f>
        <v/>
      </c>
      <c r="X993" s="27">
        <f>IF(G993,P993,"")</f>
        <v/>
      </c>
      <c r="Y993" s="27">
        <f>IF(G993,N993,"")</f>
        <v/>
      </c>
      <c r="Z993" s="27">
        <f>IF(R993,O993,"")</f>
        <v/>
      </c>
      <c r="AA993" s="27">
        <f>IF(R993,N993,"")</f>
        <v/>
      </c>
    </row>
    <row r="994">
      <c r="A994" s="31" t="n">
        <v>0.3</v>
      </c>
      <c r="B994" s="31" t="n">
        <v>0.2</v>
      </c>
      <c r="C994" s="31" t="n">
        <v>0.2</v>
      </c>
      <c r="D994" s="31" t="n">
        <v>0.3</v>
      </c>
      <c r="E994" s="27" t="inlineStr">
        <is>
          <t>ON 30%/1M 20%/2M 20%/3M 30%</t>
        </is>
      </c>
      <c r="F994" s="27" t="n">
        <v>75</v>
      </c>
      <c r="G994" s="27">
        <f>A994*$B$7&gt;=$B$9</f>
        <v/>
      </c>
      <c r="H994" s="13">
        <f>$B$7*(A994*E$71+B994*F$71+C994*G$71+D994*H$71)+F994/100*$B$7*J$71-$C$71</f>
        <v/>
      </c>
      <c r="I994" s="13">
        <f>$B$7*(A994*L$71+B994*M$71+C994*N$71+D994*O$71)+F994/100*$B$7*Q$71-$C$71</f>
        <v/>
      </c>
      <c r="J994" s="13">
        <f>$B$7*(A994*S$71+B994*T$71+C994*U$71+D994*V$71)+F994/100*$B$7*X$71-$C$71</f>
        <v/>
      </c>
      <c r="K994" s="13">
        <f>$B$7*(A994*Z$71+B994*AA$71+C994*AB$71+D994*AC$71)+F994/100*$B$7*AE$71-$C$71</f>
        <v/>
      </c>
      <c r="L994" s="13">
        <f>$B$7*(A994*AG$71+B994*AH$71+C994*AI$71+D994*AJ$71)+F994/100*$B$7*AL$71-$C$71</f>
        <v/>
      </c>
      <c r="M994" s="13">
        <f>$B$7*(A994*AN$71+B994*AO$71+C994*AP$71+D994*AQ$71)+F994/100*$B$7*AS$71-$C$71</f>
        <v/>
      </c>
      <c r="N994" s="13">
        <f>SUMPRODUCT($H$24:$M$24,H994:M994)</f>
        <v/>
      </c>
      <c r="O994" s="14">
        <f>SQRT(SUMPRODUCT($H$24:$M$24,(H994:M994-N994)^2))</f>
        <v/>
      </c>
      <c r="P994" s="13">
        <f>MIN(H994:M994)</f>
        <v/>
      </c>
      <c r="Q994" s="13">
        <f>MAX(H994:M994)</f>
        <v/>
      </c>
      <c r="R994" s="27">
        <f>IF(G994,SUMPRODUCT(($G$76:$G$1505)*($N$76:$N$1505&gt;=N994)*($O$76:$O$1505&lt;=O994))=1,FALSE)</f>
        <v/>
      </c>
      <c r="S994" s="16">
        <f>IF(R994,ABS((O994-$AC$76)/MAX(0.0001,$AC$77-$AC$76)-(N994-$AC$78)/MAX(0.0001,$AC$79-$AC$78)),-1)</f>
        <v/>
      </c>
      <c r="T994" s="14">
        <f>IF(G994,O994,NA())</f>
        <v/>
      </c>
      <c r="U994" s="13">
        <f>IF(G994,N994,NA())</f>
        <v/>
      </c>
      <c r="V994" s="14">
        <f>IF(R994,O994,NA())</f>
        <v/>
      </c>
      <c r="W994" s="13">
        <f>IF(R994,N994,NA())</f>
        <v/>
      </c>
      <c r="X994" s="27">
        <f>IF(G994,P994,"")</f>
        <v/>
      </c>
      <c r="Y994" s="27">
        <f>IF(G994,N994,"")</f>
        <v/>
      </c>
      <c r="Z994" s="27">
        <f>IF(R994,O994,"")</f>
        <v/>
      </c>
      <c r="AA994" s="27">
        <f>IF(R994,N994,"")</f>
        <v/>
      </c>
    </row>
    <row r="995">
      <c r="A995" s="31" t="n">
        <v>0.3</v>
      </c>
      <c r="B995" s="31" t="n">
        <v>0.2</v>
      </c>
      <c r="C995" s="31" t="n">
        <v>0.2</v>
      </c>
      <c r="D995" s="31" t="n">
        <v>0.3</v>
      </c>
      <c r="E995" s="27" t="inlineStr">
        <is>
          <t>ON 30%/1M 20%/2M 20%/3M 30%</t>
        </is>
      </c>
      <c r="F995" s="27" t="n">
        <v>100</v>
      </c>
      <c r="G995" s="27">
        <f>A995*$B$7&gt;=$B$9</f>
        <v/>
      </c>
      <c r="H995" s="13">
        <f>$B$7*(A995*E$71+B995*F$71+C995*G$71+D995*H$71)+F995/100*$B$7*J$71-$C$71</f>
        <v/>
      </c>
      <c r="I995" s="13">
        <f>$B$7*(A995*L$71+B995*M$71+C995*N$71+D995*O$71)+F995/100*$B$7*Q$71-$C$71</f>
        <v/>
      </c>
      <c r="J995" s="13">
        <f>$B$7*(A995*S$71+B995*T$71+C995*U$71+D995*V$71)+F995/100*$B$7*X$71-$C$71</f>
        <v/>
      </c>
      <c r="K995" s="13">
        <f>$B$7*(A995*Z$71+B995*AA$71+C995*AB$71+D995*AC$71)+F995/100*$B$7*AE$71-$C$71</f>
        <v/>
      </c>
      <c r="L995" s="13">
        <f>$B$7*(A995*AG$71+B995*AH$71+C995*AI$71+D995*AJ$71)+F995/100*$B$7*AL$71-$C$71</f>
        <v/>
      </c>
      <c r="M995" s="13">
        <f>$B$7*(A995*AN$71+B995*AO$71+C995*AP$71+D995*AQ$71)+F995/100*$B$7*AS$71-$C$71</f>
        <v/>
      </c>
      <c r="N995" s="13">
        <f>SUMPRODUCT($H$24:$M$24,H995:M995)</f>
        <v/>
      </c>
      <c r="O995" s="14">
        <f>SQRT(SUMPRODUCT($H$24:$M$24,(H995:M995-N995)^2))</f>
        <v/>
      </c>
      <c r="P995" s="13">
        <f>MIN(H995:M995)</f>
        <v/>
      </c>
      <c r="Q995" s="13">
        <f>MAX(H995:M995)</f>
        <v/>
      </c>
      <c r="R995" s="27">
        <f>IF(G995,SUMPRODUCT(($G$76:$G$1505)*($N$76:$N$1505&gt;=N995)*($O$76:$O$1505&lt;=O995))=1,FALSE)</f>
        <v/>
      </c>
      <c r="S995" s="16">
        <f>IF(R995,ABS((O995-$AC$76)/MAX(0.0001,$AC$77-$AC$76)-(N995-$AC$78)/MAX(0.0001,$AC$79-$AC$78)),-1)</f>
        <v/>
      </c>
      <c r="T995" s="14">
        <f>IF(G995,O995,NA())</f>
        <v/>
      </c>
      <c r="U995" s="13">
        <f>IF(G995,N995,NA())</f>
        <v/>
      </c>
      <c r="V995" s="14">
        <f>IF(R995,O995,NA())</f>
        <v/>
      </c>
      <c r="W995" s="13">
        <f>IF(R995,N995,NA())</f>
        <v/>
      </c>
      <c r="X995" s="27">
        <f>IF(G995,P995,"")</f>
        <v/>
      </c>
      <c r="Y995" s="27">
        <f>IF(G995,N995,"")</f>
        <v/>
      </c>
      <c r="Z995" s="27">
        <f>IF(R995,O995,"")</f>
        <v/>
      </c>
      <c r="AA995" s="27">
        <f>IF(R995,N995,"")</f>
        <v/>
      </c>
    </row>
    <row r="996">
      <c r="A996" s="31" t="n">
        <v>0.3</v>
      </c>
      <c r="B996" s="31" t="n">
        <v>0.2</v>
      </c>
      <c r="C996" s="31" t="n">
        <v>0.3</v>
      </c>
      <c r="D996" s="31" t="n">
        <v>0.2</v>
      </c>
      <c r="E996" s="27" t="inlineStr">
        <is>
          <t>ON 30%/1M 20%/2M 30%/3M 20%</t>
        </is>
      </c>
      <c r="F996" s="27" t="n">
        <v>0</v>
      </c>
      <c r="G996" s="27">
        <f>A996*$B$7&gt;=$B$9</f>
        <v/>
      </c>
      <c r="H996" s="13">
        <f>$B$7*(A996*E$71+B996*F$71+C996*G$71+D996*H$71)+F996/100*$B$7*J$71-$C$71</f>
        <v/>
      </c>
      <c r="I996" s="13">
        <f>$B$7*(A996*L$71+B996*M$71+C996*N$71+D996*O$71)+F996/100*$B$7*Q$71-$C$71</f>
        <v/>
      </c>
      <c r="J996" s="13">
        <f>$B$7*(A996*S$71+B996*T$71+C996*U$71+D996*V$71)+F996/100*$B$7*X$71-$C$71</f>
        <v/>
      </c>
      <c r="K996" s="13">
        <f>$B$7*(A996*Z$71+B996*AA$71+C996*AB$71+D996*AC$71)+F996/100*$B$7*AE$71-$C$71</f>
        <v/>
      </c>
      <c r="L996" s="13">
        <f>$B$7*(A996*AG$71+B996*AH$71+C996*AI$71+D996*AJ$71)+F996/100*$B$7*AL$71-$C$71</f>
        <v/>
      </c>
      <c r="M996" s="13">
        <f>$B$7*(A996*AN$71+B996*AO$71+C996*AP$71+D996*AQ$71)+F996/100*$B$7*AS$71-$C$71</f>
        <v/>
      </c>
      <c r="N996" s="13">
        <f>SUMPRODUCT($H$24:$M$24,H996:M996)</f>
        <v/>
      </c>
      <c r="O996" s="14">
        <f>SQRT(SUMPRODUCT($H$24:$M$24,(H996:M996-N996)^2))</f>
        <v/>
      </c>
      <c r="P996" s="13">
        <f>MIN(H996:M996)</f>
        <v/>
      </c>
      <c r="Q996" s="13">
        <f>MAX(H996:M996)</f>
        <v/>
      </c>
      <c r="R996" s="27">
        <f>IF(G996,SUMPRODUCT(($G$76:$G$1505)*($N$76:$N$1505&gt;=N996)*($O$76:$O$1505&lt;=O996))=1,FALSE)</f>
        <v/>
      </c>
      <c r="S996" s="16">
        <f>IF(R996,ABS((O996-$AC$76)/MAX(0.0001,$AC$77-$AC$76)-(N996-$AC$78)/MAX(0.0001,$AC$79-$AC$78)),-1)</f>
        <v/>
      </c>
      <c r="T996" s="14">
        <f>IF(G996,O996,NA())</f>
        <v/>
      </c>
      <c r="U996" s="13">
        <f>IF(G996,N996,NA())</f>
        <v/>
      </c>
      <c r="V996" s="14">
        <f>IF(R996,O996,NA())</f>
        <v/>
      </c>
      <c r="W996" s="13">
        <f>IF(R996,N996,NA())</f>
        <v/>
      </c>
      <c r="X996" s="27">
        <f>IF(G996,P996,"")</f>
        <v/>
      </c>
      <c r="Y996" s="27">
        <f>IF(G996,N996,"")</f>
        <v/>
      </c>
      <c r="Z996" s="27">
        <f>IF(R996,O996,"")</f>
        <v/>
      </c>
      <c r="AA996" s="27">
        <f>IF(R996,N996,"")</f>
        <v/>
      </c>
    </row>
    <row r="997">
      <c r="A997" s="31" t="n">
        <v>0.3</v>
      </c>
      <c r="B997" s="31" t="n">
        <v>0.2</v>
      </c>
      <c r="C997" s="31" t="n">
        <v>0.3</v>
      </c>
      <c r="D997" s="31" t="n">
        <v>0.2</v>
      </c>
      <c r="E997" s="27" t="inlineStr">
        <is>
          <t>ON 30%/1M 20%/2M 30%/3M 20%</t>
        </is>
      </c>
      <c r="F997" s="27" t="n">
        <v>25</v>
      </c>
      <c r="G997" s="27">
        <f>A997*$B$7&gt;=$B$9</f>
        <v/>
      </c>
      <c r="H997" s="13">
        <f>$B$7*(A997*E$71+B997*F$71+C997*G$71+D997*H$71)+F997/100*$B$7*J$71-$C$71</f>
        <v/>
      </c>
      <c r="I997" s="13">
        <f>$B$7*(A997*L$71+B997*M$71+C997*N$71+D997*O$71)+F997/100*$B$7*Q$71-$C$71</f>
        <v/>
      </c>
      <c r="J997" s="13">
        <f>$B$7*(A997*S$71+B997*T$71+C997*U$71+D997*V$71)+F997/100*$B$7*X$71-$C$71</f>
        <v/>
      </c>
      <c r="K997" s="13">
        <f>$B$7*(A997*Z$71+B997*AA$71+C997*AB$71+D997*AC$71)+F997/100*$B$7*AE$71-$C$71</f>
        <v/>
      </c>
      <c r="L997" s="13">
        <f>$B$7*(A997*AG$71+B997*AH$71+C997*AI$71+D997*AJ$71)+F997/100*$B$7*AL$71-$C$71</f>
        <v/>
      </c>
      <c r="M997" s="13">
        <f>$B$7*(A997*AN$71+B997*AO$71+C997*AP$71+D997*AQ$71)+F997/100*$B$7*AS$71-$C$71</f>
        <v/>
      </c>
      <c r="N997" s="13">
        <f>SUMPRODUCT($H$24:$M$24,H997:M997)</f>
        <v/>
      </c>
      <c r="O997" s="14">
        <f>SQRT(SUMPRODUCT($H$24:$M$24,(H997:M997-N997)^2))</f>
        <v/>
      </c>
      <c r="P997" s="13">
        <f>MIN(H997:M997)</f>
        <v/>
      </c>
      <c r="Q997" s="13">
        <f>MAX(H997:M997)</f>
        <v/>
      </c>
      <c r="R997" s="27">
        <f>IF(G997,SUMPRODUCT(($G$76:$G$1505)*($N$76:$N$1505&gt;=N997)*($O$76:$O$1505&lt;=O997))=1,FALSE)</f>
        <v/>
      </c>
      <c r="S997" s="16">
        <f>IF(R997,ABS((O997-$AC$76)/MAX(0.0001,$AC$77-$AC$76)-(N997-$AC$78)/MAX(0.0001,$AC$79-$AC$78)),-1)</f>
        <v/>
      </c>
      <c r="T997" s="14">
        <f>IF(G997,O997,NA())</f>
        <v/>
      </c>
      <c r="U997" s="13">
        <f>IF(G997,N997,NA())</f>
        <v/>
      </c>
      <c r="V997" s="14">
        <f>IF(R997,O997,NA())</f>
        <v/>
      </c>
      <c r="W997" s="13">
        <f>IF(R997,N997,NA())</f>
        <v/>
      </c>
      <c r="X997" s="27">
        <f>IF(G997,P997,"")</f>
        <v/>
      </c>
      <c r="Y997" s="27">
        <f>IF(G997,N997,"")</f>
        <v/>
      </c>
      <c r="Z997" s="27">
        <f>IF(R997,O997,"")</f>
        <v/>
      </c>
      <c r="AA997" s="27">
        <f>IF(R997,N997,"")</f>
        <v/>
      </c>
    </row>
    <row r="998">
      <c r="A998" s="31" t="n">
        <v>0.3</v>
      </c>
      <c r="B998" s="31" t="n">
        <v>0.2</v>
      </c>
      <c r="C998" s="31" t="n">
        <v>0.3</v>
      </c>
      <c r="D998" s="31" t="n">
        <v>0.2</v>
      </c>
      <c r="E998" s="27" t="inlineStr">
        <is>
          <t>ON 30%/1M 20%/2M 30%/3M 20%</t>
        </is>
      </c>
      <c r="F998" s="27" t="n">
        <v>50</v>
      </c>
      <c r="G998" s="27">
        <f>A998*$B$7&gt;=$B$9</f>
        <v/>
      </c>
      <c r="H998" s="13">
        <f>$B$7*(A998*E$71+B998*F$71+C998*G$71+D998*H$71)+F998/100*$B$7*J$71-$C$71</f>
        <v/>
      </c>
      <c r="I998" s="13">
        <f>$B$7*(A998*L$71+B998*M$71+C998*N$71+D998*O$71)+F998/100*$B$7*Q$71-$C$71</f>
        <v/>
      </c>
      <c r="J998" s="13">
        <f>$B$7*(A998*S$71+B998*T$71+C998*U$71+D998*V$71)+F998/100*$B$7*X$71-$C$71</f>
        <v/>
      </c>
      <c r="K998" s="13">
        <f>$B$7*(A998*Z$71+B998*AA$71+C998*AB$71+D998*AC$71)+F998/100*$B$7*AE$71-$C$71</f>
        <v/>
      </c>
      <c r="L998" s="13">
        <f>$B$7*(A998*AG$71+B998*AH$71+C998*AI$71+D998*AJ$71)+F998/100*$B$7*AL$71-$C$71</f>
        <v/>
      </c>
      <c r="M998" s="13">
        <f>$B$7*(A998*AN$71+B998*AO$71+C998*AP$71+D998*AQ$71)+F998/100*$B$7*AS$71-$C$71</f>
        <v/>
      </c>
      <c r="N998" s="13">
        <f>SUMPRODUCT($H$24:$M$24,H998:M998)</f>
        <v/>
      </c>
      <c r="O998" s="14">
        <f>SQRT(SUMPRODUCT($H$24:$M$24,(H998:M998-N998)^2))</f>
        <v/>
      </c>
      <c r="P998" s="13">
        <f>MIN(H998:M998)</f>
        <v/>
      </c>
      <c r="Q998" s="13">
        <f>MAX(H998:M998)</f>
        <v/>
      </c>
      <c r="R998" s="27">
        <f>IF(G998,SUMPRODUCT(($G$76:$G$1505)*($N$76:$N$1505&gt;=N998)*($O$76:$O$1505&lt;=O998))=1,FALSE)</f>
        <v/>
      </c>
      <c r="S998" s="16">
        <f>IF(R998,ABS((O998-$AC$76)/MAX(0.0001,$AC$77-$AC$76)-(N998-$AC$78)/MAX(0.0001,$AC$79-$AC$78)),-1)</f>
        <v/>
      </c>
      <c r="T998" s="14">
        <f>IF(G998,O998,NA())</f>
        <v/>
      </c>
      <c r="U998" s="13">
        <f>IF(G998,N998,NA())</f>
        <v/>
      </c>
      <c r="V998" s="14">
        <f>IF(R998,O998,NA())</f>
        <v/>
      </c>
      <c r="W998" s="13">
        <f>IF(R998,N998,NA())</f>
        <v/>
      </c>
      <c r="X998" s="27">
        <f>IF(G998,P998,"")</f>
        <v/>
      </c>
      <c r="Y998" s="27">
        <f>IF(G998,N998,"")</f>
        <v/>
      </c>
      <c r="Z998" s="27">
        <f>IF(R998,O998,"")</f>
        <v/>
      </c>
      <c r="AA998" s="27">
        <f>IF(R998,N998,"")</f>
        <v/>
      </c>
    </row>
    <row r="999">
      <c r="A999" s="31" t="n">
        <v>0.3</v>
      </c>
      <c r="B999" s="31" t="n">
        <v>0.2</v>
      </c>
      <c r="C999" s="31" t="n">
        <v>0.3</v>
      </c>
      <c r="D999" s="31" t="n">
        <v>0.2</v>
      </c>
      <c r="E999" s="27" t="inlineStr">
        <is>
          <t>ON 30%/1M 20%/2M 30%/3M 20%</t>
        </is>
      </c>
      <c r="F999" s="27" t="n">
        <v>75</v>
      </c>
      <c r="G999" s="27">
        <f>A999*$B$7&gt;=$B$9</f>
        <v/>
      </c>
      <c r="H999" s="13">
        <f>$B$7*(A999*E$71+B999*F$71+C999*G$71+D999*H$71)+F999/100*$B$7*J$71-$C$71</f>
        <v/>
      </c>
      <c r="I999" s="13">
        <f>$B$7*(A999*L$71+B999*M$71+C999*N$71+D999*O$71)+F999/100*$B$7*Q$71-$C$71</f>
        <v/>
      </c>
      <c r="J999" s="13">
        <f>$B$7*(A999*S$71+B999*T$71+C999*U$71+D999*V$71)+F999/100*$B$7*X$71-$C$71</f>
        <v/>
      </c>
      <c r="K999" s="13">
        <f>$B$7*(A999*Z$71+B999*AA$71+C999*AB$71+D999*AC$71)+F999/100*$B$7*AE$71-$C$71</f>
        <v/>
      </c>
      <c r="L999" s="13">
        <f>$B$7*(A999*AG$71+B999*AH$71+C999*AI$71+D999*AJ$71)+F999/100*$B$7*AL$71-$C$71</f>
        <v/>
      </c>
      <c r="M999" s="13">
        <f>$B$7*(A999*AN$71+B999*AO$71+C999*AP$71+D999*AQ$71)+F999/100*$B$7*AS$71-$C$71</f>
        <v/>
      </c>
      <c r="N999" s="13">
        <f>SUMPRODUCT($H$24:$M$24,H999:M999)</f>
        <v/>
      </c>
      <c r="O999" s="14">
        <f>SQRT(SUMPRODUCT($H$24:$M$24,(H999:M999-N999)^2))</f>
        <v/>
      </c>
      <c r="P999" s="13">
        <f>MIN(H999:M999)</f>
        <v/>
      </c>
      <c r="Q999" s="13">
        <f>MAX(H999:M999)</f>
        <v/>
      </c>
      <c r="R999" s="27">
        <f>IF(G999,SUMPRODUCT(($G$76:$G$1505)*($N$76:$N$1505&gt;=N999)*($O$76:$O$1505&lt;=O999))=1,FALSE)</f>
        <v/>
      </c>
      <c r="S999" s="16">
        <f>IF(R999,ABS((O999-$AC$76)/MAX(0.0001,$AC$77-$AC$76)-(N999-$AC$78)/MAX(0.0001,$AC$79-$AC$78)),-1)</f>
        <v/>
      </c>
      <c r="T999" s="14">
        <f>IF(G999,O999,NA())</f>
        <v/>
      </c>
      <c r="U999" s="13">
        <f>IF(G999,N999,NA())</f>
        <v/>
      </c>
      <c r="V999" s="14">
        <f>IF(R999,O999,NA())</f>
        <v/>
      </c>
      <c r="W999" s="13">
        <f>IF(R999,N999,NA())</f>
        <v/>
      </c>
      <c r="X999" s="27">
        <f>IF(G999,P999,"")</f>
        <v/>
      </c>
      <c r="Y999" s="27">
        <f>IF(G999,N999,"")</f>
        <v/>
      </c>
      <c r="Z999" s="27">
        <f>IF(R999,O999,"")</f>
        <v/>
      </c>
      <c r="AA999" s="27">
        <f>IF(R999,N999,"")</f>
        <v/>
      </c>
    </row>
    <row r="1000">
      <c r="A1000" s="31" t="n">
        <v>0.3</v>
      </c>
      <c r="B1000" s="31" t="n">
        <v>0.2</v>
      </c>
      <c r="C1000" s="31" t="n">
        <v>0.3</v>
      </c>
      <c r="D1000" s="31" t="n">
        <v>0.2</v>
      </c>
      <c r="E1000" s="27" t="inlineStr">
        <is>
          <t>ON 30%/1M 20%/2M 30%/3M 20%</t>
        </is>
      </c>
      <c r="F1000" s="27" t="n">
        <v>100</v>
      </c>
      <c r="G1000" s="27">
        <f>A1000*$B$7&gt;=$B$9</f>
        <v/>
      </c>
      <c r="H1000" s="13">
        <f>$B$7*(A1000*E$71+B1000*F$71+C1000*G$71+D1000*H$71)+F1000/100*$B$7*J$71-$C$71</f>
        <v/>
      </c>
      <c r="I1000" s="13">
        <f>$B$7*(A1000*L$71+B1000*M$71+C1000*N$71+D1000*O$71)+F1000/100*$B$7*Q$71-$C$71</f>
        <v/>
      </c>
      <c r="J1000" s="13">
        <f>$B$7*(A1000*S$71+B1000*T$71+C1000*U$71+D1000*V$71)+F1000/100*$B$7*X$71-$C$71</f>
        <v/>
      </c>
      <c r="K1000" s="13">
        <f>$B$7*(A1000*Z$71+B1000*AA$71+C1000*AB$71+D1000*AC$71)+F1000/100*$B$7*AE$71-$C$71</f>
        <v/>
      </c>
      <c r="L1000" s="13">
        <f>$B$7*(A1000*AG$71+B1000*AH$71+C1000*AI$71+D1000*AJ$71)+F1000/100*$B$7*AL$71-$C$71</f>
        <v/>
      </c>
      <c r="M1000" s="13">
        <f>$B$7*(A1000*AN$71+B1000*AO$71+C1000*AP$71+D1000*AQ$71)+F1000/100*$B$7*AS$71-$C$71</f>
        <v/>
      </c>
      <c r="N1000" s="13">
        <f>SUMPRODUCT($H$24:$M$24,H1000:M1000)</f>
        <v/>
      </c>
      <c r="O1000" s="14">
        <f>SQRT(SUMPRODUCT($H$24:$M$24,(H1000:M1000-N1000)^2))</f>
        <v/>
      </c>
      <c r="P1000" s="13">
        <f>MIN(H1000:M1000)</f>
        <v/>
      </c>
      <c r="Q1000" s="13">
        <f>MAX(H1000:M1000)</f>
        <v/>
      </c>
      <c r="R1000" s="27">
        <f>IF(G1000,SUMPRODUCT(($G$76:$G$1505)*($N$76:$N$1505&gt;=N1000)*($O$76:$O$1505&lt;=O1000))=1,FALSE)</f>
        <v/>
      </c>
      <c r="S1000" s="16">
        <f>IF(R1000,ABS((O1000-$AC$76)/MAX(0.0001,$AC$77-$AC$76)-(N1000-$AC$78)/MAX(0.0001,$AC$79-$AC$78)),-1)</f>
        <v/>
      </c>
      <c r="T1000" s="14">
        <f>IF(G1000,O1000,NA())</f>
        <v/>
      </c>
      <c r="U1000" s="13">
        <f>IF(G1000,N1000,NA())</f>
        <v/>
      </c>
      <c r="V1000" s="14">
        <f>IF(R1000,O1000,NA())</f>
        <v/>
      </c>
      <c r="W1000" s="13">
        <f>IF(R1000,N1000,NA())</f>
        <v/>
      </c>
      <c r="X1000" s="27">
        <f>IF(G1000,P1000,"")</f>
        <v/>
      </c>
      <c r="Y1000" s="27">
        <f>IF(G1000,N1000,"")</f>
        <v/>
      </c>
      <c r="Z1000" s="27">
        <f>IF(R1000,O1000,"")</f>
        <v/>
      </c>
      <c r="AA1000" s="27">
        <f>IF(R1000,N1000,"")</f>
        <v/>
      </c>
    </row>
    <row r="1001">
      <c r="A1001" s="31" t="n">
        <v>0.3</v>
      </c>
      <c r="B1001" s="31" t="n">
        <v>0.2</v>
      </c>
      <c r="C1001" s="31" t="n">
        <v>0.4</v>
      </c>
      <c r="D1001" s="31" t="n">
        <v>0.1</v>
      </c>
      <c r="E1001" s="27" t="inlineStr">
        <is>
          <t>ON 30%/1M 20%/2M 40%/3M 10%</t>
        </is>
      </c>
      <c r="F1001" s="27" t="n">
        <v>0</v>
      </c>
      <c r="G1001" s="27">
        <f>A1001*$B$7&gt;=$B$9</f>
        <v/>
      </c>
      <c r="H1001" s="13">
        <f>$B$7*(A1001*E$71+B1001*F$71+C1001*G$71+D1001*H$71)+F1001/100*$B$7*J$71-$C$71</f>
        <v/>
      </c>
      <c r="I1001" s="13">
        <f>$B$7*(A1001*L$71+B1001*M$71+C1001*N$71+D1001*O$71)+F1001/100*$B$7*Q$71-$C$71</f>
        <v/>
      </c>
      <c r="J1001" s="13">
        <f>$B$7*(A1001*S$71+B1001*T$71+C1001*U$71+D1001*V$71)+F1001/100*$B$7*X$71-$C$71</f>
        <v/>
      </c>
      <c r="K1001" s="13">
        <f>$B$7*(A1001*Z$71+B1001*AA$71+C1001*AB$71+D1001*AC$71)+F1001/100*$B$7*AE$71-$C$71</f>
        <v/>
      </c>
      <c r="L1001" s="13">
        <f>$B$7*(A1001*AG$71+B1001*AH$71+C1001*AI$71+D1001*AJ$71)+F1001/100*$B$7*AL$71-$C$71</f>
        <v/>
      </c>
      <c r="M1001" s="13">
        <f>$B$7*(A1001*AN$71+B1001*AO$71+C1001*AP$71+D1001*AQ$71)+F1001/100*$B$7*AS$71-$C$71</f>
        <v/>
      </c>
      <c r="N1001" s="13">
        <f>SUMPRODUCT($H$24:$M$24,H1001:M1001)</f>
        <v/>
      </c>
      <c r="O1001" s="14">
        <f>SQRT(SUMPRODUCT($H$24:$M$24,(H1001:M1001-N1001)^2))</f>
        <v/>
      </c>
      <c r="P1001" s="13">
        <f>MIN(H1001:M1001)</f>
        <v/>
      </c>
      <c r="Q1001" s="13">
        <f>MAX(H1001:M1001)</f>
        <v/>
      </c>
      <c r="R1001" s="27">
        <f>IF(G1001,SUMPRODUCT(($G$76:$G$1505)*($N$76:$N$1505&gt;=N1001)*($O$76:$O$1505&lt;=O1001))=1,FALSE)</f>
        <v/>
      </c>
      <c r="S1001" s="16">
        <f>IF(R1001,ABS((O1001-$AC$76)/MAX(0.0001,$AC$77-$AC$76)-(N1001-$AC$78)/MAX(0.0001,$AC$79-$AC$78)),-1)</f>
        <v/>
      </c>
      <c r="T1001" s="14">
        <f>IF(G1001,O1001,NA())</f>
        <v/>
      </c>
      <c r="U1001" s="13">
        <f>IF(G1001,N1001,NA())</f>
        <v/>
      </c>
      <c r="V1001" s="14">
        <f>IF(R1001,O1001,NA())</f>
        <v/>
      </c>
      <c r="W1001" s="13">
        <f>IF(R1001,N1001,NA())</f>
        <v/>
      </c>
      <c r="X1001" s="27">
        <f>IF(G1001,P1001,"")</f>
        <v/>
      </c>
      <c r="Y1001" s="27">
        <f>IF(G1001,N1001,"")</f>
        <v/>
      </c>
      <c r="Z1001" s="27">
        <f>IF(R1001,O1001,"")</f>
        <v/>
      </c>
      <c r="AA1001" s="27">
        <f>IF(R1001,N1001,"")</f>
        <v/>
      </c>
    </row>
    <row r="1002">
      <c r="A1002" s="31" t="n">
        <v>0.3</v>
      </c>
      <c r="B1002" s="31" t="n">
        <v>0.2</v>
      </c>
      <c r="C1002" s="31" t="n">
        <v>0.4</v>
      </c>
      <c r="D1002" s="31" t="n">
        <v>0.1</v>
      </c>
      <c r="E1002" s="27" t="inlineStr">
        <is>
          <t>ON 30%/1M 20%/2M 40%/3M 10%</t>
        </is>
      </c>
      <c r="F1002" s="27" t="n">
        <v>25</v>
      </c>
      <c r="G1002" s="27">
        <f>A1002*$B$7&gt;=$B$9</f>
        <v/>
      </c>
      <c r="H1002" s="13">
        <f>$B$7*(A1002*E$71+B1002*F$71+C1002*G$71+D1002*H$71)+F1002/100*$B$7*J$71-$C$71</f>
        <v/>
      </c>
      <c r="I1002" s="13">
        <f>$B$7*(A1002*L$71+B1002*M$71+C1002*N$71+D1002*O$71)+F1002/100*$B$7*Q$71-$C$71</f>
        <v/>
      </c>
      <c r="J1002" s="13">
        <f>$B$7*(A1002*S$71+B1002*T$71+C1002*U$71+D1002*V$71)+F1002/100*$B$7*X$71-$C$71</f>
        <v/>
      </c>
      <c r="K1002" s="13">
        <f>$B$7*(A1002*Z$71+B1002*AA$71+C1002*AB$71+D1002*AC$71)+F1002/100*$B$7*AE$71-$C$71</f>
        <v/>
      </c>
      <c r="L1002" s="13">
        <f>$B$7*(A1002*AG$71+B1002*AH$71+C1002*AI$71+D1002*AJ$71)+F1002/100*$B$7*AL$71-$C$71</f>
        <v/>
      </c>
      <c r="M1002" s="13">
        <f>$B$7*(A1002*AN$71+B1002*AO$71+C1002*AP$71+D1002*AQ$71)+F1002/100*$B$7*AS$71-$C$71</f>
        <v/>
      </c>
      <c r="N1002" s="13">
        <f>SUMPRODUCT($H$24:$M$24,H1002:M1002)</f>
        <v/>
      </c>
      <c r="O1002" s="14">
        <f>SQRT(SUMPRODUCT($H$24:$M$24,(H1002:M1002-N1002)^2))</f>
        <v/>
      </c>
      <c r="P1002" s="13">
        <f>MIN(H1002:M1002)</f>
        <v/>
      </c>
      <c r="Q1002" s="13">
        <f>MAX(H1002:M1002)</f>
        <v/>
      </c>
      <c r="R1002" s="27">
        <f>IF(G1002,SUMPRODUCT(($G$76:$G$1505)*($N$76:$N$1505&gt;=N1002)*($O$76:$O$1505&lt;=O1002))=1,FALSE)</f>
        <v/>
      </c>
      <c r="S1002" s="16">
        <f>IF(R1002,ABS((O1002-$AC$76)/MAX(0.0001,$AC$77-$AC$76)-(N1002-$AC$78)/MAX(0.0001,$AC$79-$AC$78)),-1)</f>
        <v/>
      </c>
      <c r="T1002" s="14">
        <f>IF(G1002,O1002,NA())</f>
        <v/>
      </c>
      <c r="U1002" s="13">
        <f>IF(G1002,N1002,NA())</f>
        <v/>
      </c>
      <c r="V1002" s="14">
        <f>IF(R1002,O1002,NA())</f>
        <v/>
      </c>
      <c r="W1002" s="13">
        <f>IF(R1002,N1002,NA())</f>
        <v/>
      </c>
      <c r="X1002" s="27">
        <f>IF(G1002,P1002,"")</f>
        <v/>
      </c>
      <c r="Y1002" s="27">
        <f>IF(G1002,N1002,"")</f>
        <v/>
      </c>
      <c r="Z1002" s="27">
        <f>IF(R1002,O1002,"")</f>
        <v/>
      </c>
      <c r="AA1002" s="27">
        <f>IF(R1002,N1002,"")</f>
        <v/>
      </c>
    </row>
    <row r="1003">
      <c r="A1003" s="31" t="n">
        <v>0.3</v>
      </c>
      <c r="B1003" s="31" t="n">
        <v>0.2</v>
      </c>
      <c r="C1003" s="31" t="n">
        <v>0.4</v>
      </c>
      <c r="D1003" s="31" t="n">
        <v>0.1</v>
      </c>
      <c r="E1003" s="27" t="inlineStr">
        <is>
          <t>ON 30%/1M 20%/2M 40%/3M 10%</t>
        </is>
      </c>
      <c r="F1003" s="27" t="n">
        <v>50</v>
      </c>
      <c r="G1003" s="27">
        <f>A1003*$B$7&gt;=$B$9</f>
        <v/>
      </c>
      <c r="H1003" s="13">
        <f>$B$7*(A1003*E$71+B1003*F$71+C1003*G$71+D1003*H$71)+F1003/100*$B$7*J$71-$C$71</f>
        <v/>
      </c>
      <c r="I1003" s="13">
        <f>$B$7*(A1003*L$71+B1003*M$71+C1003*N$71+D1003*O$71)+F1003/100*$B$7*Q$71-$C$71</f>
        <v/>
      </c>
      <c r="J1003" s="13">
        <f>$B$7*(A1003*S$71+B1003*T$71+C1003*U$71+D1003*V$71)+F1003/100*$B$7*X$71-$C$71</f>
        <v/>
      </c>
      <c r="K1003" s="13">
        <f>$B$7*(A1003*Z$71+B1003*AA$71+C1003*AB$71+D1003*AC$71)+F1003/100*$B$7*AE$71-$C$71</f>
        <v/>
      </c>
      <c r="L1003" s="13">
        <f>$B$7*(A1003*AG$71+B1003*AH$71+C1003*AI$71+D1003*AJ$71)+F1003/100*$B$7*AL$71-$C$71</f>
        <v/>
      </c>
      <c r="M1003" s="13">
        <f>$B$7*(A1003*AN$71+B1003*AO$71+C1003*AP$71+D1003*AQ$71)+F1003/100*$B$7*AS$71-$C$71</f>
        <v/>
      </c>
      <c r="N1003" s="13">
        <f>SUMPRODUCT($H$24:$M$24,H1003:M1003)</f>
        <v/>
      </c>
      <c r="O1003" s="14">
        <f>SQRT(SUMPRODUCT($H$24:$M$24,(H1003:M1003-N1003)^2))</f>
        <v/>
      </c>
      <c r="P1003" s="13">
        <f>MIN(H1003:M1003)</f>
        <v/>
      </c>
      <c r="Q1003" s="13">
        <f>MAX(H1003:M1003)</f>
        <v/>
      </c>
      <c r="R1003" s="27">
        <f>IF(G1003,SUMPRODUCT(($G$76:$G$1505)*($N$76:$N$1505&gt;=N1003)*($O$76:$O$1505&lt;=O1003))=1,FALSE)</f>
        <v/>
      </c>
      <c r="S1003" s="16">
        <f>IF(R1003,ABS((O1003-$AC$76)/MAX(0.0001,$AC$77-$AC$76)-(N1003-$AC$78)/MAX(0.0001,$AC$79-$AC$78)),-1)</f>
        <v/>
      </c>
      <c r="T1003" s="14">
        <f>IF(G1003,O1003,NA())</f>
        <v/>
      </c>
      <c r="U1003" s="13">
        <f>IF(G1003,N1003,NA())</f>
        <v/>
      </c>
      <c r="V1003" s="14">
        <f>IF(R1003,O1003,NA())</f>
        <v/>
      </c>
      <c r="W1003" s="13">
        <f>IF(R1003,N1003,NA())</f>
        <v/>
      </c>
      <c r="X1003" s="27">
        <f>IF(G1003,P1003,"")</f>
        <v/>
      </c>
      <c r="Y1003" s="27">
        <f>IF(G1003,N1003,"")</f>
        <v/>
      </c>
      <c r="Z1003" s="27">
        <f>IF(R1003,O1003,"")</f>
        <v/>
      </c>
      <c r="AA1003" s="27">
        <f>IF(R1003,N1003,"")</f>
        <v/>
      </c>
    </row>
    <row r="1004">
      <c r="A1004" s="31" t="n">
        <v>0.3</v>
      </c>
      <c r="B1004" s="31" t="n">
        <v>0.2</v>
      </c>
      <c r="C1004" s="31" t="n">
        <v>0.4</v>
      </c>
      <c r="D1004" s="31" t="n">
        <v>0.1</v>
      </c>
      <c r="E1004" s="27" t="inlineStr">
        <is>
          <t>ON 30%/1M 20%/2M 40%/3M 10%</t>
        </is>
      </c>
      <c r="F1004" s="27" t="n">
        <v>75</v>
      </c>
      <c r="G1004" s="27">
        <f>A1004*$B$7&gt;=$B$9</f>
        <v/>
      </c>
      <c r="H1004" s="13">
        <f>$B$7*(A1004*E$71+B1004*F$71+C1004*G$71+D1004*H$71)+F1004/100*$B$7*J$71-$C$71</f>
        <v/>
      </c>
      <c r="I1004" s="13">
        <f>$B$7*(A1004*L$71+B1004*M$71+C1004*N$71+D1004*O$71)+F1004/100*$B$7*Q$71-$C$71</f>
        <v/>
      </c>
      <c r="J1004" s="13">
        <f>$B$7*(A1004*S$71+B1004*T$71+C1004*U$71+D1004*V$71)+F1004/100*$B$7*X$71-$C$71</f>
        <v/>
      </c>
      <c r="K1004" s="13">
        <f>$B$7*(A1004*Z$71+B1004*AA$71+C1004*AB$71+D1004*AC$71)+F1004/100*$B$7*AE$71-$C$71</f>
        <v/>
      </c>
      <c r="L1004" s="13">
        <f>$B$7*(A1004*AG$71+B1004*AH$71+C1004*AI$71+D1004*AJ$71)+F1004/100*$B$7*AL$71-$C$71</f>
        <v/>
      </c>
      <c r="M1004" s="13">
        <f>$B$7*(A1004*AN$71+B1004*AO$71+C1004*AP$71+D1004*AQ$71)+F1004/100*$B$7*AS$71-$C$71</f>
        <v/>
      </c>
      <c r="N1004" s="13">
        <f>SUMPRODUCT($H$24:$M$24,H1004:M1004)</f>
        <v/>
      </c>
      <c r="O1004" s="14">
        <f>SQRT(SUMPRODUCT($H$24:$M$24,(H1004:M1004-N1004)^2))</f>
        <v/>
      </c>
      <c r="P1004" s="13">
        <f>MIN(H1004:M1004)</f>
        <v/>
      </c>
      <c r="Q1004" s="13">
        <f>MAX(H1004:M1004)</f>
        <v/>
      </c>
      <c r="R1004" s="27">
        <f>IF(G1004,SUMPRODUCT(($G$76:$G$1505)*($N$76:$N$1505&gt;=N1004)*($O$76:$O$1505&lt;=O1004))=1,FALSE)</f>
        <v/>
      </c>
      <c r="S1004" s="16">
        <f>IF(R1004,ABS((O1004-$AC$76)/MAX(0.0001,$AC$77-$AC$76)-(N1004-$AC$78)/MAX(0.0001,$AC$79-$AC$78)),-1)</f>
        <v/>
      </c>
      <c r="T1004" s="14">
        <f>IF(G1004,O1004,NA())</f>
        <v/>
      </c>
      <c r="U1004" s="13">
        <f>IF(G1004,N1004,NA())</f>
        <v/>
      </c>
      <c r="V1004" s="14">
        <f>IF(R1004,O1004,NA())</f>
        <v/>
      </c>
      <c r="W1004" s="13">
        <f>IF(R1004,N1004,NA())</f>
        <v/>
      </c>
      <c r="X1004" s="27">
        <f>IF(G1004,P1004,"")</f>
        <v/>
      </c>
      <c r="Y1004" s="27">
        <f>IF(G1004,N1004,"")</f>
        <v/>
      </c>
      <c r="Z1004" s="27">
        <f>IF(R1004,O1004,"")</f>
        <v/>
      </c>
      <c r="AA1004" s="27">
        <f>IF(R1004,N1004,"")</f>
        <v/>
      </c>
    </row>
    <row r="1005">
      <c r="A1005" s="31" t="n">
        <v>0.3</v>
      </c>
      <c r="B1005" s="31" t="n">
        <v>0.2</v>
      </c>
      <c r="C1005" s="31" t="n">
        <v>0.4</v>
      </c>
      <c r="D1005" s="31" t="n">
        <v>0.1</v>
      </c>
      <c r="E1005" s="27" t="inlineStr">
        <is>
          <t>ON 30%/1M 20%/2M 40%/3M 10%</t>
        </is>
      </c>
      <c r="F1005" s="27" t="n">
        <v>100</v>
      </c>
      <c r="G1005" s="27">
        <f>A1005*$B$7&gt;=$B$9</f>
        <v/>
      </c>
      <c r="H1005" s="13">
        <f>$B$7*(A1005*E$71+B1005*F$71+C1005*G$71+D1005*H$71)+F1005/100*$B$7*J$71-$C$71</f>
        <v/>
      </c>
      <c r="I1005" s="13">
        <f>$B$7*(A1005*L$71+B1005*M$71+C1005*N$71+D1005*O$71)+F1005/100*$B$7*Q$71-$C$71</f>
        <v/>
      </c>
      <c r="J1005" s="13">
        <f>$B$7*(A1005*S$71+B1005*T$71+C1005*U$71+D1005*V$71)+F1005/100*$B$7*X$71-$C$71</f>
        <v/>
      </c>
      <c r="K1005" s="13">
        <f>$B$7*(A1005*Z$71+B1005*AA$71+C1005*AB$71+D1005*AC$71)+F1005/100*$B$7*AE$71-$C$71</f>
        <v/>
      </c>
      <c r="L1005" s="13">
        <f>$B$7*(A1005*AG$71+B1005*AH$71+C1005*AI$71+D1005*AJ$71)+F1005/100*$B$7*AL$71-$C$71</f>
        <v/>
      </c>
      <c r="M1005" s="13">
        <f>$B$7*(A1005*AN$71+B1005*AO$71+C1005*AP$71+D1005*AQ$71)+F1005/100*$B$7*AS$71-$C$71</f>
        <v/>
      </c>
      <c r="N1005" s="13">
        <f>SUMPRODUCT($H$24:$M$24,H1005:M1005)</f>
        <v/>
      </c>
      <c r="O1005" s="14">
        <f>SQRT(SUMPRODUCT($H$24:$M$24,(H1005:M1005-N1005)^2))</f>
        <v/>
      </c>
      <c r="P1005" s="13">
        <f>MIN(H1005:M1005)</f>
        <v/>
      </c>
      <c r="Q1005" s="13">
        <f>MAX(H1005:M1005)</f>
        <v/>
      </c>
      <c r="R1005" s="27">
        <f>IF(G1005,SUMPRODUCT(($G$76:$G$1505)*($N$76:$N$1505&gt;=N1005)*($O$76:$O$1505&lt;=O1005))=1,FALSE)</f>
        <v/>
      </c>
      <c r="S1005" s="16">
        <f>IF(R1005,ABS((O1005-$AC$76)/MAX(0.0001,$AC$77-$AC$76)-(N1005-$AC$78)/MAX(0.0001,$AC$79-$AC$78)),-1)</f>
        <v/>
      </c>
      <c r="T1005" s="14">
        <f>IF(G1005,O1005,NA())</f>
        <v/>
      </c>
      <c r="U1005" s="13">
        <f>IF(G1005,N1005,NA())</f>
        <v/>
      </c>
      <c r="V1005" s="14">
        <f>IF(R1005,O1005,NA())</f>
        <v/>
      </c>
      <c r="W1005" s="13">
        <f>IF(R1005,N1005,NA())</f>
        <v/>
      </c>
      <c r="X1005" s="27">
        <f>IF(G1005,P1005,"")</f>
        <v/>
      </c>
      <c r="Y1005" s="27">
        <f>IF(G1005,N1005,"")</f>
        <v/>
      </c>
      <c r="Z1005" s="27">
        <f>IF(R1005,O1005,"")</f>
        <v/>
      </c>
      <c r="AA1005" s="27">
        <f>IF(R1005,N1005,"")</f>
        <v/>
      </c>
    </row>
    <row r="1006">
      <c r="A1006" s="31" t="n">
        <v>0.3</v>
      </c>
      <c r="B1006" s="31" t="n">
        <v>0.2</v>
      </c>
      <c r="C1006" s="31" t="n">
        <v>0.5</v>
      </c>
      <c r="D1006" s="31" t="n">
        <v>0</v>
      </c>
      <c r="E1006" s="27" t="inlineStr">
        <is>
          <t>ON 30%/1M 20%/2M 50%</t>
        </is>
      </c>
      <c r="F1006" s="27" t="n">
        <v>0</v>
      </c>
      <c r="G1006" s="27">
        <f>A1006*$B$7&gt;=$B$9</f>
        <v/>
      </c>
      <c r="H1006" s="13">
        <f>$B$7*(A1006*E$71+B1006*F$71+C1006*G$71+D1006*H$71)+F1006/100*$B$7*J$71-$C$71</f>
        <v/>
      </c>
      <c r="I1006" s="13">
        <f>$B$7*(A1006*L$71+B1006*M$71+C1006*N$71+D1006*O$71)+F1006/100*$B$7*Q$71-$C$71</f>
        <v/>
      </c>
      <c r="J1006" s="13">
        <f>$B$7*(A1006*S$71+B1006*T$71+C1006*U$71+D1006*V$71)+F1006/100*$B$7*X$71-$C$71</f>
        <v/>
      </c>
      <c r="K1006" s="13">
        <f>$B$7*(A1006*Z$71+B1006*AA$71+C1006*AB$71+D1006*AC$71)+F1006/100*$B$7*AE$71-$C$71</f>
        <v/>
      </c>
      <c r="L1006" s="13">
        <f>$B$7*(A1006*AG$71+B1006*AH$71+C1006*AI$71+D1006*AJ$71)+F1006/100*$B$7*AL$71-$C$71</f>
        <v/>
      </c>
      <c r="M1006" s="13">
        <f>$B$7*(A1006*AN$71+B1006*AO$71+C1006*AP$71+D1006*AQ$71)+F1006/100*$B$7*AS$71-$C$71</f>
        <v/>
      </c>
      <c r="N1006" s="13">
        <f>SUMPRODUCT($H$24:$M$24,H1006:M1006)</f>
        <v/>
      </c>
      <c r="O1006" s="14">
        <f>SQRT(SUMPRODUCT($H$24:$M$24,(H1006:M1006-N1006)^2))</f>
        <v/>
      </c>
      <c r="P1006" s="13">
        <f>MIN(H1006:M1006)</f>
        <v/>
      </c>
      <c r="Q1006" s="13">
        <f>MAX(H1006:M1006)</f>
        <v/>
      </c>
      <c r="R1006" s="27">
        <f>IF(G1006,SUMPRODUCT(($G$76:$G$1505)*($N$76:$N$1505&gt;=N1006)*($O$76:$O$1505&lt;=O1006))=1,FALSE)</f>
        <v/>
      </c>
      <c r="S1006" s="16">
        <f>IF(R1006,ABS((O1006-$AC$76)/MAX(0.0001,$AC$77-$AC$76)-(N1006-$AC$78)/MAX(0.0001,$AC$79-$AC$78)),-1)</f>
        <v/>
      </c>
      <c r="T1006" s="14">
        <f>IF(G1006,O1006,NA())</f>
        <v/>
      </c>
      <c r="U1006" s="13">
        <f>IF(G1006,N1006,NA())</f>
        <v/>
      </c>
      <c r="V1006" s="14">
        <f>IF(R1006,O1006,NA())</f>
        <v/>
      </c>
      <c r="W1006" s="13">
        <f>IF(R1006,N1006,NA())</f>
        <v/>
      </c>
      <c r="X1006" s="27">
        <f>IF(G1006,P1006,"")</f>
        <v/>
      </c>
      <c r="Y1006" s="27">
        <f>IF(G1006,N1006,"")</f>
        <v/>
      </c>
      <c r="Z1006" s="27">
        <f>IF(R1006,O1006,"")</f>
        <v/>
      </c>
      <c r="AA1006" s="27">
        <f>IF(R1006,N1006,"")</f>
        <v/>
      </c>
    </row>
    <row r="1007">
      <c r="A1007" s="31" t="n">
        <v>0.3</v>
      </c>
      <c r="B1007" s="31" t="n">
        <v>0.2</v>
      </c>
      <c r="C1007" s="31" t="n">
        <v>0.5</v>
      </c>
      <c r="D1007" s="31" t="n">
        <v>0</v>
      </c>
      <c r="E1007" s="27" t="inlineStr">
        <is>
          <t>ON 30%/1M 20%/2M 50%</t>
        </is>
      </c>
      <c r="F1007" s="27" t="n">
        <v>25</v>
      </c>
      <c r="G1007" s="27">
        <f>A1007*$B$7&gt;=$B$9</f>
        <v/>
      </c>
      <c r="H1007" s="13">
        <f>$B$7*(A1007*E$71+B1007*F$71+C1007*G$71+D1007*H$71)+F1007/100*$B$7*J$71-$C$71</f>
        <v/>
      </c>
      <c r="I1007" s="13">
        <f>$B$7*(A1007*L$71+B1007*M$71+C1007*N$71+D1007*O$71)+F1007/100*$B$7*Q$71-$C$71</f>
        <v/>
      </c>
      <c r="J1007" s="13">
        <f>$B$7*(A1007*S$71+B1007*T$71+C1007*U$71+D1007*V$71)+F1007/100*$B$7*X$71-$C$71</f>
        <v/>
      </c>
      <c r="K1007" s="13">
        <f>$B$7*(A1007*Z$71+B1007*AA$71+C1007*AB$71+D1007*AC$71)+F1007/100*$B$7*AE$71-$C$71</f>
        <v/>
      </c>
      <c r="L1007" s="13">
        <f>$B$7*(A1007*AG$71+B1007*AH$71+C1007*AI$71+D1007*AJ$71)+F1007/100*$B$7*AL$71-$C$71</f>
        <v/>
      </c>
      <c r="M1007" s="13">
        <f>$B$7*(A1007*AN$71+B1007*AO$71+C1007*AP$71+D1007*AQ$71)+F1007/100*$B$7*AS$71-$C$71</f>
        <v/>
      </c>
      <c r="N1007" s="13">
        <f>SUMPRODUCT($H$24:$M$24,H1007:M1007)</f>
        <v/>
      </c>
      <c r="O1007" s="14">
        <f>SQRT(SUMPRODUCT($H$24:$M$24,(H1007:M1007-N1007)^2))</f>
        <v/>
      </c>
      <c r="P1007" s="13">
        <f>MIN(H1007:M1007)</f>
        <v/>
      </c>
      <c r="Q1007" s="13">
        <f>MAX(H1007:M1007)</f>
        <v/>
      </c>
      <c r="R1007" s="27">
        <f>IF(G1007,SUMPRODUCT(($G$76:$G$1505)*($N$76:$N$1505&gt;=N1007)*($O$76:$O$1505&lt;=O1007))=1,FALSE)</f>
        <v/>
      </c>
      <c r="S1007" s="16">
        <f>IF(R1007,ABS((O1007-$AC$76)/MAX(0.0001,$AC$77-$AC$76)-(N1007-$AC$78)/MAX(0.0001,$AC$79-$AC$78)),-1)</f>
        <v/>
      </c>
      <c r="T1007" s="14">
        <f>IF(G1007,O1007,NA())</f>
        <v/>
      </c>
      <c r="U1007" s="13">
        <f>IF(G1007,N1007,NA())</f>
        <v/>
      </c>
      <c r="V1007" s="14">
        <f>IF(R1007,O1007,NA())</f>
        <v/>
      </c>
      <c r="W1007" s="13">
        <f>IF(R1007,N1007,NA())</f>
        <v/>
      </c>
      <c r="X1007" s="27">
        <f>IF(G1007,P1007,"")</f>
        <v/>
      </c>
      <c r="Y1007" s="27">
        <f>IF(G1007,N1007,"")</f>
        <v/>
      </c>
      <c r="Z1007" s="27">
        <f>IF(R1007,O1007,"")</f>
        <v/>
      </c>
      <c r="AA1007" s="27">
        <f>IF(R1007,N1007,"")</f>
        <v/>
      </c>
    </row>
    <row r="1008">
      <c r="A1008" s="31" t="n">
        <v>0.3</v>
      </c>
      <c r="B1008" s="31" t="n">
        <v>0.2</v>
      </c>
      <c r="C1008" s="31" t="n">
        <v>0.5</v>
      </c>
      <c r="D1008" s="31" t="n">
        <v>0</v>
      </c>
      <c r="E1008" s="27" t="inlineStr">
        <is>
          <t>ON 30%/1M 20%/2M 50%</t>
        </is>
      </c>
      <c r="F1008" s="27" t="n">
        <v>50</v>
      </c>
      <c r="G1008" s="27">
        <f>A1008*$B$7&gt;=$B$9</f>
        <v/>
      </c>
      <c r="H1008" s="13">
        <f>$B$7*(A1008*E$71+B1008*F$71+C1008*G$71+D1008*H$71)+F1008/100*$B$7*J$71-$C$71</f>
        <v/>
      </c>
      <c r="I1008" s="13">
        <f>$B$7*(A1008*L$71+B1008*M$71+C1008*N$71+D1008*O$71)+F1008/100*$B$7*Q$71-$C$71</f>
        <v/>
      </c>
      <c r="J1008" s="13">
        <f>$B$7*(A1008*S$71+B1008*T$71+C1008*U$71+D1008*V$71)+F1008/100*$B$7*X$71-$C$71</f>
        <v/>
      </c>
      <c r="K1008" s="13">
        <f>$B$7*(A1008*Z$71+B1008*AA$71+C1008*AB$71+D1008*AC$71)+F1008/100*$B$7*AE$71-$C$71</f>
        <v/>
      </c>
      <c r="L1008" s="13">
        <f>$B$7*(A1008*AG$71+B1008*AH$71+C1008*AI$71+D1008*AJ$71)+F1008/100*$B$7*AL$71-$C$71</f>
        <v/>
      </c>
      <c r="M1008" s="13">
        <f>$B$7*(A1008*AN$71+B1008*AO$71+C1008*AP$71+D1008*AQ$71)+F1008/100*$B$7*AS$71-$C$71</f>
        <v/>
      </c>
      <c r="N1008" s="13">
        <f>SUMPRODUCT($H$24:$M$24,H1008:M1008)</f>
        <v/>
      </c>
      <c r="O1008" s="14">
        <f>SQRT(SUMPRODUCT($H$24:$M$24,(H1008:M1008-N1008)^2))</f>
        <v/>
      </c>
      <c r="P1008" s="13">
        <f>MIN(H1008:M1008)</f>
        <v/>
      </c>
      <c r="Q1008" s="13">
        <f>MAX(H1008:M1008)</f>
        <v/>
      </c>
      <c r="R1008" s="27">
        <f>IF(G1008,SUMPRODUCT(($G$76:$G$1505)*($N$76:$N$1505&gt;=N1008)*($O$76:$O$1505&lt;=O1008))=1,FALSE)</f>
        <v/>
      </c>
      <c r="S1008" s="16">
        <f>IF(R1008,ABS((O1008-$AC$76)/MAX(0.0001,$AC$77-$AC$76)-(N1008-$AC$78)/MAX(0.0001,$AC$79-$AC$78)),-1)</f>
        <v/>
      </c>
      <c r="T1008" s="14">
        <f>IF(G1008,O1008,NA())</f>
        <v/>
      </c>
      <c r="U1008" s="13">
        <f>IF(G1008,N1008,NA())</f>
        <v/>
      </c>
      <c r="V1008" s="14">
        <f>IF(R1008,O1008,NA())</f>
        <v/>
      </c>
      <c r="W1008" s="13">
        <f>IF(R1008,N1008,NA())</f>
        <v/>
      </c>
      <c r="X1008" s="27">
        <f>IF(G1008,P1008,"")</f>
        <v/>
      </c>
      <c r="Y1008" s="27">
        <f>IF(G1008,N1008,"")</f>
        <v/>
      </c>
      <c r="Z1008" s="27">
        <f>IF(R1008,O1008,"")</f>
        <v/>
      </c>
      <c r="AA1008" s="27">
        <f>IF(R1008,N1008,"")</f>
        <v/>
      </c>
    </row>
    <row r="1009">
      <c r="A1009" s="31" t="n">
        <v>0.3</v>
      </c>
      <c r="B1009" s="31" t="n">
        <v>0.2</v>
      </c>
      <c r="C1009" s="31" t="n">
        <v>0.5</v>
      </c>
      <c r="D1009" s="31" t="n">
        <v>0</v>
      </c>
      <c r="E1009" s="27" t="inlineStr">
        <is>
          <t>ON 30%/1M 20%/2M 50%</t>
        </is>
      </c>
      <c r="F1009" s="27" t="n">
        <v>75</v>
      </c>
      <c r="G1009" s="27">
        <f>A1009*$B$7&gt;=$B$9</f>
        <v/>
      </c>
      <c r="H1009" s="13">
        <f>$B$7*(A1009*E$71+B1009*F$71+C1009*G$71+D1009*H$71)+F1009/100*$B$7*J$71-$C$71</f>
        <v/>
      </c>
      <c r="I1009" s="13">
        <f>$B$7*(A1009*L$71+B1009*M$71+C1009*N$71+D1009*O$71)+F1009/100*$B$7*Q$71-$C$71</f>
        <v/>
      </c>
      <c r="J1009" s="13">
        <f>$B$7*(A1009*S$71+B1009*T$71+C1009*U$71+D1009*V$71)+F1009/100*$B$7*X$71-$C$71</f>
        <v/>
      </c>
      <c r="K1009" s="13">
        <f>$B$7*(A1009*Z$71+B1009*AA$71+C1009*AB$71+D1009*AC$71)+F1009/100*$B$7*AE$71-$C$71</f>
        <v/>
      </c>
      <c r="L1009" s="13">
        <f>$B$7*(A1009*AG$71+B1009*AH$71+C1009*AI$71+D1009*AJ$71)+F1009/100*$B$7*AL$71-$C$71</f>
        <v/>
      </c>
      <c r="M1009" s="13">
        <f>$B$7*(A1009*AN$71+B1009*AO$71+C1009*AP$71+D1009*AQ$71)+F1009/100*$B$7*AS$71-$C$71</f>
        <v/>
      </c>
      <c r="N1009" s="13">
        <f>SUMPRODUCT($H$24:$M$24,H1009:M1009)</f>
        <v/>
      </c>
      <c r="O1009" s="14">
        <f>SQRT(SUMPRODUCT($H$24:$M$24,(H1009:M1009-N1009)^2))</f>
        <v/>
      </c>
      <c r="P1009" s="13">
        <f>MIN(H1009:M1009)</f>
        <v/>
      </c>
      <c r="Q1009" s="13">
        <f>MAX(H1009:M1009)</f>
        <v/>
      </c>
      <c r="R1009" s="27">
        <f>IF(G1009,SUMPRODUCT(($G$76:$G$1505)*($N$76:$N$1505&gt;=N1009)*($O$76:$O$1505&lt;=O1009))=1,FALSE)</f>
        <v/>
      </c>
      <c r="S1009" s="16">
        <f>IF(R1009,ABS((O1009-$AC$76)/MAX(0.0001,$AC$77-$AC$76)-(N1009-$AC$78)/MAX(0.0001,$AC$79-$AC$78)),-1)</f>
        <v/>
      </c>
      <c r="T1009" s="14">
        <f>IF(G1009,O1009,NA())</f>
        <v/>
      </c>
      <c r="U1009" s="13">
        <f>IF(G1009,N1009,NA())</f>
        <v/>
      </c>
      <c r="V1009" s="14">
        <f>IF(R1009,O1009,NA())</f>
        <v/>
      </c>
      <c r="W1009" s="13">
        <f>IF(R1009,N1009,NA())</f>
        <v/>
      </c>
      <c r="X1009" s="27">
        <f>IF(G1009,P1009,"")</f>
        <v/>
      </c>
      <c r="Y1009" s="27">
        <f>IF(G1009,N1009,"")</f>
        <v/>
      </c>
      <c r="Z1009" s="27">
        <f>IF(R1009,O1009,"")</f>
        <v/>
      </c>
      <c r="AA1009" s="27">
        <f>IF(R1009,N1009,"")</f>
        <v/>
      </c>
    </row>
    <row r="1010">
      <c r="A1010" s="31" t="n">
        <v>0.3</v>
      </c>
      <c r="B1010" s="31" t="n">
        <v>0.2</v>
      </c>
      <c r="C1010" s="31" t="n">
        <v>0.5</v>
      </c>
      <c r="D1010" s="31" t="n">
        <v>0</v>
      </c>
      <c r="E1010" s="27" t="inlineStr">
        <is>
          <t>ON 30%/1M 20%/2M 50%</t>
        </is>
      </c>
      <c r="F1010" s="27" t="n">
        <v>100</v>
      </c>
      <c r="G1010" s="27">
        <f>A1010*$B$7&gt;=$B$9</f>
        <v/>
      </c>
      <c r="H1010" s="13">
        <f>$B$7*(A1010*E$71+B1010*F$71+C1010*G$71+D1010*H$71)+F1010/100*$B$7*J$71-$C$71</f>
        <v/>
      </c>
      <c r="I1010" s="13">
        <f>$B$7*(A1010*L$71+B1010*M$71+C1010*N$71+D1010*O$71)+F1010/100*$B$7*Q$71-$C$71</f>
        <v/>
      </c>
      <c r="J1010" s="13">
        <f>$B$7*(A1010*S$71+B1010*T$71+C1010*U$71+D1010*V$71)+F1010/100*$B$7*X$71-$C$71</f>
        <v/>
      </c>
      <c r="K1010" s="13">
        <f>$B$7*(A1010*Z$71+B1010*AA$71+C1010*AB$71+D1010*AC$71)+F1010/100*$B$7*AE$71-$C$71</f>
        <v/>
      </c>
      <c r="L1010" s="13">
        <f>$B$7*(A1010*AG$71+B1010*AH$71+C1010*AI$71+D1010*AJ$71)+F1010/100*$B$7*AL$71-$C$71</f>
        <v/>
      </c>
      <c r="M1010" s="13">
        <f>$B$7*(A1010*AN$71+B1010*AO$71+C1010*AP$71+D1010*AQ$71)+F1010/100*$B$7*AS$71-$C$71</f>
        <v/>
      </c>
      <c r="N1010" s="13">
        <f>SUMPRODUCT($H$24:$M$24,H1010:M1010)</f>
        <v/>
      </c>
      <c r="O1010" s="14">
        <f>SQRT(SUMPRODUCT($H$24:$M$24,(H1010:M1010-N1010)^2))</f>
        <v/>
      </c>
      <c r="P1010" s="13">
        <f>MIN(H1010:M1010)</f>
        <v/>
      </c>
      <c r="Q1010" s="13">
        <f>MAX(H1010:M1010)</f>
        <v/>
      </c>
      <c r="R1010" s="27">
        <f>IF(G1010,SUMPRODUCT(($G$76:$G$1505)*($N$76:$N$1505&gt;=N1010)*($O$76:$O$1505&lt;=O1010))=1,FALSE)</f>
        <v/>
      </c>
      <c r="S1010" s="16">
        <f>IF(R1010,ABS((O1010-$AC$76)/MAX(0.0001,$AC$77-$AC$76)-(N1010-$AC$78)/MAX(0.0001,$AC$79-$AC$78)),-1)</f>
        <v/>
      </c>
      <c r="T1010" s="14">
        <f>IF(G1010,O1010,NA())</f>
        <v/>
      </c>
      <c r="U1010" s="13">
        <f>IF(G1010,N1010,NA())</f>
        <v/>
      </c>
      <c r="V1010" s="14">
        <f>IF(R1010,O1010,NA())</f>
        <v/>
      </c>
      <c r="W1010" s="13">
        <f>IF(R1010,N1010,NA())</f>
        <v/>
      </c>
      <c r="X1010" s="27">
        <f>IF(G1010,P1010,"")</f>
        <v/>
      </c>
      <c r="Y1010" s="27">
        <f>IF(G1010,N1010,"")</f>
        <v/>
      </c>
      <c r="Z1010" s="27">
        <f>IF(R1010,O1010,"")</f>
        <v/>
      </c>
      <c r="AA1010" s="27">
        <f>IF(R1010,N1010,"")</f>
        <v/>
      </c>
    </row>
    <row r="1011">
      <c r="A1011" s="31" t="n">
        <v>0.3</v>
      </c>
      <c r="B1011" s="31" t="n">
        <v>0.3</v>
      </c>
      <c r="C1011" s="31" t="n">
        <v>0</v>
      </c>
      <c r="D1011" s="31" t="n">
        <v>0.4</v>
      </c>
      <c r="E1011" s="27" t="inlineStr">
        <is>
          <t>ON 30%/1M 30%/3M 40%</t>
        </is>
      </c>
      <c r="F1011" s="27" t="n">
        <v>0</v>
      </c>
      <c r="G1011" s="27">
        <f>A1011*$B$7&gt;=$B$9</f>
        <v/>
      </c>
      <c r="H1011" s="13">
        <f>$B$7*(A1011*E$71+B1011*F$71+C1011*G$71+D1011*H$71)+F1011/100*$B$7*J$71-$C$71</f>
        <v/>
      </c>
      <c r="I1011" s="13">
        <f>$B$7*(A1011*L$71+B1011*M$71+C1011*N$71+D1011*O$71)+F1011/100*$B$7*Q$71-$C$71</f>
        <v/>
      </c>
      <c r="J1011" s="13">
        <f>$B$7*(A1011*S$71+B1011*T$71+C1011*U$71+D1011*V$71)+F1011/100*$B$7*X$71-$C$71</f>
        <v/>
      </c>
      <c r="K1011" s="13">
        <f>$B$7*(A1011*Z$71+B1011*AA$71+C1011*AB$71+D1011*AC$71)+F1011/100*$B$7*AE$71-$C$71</f>
        <v/>
      </c>
      <c r="L1011" s="13">
        <f>$B$7*(A1011*AG$71+B1011*AH$71+C1011*AI$71+D1011*AJ$71)+F1011/100*$B$7*AL$71-$C$71</f>
        <v/>
      </c>
      <c r="M1011" s="13">
        <f>$B$7*(A1011*AN$71+B1011*AO$71+C1011*AP$71+D1011*AQ$71)+F1011/100*$B$7*AS$71-$C$71</f>
        <v/>
      </c>
      <c r="N1011" s="13">
        <f>SUMPRODUCT($H$24:$M$24,H1011:M1011)</f>
        <v/>
      </c>
      <c r="O1011" s="14">
        <f>SQRT(SUMPRODUCT($H$24:$M$24,(H1011:M1011-N1011)^2))</f>
        <v/>
      </c>
      <c r="P1011" s="13">
        <f>MIN(H1011:M1011)</f>
        <v/>
      </c>
      <c r="Q1011" s="13">
        <f>MAX(H1011:M1011)</f>
        <v/>
      </c>
      <c r="R1011" s="27">
        <f>IF(G1011,SUMPRODUCT(($G$76:$G$1505)*($N$76:$N$1505&gt;=N1011)*($O$76:$O$1505&lt;=O1011))=1,FALSE)</f>
        <v/>
      </c>
      <c r="S1011" s="16">
        <f>IF(R1011,ABS((O1011-$AC$76)/MAX(0.0001,$AC$77-$AC$76)-(N1011-$AC$78)/MAX(0.0001,$AC$79-$AC$78)),-1)</f>
        <v/>
      </c>
      <c r="T1011" s="14">
        <f>IF(G1011,O1011,NA())</f>
        <v/>
      </c>
      <c r="U1011" s="13">
        <f>IF(G1011,N1011,NA())</f>
        <v/>
      </c>
      <c r="V1011" s="14">
        <f>IF(R1011,O1011,NA())</f>
        <v/>
      </c>
      <c r="W1011" s="13">
        <f>IF(R1011,N1011,NA())</f>
        <v/>
      </c>
      <c r="X1011" s="27">
        <f>IF(G1011,P1011,"")</f>
        <v/>
      </c>
      <c r="Y1011" s="27">
        <f>IF(G1011,N1011,"")</f>
        <v/>
      </c>
      <c r="Z1011" s="27">
        <f>IF(R1011,O1011,"")</f>
        <v/>
      </c>
      <c r="AA1011" s="27">
        <f>IF(R1011,N1011,"")</f>
        <v/>
      </c>
    </row>
    <row r="1012">
      <c r="A1012" s="31" t="n">
        <v>0.3</v>
      </c>
      <c r="B1012" s="31" t="n">
        <v>0.3</v>
      </c>
      <c r="C1012" s="31" t="n">
        <v>0</v>
      </c>
      <c r="D1012" s="31" t="n">
        <v>0.4</v>
      </c>
      <c r="E1012" s="27" t="inlineStr">
        <is>
          <t>ON 30%/1M 30%/3M 40%</t>
        </is>
      </c>
      <c r="F1012" s="27" t="n">
        <v>25</v>
      </c>
      <c r="G1012" s="27">
        <f>A1012*$B$7&gt;=$B$9</f>
        <v/>
      </c>
      <c r="H1012" s="13">
        <f>$B$7*(A1012*E$71+B1012*F$71+C1012*G$71+D1012*H$71)+F1012/100*$B$7*J$71-$C$71</f>
        <v/>
      </c>
      <c r="I1012" s="13">
        <f>$B$7*(A1012*L$71+B1012*M$71+C1012*N$71+D1012*O$71)+F1012/100*$B$7*Q$71-$C$71</f>
        <v/>
      </c>
      <c r="J1012" s="13">
        <f>$B$7*(A1012*S$71+B1012*T$71+C1012*U$71+D1012*V$71)+F1012/100*$B$7*X$71-$C$71</f>
        <v/>
      </c>
      <c r="K1012" s="13">
        <f>$B$7*(A1012*Z$71+B1012*AA$71+C1012*AB$71+D1012*AC$71)+F1012/100*$B$7*AE$71-$C$71</f>
        <v/>
      </c>
      <c r="L1012" s="13">
        <f>$B$7*(A1012*AG$71+B1012*AH$71+C1012*AI$71+D1012*AJ$71)+F1012/100*$B$7*AL$71-$C$71</f>
        <v/>
      </c>
      <c r="M1012" s="13">
        <f>$B$7*(A1012*AN$71+B1012*AO$71+C1012*AP$71+D1012*AQ$71)+F1012/100*$B$7*AS$71-$C$71</f>
        <v/>
      </c>
      <c r="N1012" s="13">
        <f>SUMPRODUCT($H$24:$M$24,H1012:M1012)</f>
        <v/>
      </c>
      <c r="O1012" s="14">
        <f>SQRT(SUMPRODUCT($H$24:$M$24,(H1012:M1012-N1012)^2))</f>
        <v/>
      </c>
      <c r="P1012" s="13">
        <f>MIN(H1012:M1012)</f>
        <v/>
      </c>
      <c r="Q1012" s="13">
        <f>MAX(H1012:M1012)</f>
        <v/>
      </c>
      <c r="R1012" s="27">
        <f>IF(G1012,SUMPRODUCT(($G$76:$G$1505)*($N$76:$N$1505&gt;=N1012)*($O$76:$O$1505&lt;=O1012))=1,FALSE)</f>
        <v/>
      </c>
      <c r="S1012" s="16">
        <f>IF(R1012,ABS((O1012-$AC$76)/MAX(0.0001,$AC$77-$AC$76)-(N1012-$AC$78)/MAX(0.0001,$AC$79-$AC$78)),-1)</f>
        <v/>
      </c>
      <c r="T1012" s="14">
        <f>IF(G1012,O1012,NA())</f>
        <v/>
      </c>
      <c r="U1012" s="13">
        <f>IF(G1012,N1012,NA())</f>
        <v/>
      </c>
      <c r="V1012" s="14">
        <f>IF(R1012,O1012,NA())</f>
        <v/>
      </c>
      <c r="W1012" s="13">
        <f>IF(R1012,N1012,NA())</f>
        <v/>
      </c>
      <c r="X1012" s="27">
        <f>IF(G1012,P1012,"")</f>
        <v/>
      </c>
      <c r="Y1012" s="27">
        <f>IF(G1012,N1012,"")</f>
        <v/>
      </c>
      <c r="Z1012" s="27">
        <f>IF(R1012,O1012,"")</f>
        <v/>
      </c>
      <c r="AA1012" s="27">
        <f>IF(R1012,N1012,"")</f>
        <v/>
      </c>
    </row>
    <row r="1013">
      <c r="A1013" s="31" t="n">
        <v>0.3</v>
      </c>
      <c r="B1013" s="31" t="n">
        <v>0.3</v>
      </c>
      <c r="C1013" s="31" t="n">
        <v>0</v>
      </c>
      <c r="D1013" s="31" t="n">
        <v>0.4</v>
      </c>
      <c r="E1013" s="27" t="inlineStr">
        <is>
          <t>ON 30%/1M 30%/3M 40%</t>
        </is>
      </c>
      <c r="F1013" s="27" t="n">
        <v>50</v>
      </c>
      <c r="G1013" s="27">
        <f>A1013*$B$7&gt;=$B$9</f>
        <v/>
      </c>
      <c r="H1013" s="13">
        <f>$B$7*(A1013*E$71+B1013*F$71+C1013*G$71+D1013*H$71)+F1013/100*$B$7*J$71-$C$71</f>
        <v/>
      </c>
      <c r="I1013" s="13">
        <f>$B$7*(A1013*L$71+B1013*M$71+C1013*N$71+D1013*O$71)+F1013/100*$B$7*Q$71-$C$71</f>
        <v/>
      </c>
      <c r="J1013" s="13">
        <f>$B$7*(A1013*S$71+B1013*T$71+C1013*U$71+D1013*V$71)+F1013/100*$B$7*X$71-$C$71</f>
        <v/>
      </c>
      <c r="K1013" s="13">
        <f>$B$7*(A1013*Z$71+B1013*AA$71+C1013*AB$71+D1013*AC$71)+F1013/100*$B$7*AE$71-$C$71</f>
        <v/>
      </c>
      <c r="L1013" s="13">
        <f>$B$7*(A1013*AG$71+B1013*AH$71+C1013*AI$71+D1013*AJ$71)+F1013/100*$B$7*AL$71-$C$71</f>
        <v/>
      </c>
      <c r="M1013" s="13">
        <f>$B$7*(A1013*AN$71+B1013*AO$71+C1013*AP$71+D1013*AQ$71)+F1013/100*$B$7*AS$71-$C$71</f>
        <v/>
      </c>
      <c r="N1013" s="13">
        <f>SUMPRODUCT($H$24:$M$24,H1013:M1013)</f>
        <v/>
      </c>
      <c r="O1013" s="14">
        <f>SQRT(SUMPRODUCT($H$24:$M$24,(H1013:M1013-N1013)^2))</f>
        <v/>
      </c>
      <c r="P1013" s="13">
        <f>MIN(H1013:M1013)</f>
        <v/>
      </c>
      <c r="Q1013" s="13">
        <f>MAX(H1013:M1013)</f>
        <v/>
      </c>
      <c r="R1013" s="27">
        <f>IF(G1013,SUMPRODUCT(($G$76:$G$1505)*($N$76:$N$1505&gt;=N1013)*($O$76:$O$1505&lt;=O1013))=1,FALSE)</f>
        <v/>
      </c>
      <c r="S1013" s="16">
        <f>IF(R1013,ABS((O1013-$AC$76)/MAX(0.0001,$AC$77-$AC$76)-(N1013-$AC$78)/MAX(0.0001,$AC$79-$AC$78)),-1)</f>
        <v/>
      </c>
      <c r="T1013" s="14">
        <f>IF(G1013,O1013,NA())</f>
        <v/>
      </c>
      <c r="U1013" s="13">
        <f>IF(G1013,N1013,NA())</f>
        <v/>
      </c>
      <c r="V1013" s="14">
        <f>IF(R1013,O1013,NA())</f>
        <v/>
      </c>
      <c r="W1013" s="13">
        <f>IF(R1013,N1013,NA())</f>
        <v/>
      </c>
      <c r="X1013" s="27">
        <f>IF(G1013,P1013,"")</f>
        <v/>
      </c>
      <c r="Y1013" s="27">
        <f>IF(G1013,N1013,"")</f>
        <v/>
      </c>
      <c r="Z1013" s="27">
        <f>IF(R1013,O1013,"")</f>
        <v/>
      </c>
      <c r="AA1013" s="27">
        <f>IF(R1013,N1013,"")</f>
        <v/>
      </c>
    </row>
    <row r="1014">
      <c r="A1014" s="31" t="n">
        <v>0.3</v>
      </c>
      <c r="B1014" s="31" t="n">
        <v>0.3</v>
      </c>
      <c r="C1014" s="31" t="n">
        <v>0</v>
      </c>
      <c r="D1014" s="31" t="n">
        <v>0.4</v>
      </c>
      <c r="E1014" s="27" t="inlineStr">
        <is>
          <t>ON 30%/1M 30%/3M 40%</t>
        </is>
      </c>
      <c r="F1014" s="27" t="n">
        <v>75</v>
      </c>
      <c r="G1014" s="27">
        <f>A1014*$B$7&gt;=$B$9</f>
        <v/>
      </c>
      <c r="H1014" s="13">
        <f>$B$7*(A1014*E$71+B1014*F$71+C1014*G$71+D1014*H$71)+F1014/100*$B$7*J$71-$C$71</f>
        <v/>
      </c>
      <c r="I1014" s="13">
        <f>$B$7*(A1014*L$71+B1014*M$71+C1014*N$71+D1014*O$71)+F1014/100*$B$7*Q$71-$C$71</f>
        <v/>
      </c>
      <c r="J1014" s="13">
        <f>$B$7*(A1014*S$71+B1014*T$71+C1014*U$71+D1014*V$71)+F1014/100*$B$7*X$71-$C$71</f>
        <v/>
      </c>
      <c r="K1014" s="13">
        <f>$B$7*(A1014*Z$71+B1014*AA$71+C1014*AB$71+D1014*AC$71)+F1014/100*$B$7*AE$71-$C$71</f>
        <v/>
      </c>
      <c r="L1014" s="13">
        <f>$B$7*(A1014*AG$71+B1014*AH$71+C1014*AI$71+D1014*AJ$71)+F1014/100*$B$7*AL$71-$C$71</f>
        <v/>
      </c>
      <c r="M1014" s="13">
        <f>$B$7*(A1014*AN$71+B1014*AO$71+C1014*AP$71+D1014*AQ$71)+F1014/100*$B$7*AS$71-$C$71</f>
        <v/>
      </c>
      <c r="N1014" s="13">
        <f>SUMPRODUCT($H$24:$M$24,H1014:M1014)</f>
        <v/>
      </c>
      <c r="O1014" s="14">
        <f>SQRT(SUMPRODUCT($H$24:$M$24,(H1014:M1014-N1014)^2))</f>
        <v/>
      </c>
      <c r="P1014" s="13">
        <f>MIN(H1014:M1014)</f>
        <v/>
      </c>
      <c r="Q1014" s="13">
        <f>MAX(H1014:M1014)</f>
        <v/>
      </c>
      <c r="R1014" s="27">
        <f>IF(G1014,SUMPRODUCT(($G$76:$G$1505)*($N$76:$N$1505&gt;=N1014)*($O$76:$O$1505&lt;=O1014))=1,FALSE)</f>
        <v/>
      </c>
      <c r="S1014" s="16">
        <f>IF(R1014,ABS((O1014-$AC$76)/MAX(0.0001,$AC$77-$AC$76)-(N1014-$AC$78)/MAX(0.0001,$AC$79-$AC$78)),-1)</f>
        <v/>
      </c>
      <c r="T1014" s="14">
        <f>IF(G1014,O1014,NA())</f>
        <v/>
      </c>
      <c r="U1014" s="13">
        <f>IF(G1014,N1014,NA())</f>
        <v/>
      </c>
      <c r="V1014" s="14">
        <f>IF(R1014,O1014,NA())</f>
        <v/>
      </c>
      <c r="W1014" s="13">
        <f>IF(R1014,N1014,NA())</f>
        <v/>
      </c>
      <c r="X1014" s="27">
        <f>IF(G1014,P1014,"")</f>
        <v/>
      </c>
      <c r="Y1014" s="27">
        <f>IF(G1014,N1014,"")</f>
        <v/>
      </c>
      <c r="Z1014" s="27">
        <f>IF(R1014,O1014,"")</f>
        <v/>
      </c>
      <c r="AA1014" s="27">
        <f>IF(R1014,N1014,"")</f>
        <v/>
      </c>
    </row>
    <row r="1015">
      <c r="A1015" s="31" t="n">
        <v>0.3</v>
      </c>
      <c r="B1015" s="31" t="n">
        <v>0.3</v>
      </c>
      <c r="C1015" s="31" t="n">
        <v>0</v>
      </c>
      <c r="D1015" s="31" t="n">
        <v>0.4</v>
      </c>
      <c r="E1015" s="27" t="inlineStr">
        <is>
          <t>ON 30%/1M 30%/3M 40%</t>
        </is>
      </c>
      <c r="F1015" s="27" t="n">
        <v>100</v>
      </c>
      <c r="G1015" s="27">
        <f>A1015*$B$7&gt;=$B$9</f>
        <v/>
      </c>
      <c r="H1015" s="13">
        <f>$B$7*(A1015*E$71+B1015*F$71+C1015*G$71+D1015*H$71)+F1015/100*$B$7*J$71-$C$71</f>
        <v/>
      </c>
      <c r="I1015" s="13">
        <f>$B$7*(A1015*L$71+B1015*M$71+C1015*N$71+D1015*O$71)+F1015/100*$B$7*Q$71-$C$71</f>
        <v/>
      </c>
      <c r="J1015" s="13">
        <f>$B$7*(A1015*S$71+B1015*T$71+C1015*U$71+D1015*V$71)+F1015/100*$B$7*X$71-$C$71</f>
        <v/>
      </c>
      <c r="K1015" s="13">
        <f>$B$7*(A1015*Z$71+B1015*AA$71+C1015*AB$71+D1015*AC$71)+F1015/100*$B$7*AE$71-$C$71</f>
        <v/>
      </c>
      <c r="L1015" s="13">
        <f>$B$7*(A1015*AG$71+B1015*AH$71+C1015*AI$71+D1015*AJ$71)+F1015/100*$B$7*AL$71-$C$71</f>
        <v/>
      </c>
      <c r="M1015" s="13">
        <f>$B$7*(A1015*AN$71+B1015*AO$71+C1015*AP$71+D1015*AQ$71)+F1015/100*$B$7*AS$71-$C$71</f>
        <v/>
      </c>
      <c r="N1015" s="13">
        <f>SUMPRODUCT($H$24:$M$24,H1015:M1015)</f>
        <v/>
      </c>
      <c r="O1015" s="14">
        <f>SQRT(SUMPRODUCT($H$24:$M$24,(H1015:M1015-N1015)^2))</f>
        <v/>
      </c>
      <c r="P1015" s="13">
        <f>MIN(H1015:M1015)</f>
        <v/>
      </c>
      <c r="Q1015" s="13">
        <f>MAX(H1015:M1015)</f>
        <v/>
      </c>
      <c r="R1015" s="27">
        <f>IF(G1015,SUMPRODUCT(($G$76:$G$1505)*($N$76:$N$1505&gt;=N1015)*($O$76:$O$1505&lt;=O1015))=1,FALSE)</f>
        <v/>
      </c>
      <c r="S1015" s="16">
        <f>IF(R1015,ABS((O1015-$AC$76)/MAX(0.0001,$AC$77-$AC$76)-(N1015-$AC$78)/MAX(0.0001,$AC$79-$AC$78)),-1)</f>
        <v/>
      </c>
      <c r="T1015" s="14">
        <f>IF(G1015,O1015,NA())</f>
        <v/>
      </c>
      <c r="U1015" s="13">
        <f>IF(G1015,N1015,NA())</f>
        <v/>
      </c>
      <c r="V1015" s="14">
        <f>IF(R1015,O1015,NA())</f>
        <v/>
      </c>
      <c r="W1015" s="13">
        <f>IF(R1015,N1015,NA())</f>
        <v/>
      </c>
      <c r="X1015" s="27">
        <f>IF(G1015,P1015,"")</f>
        <v/>
      </c>
      <c r="Y1015" s="27">
        <f>IF(G1015,N1015,"")</f>
        <v/>
      </c>
      <c r="Z1015" s="27">
        <f>IF(R1015,O1015,"")</f>
        <v/>
      </c>
      <c r="AA1015" s="27">
        <f>IF(R1015,N1015,"")</f>
        <v/>
      </c>
    </row>
    <row r="1016">
      <c r="A1016" s="31" t="n">
        <v>0.3</v>
      </c>
      <c r="B1016" s="31" t="n">
        <v>0.3</v>
      </c>
      <c r="C1016" s="31" t="n">
        <v>0.1</v>
      </c>
      <c r="D1016" s="31" t="n">
        <v>0.3</v>
      </c>
      <c r="E1016" s="27" t="inlineStr">
        <is>
          <t>ON 30%/1M 30%/2M 10%/3M 30%</t>
        </is>
      </c>
      <c r="F1016" s="27" t="n">
        <v>0</v>
      </c>
      <c r="G1016" s="27">
        <f>A1016*$B$7&gt;=$B$9</f>
        <v/>
      </c>
      <c r="H1016" s="13">
        <f>$B$7*(A1016*E$71+B1016*F$71+C1016*G$71+D1016*H$71)+F1016/100*$B$7*J$71-$C$71</f>
        <v/>
      </c>
      <c r="I1016" s="13">
        <f>$B$7*(A1016*L$71+B1016*M$71+C1016*N$71+D1016*O$71)+F1016/100*$B$7*Q$71-$C$71</f>
        <v/>
      </c>
      <c r="J1016" s="13">
        <f>$B$7*(A1016*S$71+B1016*T$71+C1016*U$71+D1016*V$71)+F1016/100*$B$7*X$71-$C$71</f>
        <v/>
      </c>
      <c r="K1016" s="13">
        <f>$B$7*(A1016*Z$71+B1016*AA$71+C1016*AB$71+D1016*AC$71)+F1016/100*$B$7*AE$71-$C$71</f>
        <v/>
      </c>
      <c r="L1016" s="13">
        <f>$B$7*(A1016*AG$71+B1016*AH$71+C1016*AI$71+D1016*AJ$71)+F1016/100*$B$7*AL$71-$C$71</f>
        <v/>
      </c>
      <c r="M1016" s="13">
        <f>$B$7*(A1016*AN$71+B1016*AO$71+C1016*AP$71+D1016*AQ$71)+F1016/100*$B$7*AS$71-$C$71</f>
        <v/>
      </c>
      <c r="N1016" s="13">
        <f>SUMPRODUCT($H$24:$M$24,H1016:M1016)</f>
        <v/>
      </c>
      <c r="O1016" s="14">
        <f>SQRT(SUMPRODUCT($H$24:$M$24,(H1016:M1016-N1016)^2))</f>
        <v/>
      </c>
      <c r="P1016" s="13">
        <f>MIN(H1016:M1016)</f>
        <v/>
      </c>
      <c r="Q1016" s="13">
        <f>MAX(H1016:M1016)</f>
        <v/>
      </c>
      <c r="R1016" s="27">
        <f>IF(G1016,SUMPRODUCT(($G$76:$G$1505)*($N$76:$N$1505&gt;=N1016)*($O$76:$O$1505&lt;=O1016))=1,FALSE)</f>
        <v/>
      </c>
      <c r="S1016" s="16">
        <f>IF(R1016,ABS((O1016-$AC$76)/MAX(0.0001,$AC$77-$AC$76)-(N1016-$AC$78)/MAX(0.0001,$AC$79-$AC$78)),-1)</f>
        <v/>
      </c>
      <c r="T1016" s="14">
        <f>IF(G1016,O1016,NA())</f>
        <v/>
      </c>
      <c r="U1016" s="13">
        <f>IF(G1016,N1016,NA())</f>
        <v/>
      </c>
      <c r="V1016" s="14">
        <f>IF(R1016,O1016,NA())</f>
        <v/>
      </c>
      <c r="W1016" s="13">
        <f>IF(R1016,N1016,NA())</f>
        <v/>
      </c>
      <c r="X1016" s="27">
        <f>IF(G1016,P1016,"")</f>
        <v/>
      </c>
      <c r="Y1016" s="27">
        <f>IF(G1016,N1016,"")</f>
        <v/>
      </c>
      <c r="Z1016" s="27">
        <f>IF(R1016,O1016,"")</f>
        <v/>
      </c>
      <c r="AA1016" s="27">
        <f>IF(R1016,N1016,"")</f>
        <v/>
      </c>
    </row>
    <row r="1017">
      <c r="A1017" s="31" t="n">
        <v>0.3</v>
      </c>
      <c r="B1017" s="31" t="n">
        <v>0.3</v>
      </c>
      <c r="C1017" s="31" t="n">
        <v>0.1</v>
      </c>
      <c r="D1017" s="31" t="n">
        <v>0.3</v>
      </c>
      <c r="E1017" s="27" t="inlineStr">
        <is>
          <t>ON 30%/1M 30%/2M 10%/3M 30%</t>
        </is>
      </c>
      <c r="F1017" s="27" t="n">
        <v>25</v>
      </c>
      <c r="G1017" s="27">
        <f>A1017*$B$7&gt;=$B$9</f>
        <v/>
      </c>
      <c r="H1017" s="13">
        <f>$B$7*(A1017*E$71+B1017*F$71+C1017*G$71+D1017*H$71)+F1017/100*$B$7*J$71-$C$71</f>
        <v/>
      </c>
      <c r="I1017" s="13">
        <f>$B$7*(A1017*L$71+B1017*M$71+C1017*N$71+D1017*O$71)+F1017/100*$B$7*Q$71-$C$71</f>
        <v/>
      </c>
      <c r="J1017" s="13">
        <f>$B$7*(A1017*S$71+B1017*T$71+C1017*U$71+D1017*V$71)+F1017/100*$B$7*X$71-$C$71</f>
        <v/>
      </c>
      <c r="K1017" s="13">
        <f>$B$7*(A1017*Z$71+B1017*AA$71+C1017*AB$71+D1017*AC$71)+F1017/100*$B$7*AE$71-$C$71</f>
        <v/>
      </c>
      <c r="L1017" s="13">
        <f>$B$7*(A1017*AG$71+B1017*AH$71+C1017*AI$71+D1017*AJ$71)+F1017/100*$B$7*AL$71-$C$71</f>
        <v/>
      </c>
      <c r="M1017" s="13">
        <f>$B$7*(A1017*AN$71+B1017*AO$71+C1017*AP$71+D1017*AQ$71)+F1017/100*$B$7*AS$71-$C$71</f>
        <v/>
      </c>
      <c r="N1017" s="13">
        <f>SUMPRODUCT($H$24:$M$24,H1017:M1017)</f>
        <v/>
      </c>
      <c r="O1017" s="14">
        <f>SQRT(SUMPRODUCT($H$24:$M$24,(H1017:M1017-N1017)^2))</f>
        <v/>
      </c>
      <c r="P1017" s="13">
        <f>MIN(H1017:M1017)</f>
        <v/>
      </c>
      <c r="Q1017" s="13">
        <f>MAX(H1017:M1017)</f>
        <v/>
      </c>
      <c r="R1017" s="27">
        <f>IF(G1017,SUMPRODUCT(($G$76:$G$1505)*($N$76:$N$1505&gt;=N1017)*($O$76:$O$1505&lt;=O1017))=1,FALSE)</f>
        <v/>
      </c>
      <c r="S1017" s="16">
        <f>IF(R1017,ABS((O1017-$AC$76)/MAX(0.0001,$AC$77-$AC$76)-(N1017-$AC$78)/MAX(0.0001,$AC$79-$AC$78)),-1)</f>
        <v/>
      </c>
      <c r="T1017" s="14">
        <f>IF(G1017,O1017,NA())</f>
        <v/>
      </c>
      <c r="U1017" s="13">
        <f>IF(G1017,N1017,NA())</f>
        <v/>
      </c>
      <c r="V1017" s="14">
        <f>IF(R1017,O1017,NA())</f>
        <v/>
      </c>
      <c r="W1017" s="13">
        <f>IF(R1017,N1017,NA())</f>
        <v/>
      </c>
      <c r="X1017" s="27">
        <f>IF(G1017,P1017,"")</f>
        <v/>
      </c>
      <c r="Y1017" s="27">
        <f>IF(G1017,N1017,"")</f>
        <v/>
      </c>
      <c r="Z1017" s="27">
        <f>IF(R1017,O1017,"")</f>
        <v/>
      </c>
      <c r="AA1017" s="27">
        <f>IF(R1017,N1017,"")</f>
        <v/>
      </c>
    </row>
    <row r="1018">
      <c r="A1018" s="31" t="n">
        <v>0.3</v>
      </c>
      <c r="B1018" s="31" t="n">
        <v>0.3</v>
      </c>
      <c r="C1018" s="31" t="n">
        <v>0.1</v>
      </c>
      <c r="D1018" s="31" t="n">
        <v>0.3</v>
      </c>
      <c r="E1018" s="27" t="inlineStr">
        <is>
          <t>ON 30%/1M 30%/2M 10%/3M 30%</t>
        </is>
      </c>
      <c r="F1018" s="27" t="n">
        <v>50</v>
      </c>
      <c r="G1018" s="27">
        <f>A1018*$B$7&gt;=$B$9</f>
        <v/>
      </c>
      <c r="H1018" s="13">
        <f>$B$7*(A1018*E$71+B1018*F$71+C1018*G$71+D1018*H$71)+F1018/100*$B$7*J$71-$C$71</f>
        <v/>
      </c>
      <c r="I1018" s="13">
        <f>$B$7*(A1018*L$71+B1018*M$71+C1018*N$71+D1018*O$71)+F1018/100*$B$7*Q$71-$C$71</f>
        <v/>
      </c>
      <c r="J1018" s="13">
        <f>$B$7*(A1018*S$71+B1018*T$71+C1018*U$71+D1018*V$71)+F1018/100*$B$7*X$71-$C$71</f>
        <v/>
      </c>
      <c r="K1018" s="13">
        <f>$B$7*(A1018*Z$71+B1018*AA$71+C1018*AB$71+D1018*AC$71)+F1018/100*$B$7*AE$71-$C$71</f>
        <v/>
      </c>
      <c r="L1018" s="13">
        <f>$B$7*(A1018*AG$71+B1018*AH$71+C1018*AI$71+D1018*AJ$71)+F1018/100*$B$7*AL$71-$C$71</f>
        <v/>
      </c>
      <c r="M1018" s="13">
        <f>$B$7*(A1018*AN$71+B1018*AO$71+C1018*AP$71+D1018*AQ$71)+F1018/100*$B$7*AS$71-$C$71</f>
        <v/>
      </c>
      <c r="N1018" s="13">
        <f>SUMPRODUCT($H$24:$M$24,H1018:M1018)</f>
        <v/>
      </c>
      <c r="O1018" s="14">
        <f>SQRT(SUMPRODUCT($H$24:$M$24,(H1018:M1018-N1018)^2))</f>
        <v/>
      </c>
      <c r="P1018" s="13">
        <f>MIN(H1018:M1018)</f>
        <v/>
      </c>
      <c r="Q1018" s="13">
        <f>MAX(H1018:M1018)</f>
        <v/>
      </c>
      <c r="R1018" s="27">
        <f>IF(G1018,SUMPRODUCT(($G$76:$G$1505)*($N$76:$N$1505&gt;=N1018)*($O$76:$O$1505&lt;=O1018))=1,FALSE)</f>
        <v/>
      </c>
      <c r="S1018" s="16">
        <f>IF(R1018,ABS((O1018-$AC$76)/MAX(0.0001,$AC$77-$AC$76)-(N1018-$AC$78)/MAX(0.0001,$AC$79-$AC$78)),-1)</f>
        <v/>
      </c>
      <c r="T1018" s="14">
        <f>IF(G1018,O1018,NA())</f>
        <v/>
      </c>
      <c r="U1018" s="13">
        <f>IF(G1018,N1018,NA())</f>
        <v/>
      </c>
      <c r="V1018" s="14">
        <f>IF(R1018,O1018,NA())</f>
        <v/>
      </c>
      <c r="W1018" s="13">
        <f>IF(R1018,N1018,NA())</f>
        <v/>
      </c>
      <c r="X1018" s="27">
        <f>IF(G1018,P1018,"")</f>
        <v/>
      </c>
      <c r="Y1018" s="27">
        <f>IF(G1018,N1018,"")</f>
        <v/>
      </c>
      <c r="Z1018" s="27">
        <f>IF(R1018,O1018,"")</f>
        <v/>
      </c>
      <c r="AA1018" s="27">
        <f>IF(R1018,N1018,"")</f>
        <v/>
      </c>
    </row>
    <row r="1019">
      <c r="A1019" s="31" t="n">
        <v>0.3</v>
      </c>
      <c r="B1019" s="31" t="n">
        <v>0.3</v>
      </c>
      <c r="C1019" s="31" t="n">
        <v>0.1</v>
      </c>
      <c r="D1019" s="31" t="n">
        <v>0.3</v>
      </c>
      <c r="E1019" s="27" t="inlineStr">
        <is>
          <t>ON 30%/1M 30%/2M 10%/3M 30%</t>
        </is>
      </c>
      <c r="F1019" s="27" t="n">
        <v>75</v>
      </c>
      <c r="G1019" s="27">
        <f>A1019*$B$7&gt;=$B$9</f>
        <v/>
      </c>
      <c r="H1019" s="13">
        <f>$B$7*(A1019*E$71+B1019*F$71+C1019*G$71+D1019*H$71)+F1019/100*$B$7*J$71-$C$71</f>
        <v/>
      </c>
      <c r="I1019" s="13">
        <f>$B$7*(A1019*L$71+B1019*M$71+C1019*N$71+D1019*O$71)+F1019/100*$B$7*Q$71-$C$71</f>
        <v/>
      </c>
      <c r="J1019" s="13">
        <f>$B$7*(A1019*S$71+B1019*T$71+C1019*U$71+D1019*V$71)+F1019/100*$B$7*X$71-$C$71</f>
        <v/>
      </c>
      <c r="K1019" s="13">
        <f>$B$7*(A1019*Z$71+B1019*AA$71+C1019*AB$71+D1019*AC$71)+F1019/100*$B$7*AE$71-$C$71</f>
        <v/>
      </c>
      <c r="L1019" s="13">
        <f>$B$7*(A1019*AG$71+B1019*AH$71+C1019*AI$71+D1019*AJ$71)+F1019/100*$B$7*AL$71-$C$71</f>
        <v/>
      </c>
      <c r="M1019" s="13">
        <f>$B$7*(A1019*AN$71+B1019*AO$71+C1019*AP$71+D1019*AQ$71)+F1019/100*$B$7*AS$71-$C$71</f>
        <v/>
      </c>
      <c r="N1019" s="13">
        <f>SUMPRODUCT($H$24:$M$24,H1019:M1019)</f>
        <v/>
      </c>
      <c r="O1019" s="14">
        <f>SQRT(SUMPRODUCT($H$24:$M$24,(H1019:M1019-N1019)^2))</f>
        <v/>
      </c>
      <c r="P1019" s="13">
        <f>MIN(H1019:M1019)</f>
        <v/>
      </c>
      <c r="Q1019" s="13">
        <f>MAX(H1019:M1019)</f>
        <v/>
      </c>
      <c r="R1019" s="27">
        <f>IF(G1019,SUMPRODUCT(($G$76:$G$1505)*($N$76:$N$1505&gt;=N1019)*($O$76:$O$1505&lt;=O1019))=1,FALSE)</f>
        <v/>
      </c>
      <c r="S1019" s="16">
        <f>IF(R1019,ABS((O1019-$AC$76)/MAX(0.0001,$AC$77-$AC$76)-(N1019-$AC$78)/MAX(0.0001,$AC$79-$AC$78)),-1)</f>
        <v/>
      </c>
      <c r="T1019" s="14">
        <f>IF(G1019,O1019,NA())</f>
        <v/>
      </c>
      <c r="U1019" s="13">
        <f>IF(G1019,N1019,NA())</f>
        <v/>
      </c>
      <c r="V1019" s="14">
        <f>IF(R1019,O1019,NA())</f>
        <v/>
      </c>
      <c r="W1019" s="13">
        <f>IF(R1019,N1019,NA())</f>
        <v/>
      </c>
      <c r="X1019" s="27">
        <f>IF(G1019,P1019,"")</f>
        <v/>
      </c>
      <c r="Y1019" s="27">
        <f>IF(G1019,N1019,"")</f>
        <v/>
      </c>
      <c r="Z1019" s="27">
        <f>IF(R1019,O1019,"")</f>
        <v/>
      </c>
      <c r="AA1019" s="27">
        <f>IF(R1019,N1019,"")</f>
        <v/>
      </c>
    </row>
    <row r="1020">
      <c r="A1020" s="31" t="n">
        <v>0.3</v>
      </c>
      <c r="B1020" s="31" t="n">
        <v>0.3</v>
      </c>
      <c r="C1020" s="31" t="n">
        <v>0.1</v>
      </c>
      <c r="D1020" s="31" t="n">
        <v>0.3</v>
      </c>
      <c r="E1020" s="27" t="inlineStr">
        <is>
          <t>ON 30%/1M 30%/2M 10%/3M 30%</t>
        </is>
      </c>
      <c r="F1020" s="27" t="n">
        <v>100</v>
      </c>
      <c r="G1020" s="27">
        <f>A1020*$B$7&gt;=$B$9</f>
        <v/>
      </c>
      <c r="H1020" s="13">
        <f>$B$7*(A1020*E$71+B1020*F$71+C1020*G$71+D1020*H$71)+F1020/100*$B$7*J$71-$C$71</f>
        <v/>
      </c>
      <c r="I1020" s="13">
        <f>$B$7*(A1020*L$71+B1020*M$71+C1020*N$71+D1020*O$71)+F1020/100*$B$7*Q$71-$C$71</f>
        <v/>
      </c>
      <c r="J1020" s="13">
        <f>$B$7*(A1020*S$71+B1020*T$71+C1020*U$71+D1020*V$71)+F1020/100*$B$7*X$71-$C$71</f>
        <v/>
      </c>
      <c r="K1020" s="13">
        <f>$B$7*(A1020*Z$71+B1020*AA$71+C1020*AB$71+D1020*AC$71)+F1020/100*$B$7*AE$71-$C$71</f>
        <v/>
      </c>
      <c r="L1020" s="13">
        <f>$B$7*(A1020*AG$71+B1020*AH$71+C1020*AI$71+D1020*AJ$71)+F1020/100*$B$7*AL$71-$C$71</f>
        <v/>
      </c>
      <c r="M1020" s="13">
        <f>$B$7*(A1020*AN$71+B1020*AO$71+C1020*AP$71+D1020*AQ$71)+F1020/100*$B$7*AS$71-$C$71</f>
        <v/>
      </c>
      <c r="N1020" s="13">
        <f>SUMPRODUCT($H$24:$M$24,H1020:M1020)</f>
        <v/>
      </c>
      <c r="O1020" s="14">
        <f>SQRT(SUMPRODUCT($H$24:$M$24,(H1020:M1020-N1020)^2))</f>
        <v/>
      </c>
      <c r="P1020" s="13">
        <f>MIN(H1020:M1020)</f>
        <v/>
      </c>
      <c r="Q1020" s="13">
        <f>MAX(H1020:M1020)</f>
        <v/>
      </c>
      <c r="R1020" s="27">
        <f>IF(G1020,SUMPRODUCT(($G$76:$G$1505)*($N$76:$N$1505&gt;=N1020)*($O$76:$O$1505&lt;=O1020))=1,FALSE)</f>
        <v/>
      </c>
      <c r="S1020" s="16">
        <f>IF(R1020,ABS((O1020-$AC$76)/MAX(0.0001,$AC$77-$AC$76)-(N1020-$AC$78)/MAX(0.0001,$AC$79-$AC$78)),-1)</f>
        <v/>
      </c>
      <c r="T1020" s="14">
        <f>IF(G1020,O1020,NA())</f>
        <v/>
      </c>
      <c r="U1020" s="13">
        <f>IF(G1020,N1020,NA())</f>
        <v/>
      </c>
      <c r="V1020" s="14">
        <f>IF(R1020,O1020,NA())</f>
        <v/>
      </c>
      <c r="W1020" s="13">
        <f>IF(R1020,N1020,NA())</f>
        <v/>
      </c>
      <c r="X1020" s="27">
        <f>IF(G1020,P1020,"")</f>
        <v/>
      </c>
      <c r="Y1020" s="27">
        <f>IF(G1020,N1020,"")</f>
        <v/>
      </c>
      <c r="Z1020" s="27">
        <f>IF(R1020,O1020,"")</f>
        <v/>
      </c>
      <c r="AA1020" s="27">
        <f>IF(R1020,N1020,"")</f>
        <v/>
      </c>
    </row>
    <row r="1021">
      <c r="A1021" s="31" t="n">
        <v>0.3</v>
      </c>
      <c r="B1021" s="31" t="n">
        <v>0.3</v>
      </c>
      <c r="C1021" s="31" t="n">
        <v>0.2</v>
      </c>
      <c r="D1021" s="31" t="n">
        <v>0.2</v>
      </c>
      <c r="E1021" s="27" t="inlineStr">
        <is>
          <t>ON 30%/1M 30%/2M 20%/3M 20%</t>
        </is>
      </c>
      <c r="F1021" s="27" t="n">
        <v>0</v>
      </c>
      <c r="G1021" s="27">
        <f>A1021*$B$7&gt;=$B$9</f>
        <v/>
      </c>
      <c r="H1021" s="13">
        <f>$B$7*(A1021*E$71+B1021*F$71+C1021*G$71+D1021*H$71)+F1021/100*$B$7*J$71-$C$71</f>
        <v/>
      </c>
      <c r="I1021" s="13">
        <f>$B$7*(A1021*L$71+B1021*M$71+C1021*N$71+D1021*O$71)+F1021/100*$B$7*Q$71-$C$71</f>
        <v/>
      </c>
      <c r="J1021" s="13">
        <f>$B$7*(A1021*S$71+B1021*T$71+C1021*U$71+D1021*V$71)+F1021/100*$B$7*X$71-$C$71</f>
        <v/>
      </c>
      <c r="K1021" s="13">
        <f>$B$7*(A1021*Z$71+B1021*AA$71+C1021*AB$71+D1021*AC$71)+F1021/100*$B$7*AE$71-$C$71</f>
        <v/>
      </c>
      <c r="L1021" s="13">
        <f>$B$7*(A1021*AG$71+B1021*AH$71+C1021*AI$71+D1021*AJ$71)+F1021/100*$B$7*AL$71-$C$71</f>
        <v/>
      </c>
      <c r="M1021" s="13">
        <f>$B$7*(A1021*AN$71+B1021*AO$71+C1021*AP$71+D1021*AQ$71)+F1021/100*$B$7*AS$71-$C$71</f>
        <v/>
      </c>
      <c r="N1021" s="13">
        <f>SUMPRODUCT($H$24:$M$24,H1021:M1021)</f>
        <v/>
      </c>
      <c r="O1021" s="14">
        <f>SQRT(SUMPRODUCT($H$24:$M$24,(H1021:M1021-N1021)^2))</f>
        <v/>
      </c>
      <c r="P1021" s="13">
        <f>MIN(H1021:M1021)</f>
        <v/>
      </c>
      <c r="Q1021" s="13">
        <f>MAX(H1021:M1021)</f>
        <v/>
      </c>
      <c r="R1021" s="27">
        <f>IF(G1021,SUMPRODUCT(($G$76:$G$1505)*($N$76:$N$1505&gt;=N1021)*($O$76:$O$1505&lt;=O1021))=1,FALSE)</f>
        <v/>
      </c>
      <c r="S1021" s="16">
        <f>IF(R1021,ABS((O1021-$AC$76)/MAX(0.0001,$AC$77-$AC$76)-(N1021-$AC$78)/MAX(0.0001,$AC$79-$AC$78)),-1)</f>
        <v/>
      </c>
      <c r="T1021" s="14">
        <f>IF(G1021,O1021,NA())</f>
        <v/>
      </c>
      <c r="U1021" s="13">
        <f>IF(G1021,N1021,NA())</f>
        <v/>
      </c>
      <c r="V1021" s="14">
        <f>IF(R1021,O1021,NA())</f>
        <v/>
      </c>
      <c r="W1021" s="13">
        <f>IF(R1021,N1021,NA())</f>
        <v/>
      </c>
      <c r="X1021" s="27">
        <f>IF(G1021,P1021,"")</f>
        <v/>
      </c>
      <c r="Y1021" s="27">
        <f>IF(G1021,N1021,"")</f>
        <v/>
      </c>
      <c r="Z1021" s="27">
        <f>IF(R1021,O1021,"")</f>
        <v/>
      </c>
      <c r="AA1021" s="27">
        <f>IF(R1021,N1021,"")</f>
        <v/>
      </c>
    </row>
    <row r="1022">
      <c r="A1022" s="31" t="n">
        <v>0.3</v>
      </c>
      <c r="B1022" s="31" t="n">
        <v>0.3</v>
      </c>
      <c r="C1022" s="31" t="n">
        <v>0.2</v>
      </c>
      <c r="D1022" s="31" t="n">
        <v>0.2</v>
      </c>
      <c r="E1022" s="27" t="inlineStr">
        <is>
          <t>ON 30%/1M 30%/2M 20%/3M 20%</t>
        </is>
      </c>
      <c r="F1022" s="27" t="n">
        <v>25</v>
      </c>
      <c r="G1022" s="27">
        <f>A1022*$B$7&gt;=$B$9</f>
        <v/>
      </c>
      <c r="H1022" s="13">
        <f>$B$7*(A1022*E$71+B1022*F$71+C1022*G$71+D1022*H$71)+F1022/100*$B$7*J$71-$C$71</f>
        <v/>
      </c>
      <c r="I1022" s="13">
        <f>$B$7*(A1022*L$71+B1022*M$71+C1022*N$71+D1022*O$71)+F1022/100*$B$7*Q$71-$C$71</f>
        <v/>
      </c>
      <c r="J1022" s="13">
        <f>$B$7*(A1022*S$71+B1022*T$71+C1022*U$71+D1022*V$71)+F1022/100*$B$7*X$71-$C$71</f>
        <v/>
      </c>
      <c r="K1022" s="13">
        <f>$B$7*(A1022*Z$71+B1022*AA$71+C1022*AB$71+D1022*AC$71)+F1022/100*$B$7*AE$71-$C$71</f>
        <v/>
      </c>
      <c r="L1022" s="13">
        <f>$B$7*(A1022*AG$71+B1022*AH$71+C1022*AI$71+D1022*AJ$71)+F1022/100*$B$7*AL$71-$C$71</f>
        <v/>
      </c>
      <c r="M1022" s="13">
        <f>$B$7*(A1022*AN$71+B1022*AO$71+C1022*AP$71+D1022*AQ$71)+F1022/100*$B$7*AS$71-$C$71</f>
        <v/>
      </c>
      <c r="N1022" s="13">
        <f>SUMPRODUCT($H$24:$M$24,H1022:M1022)</f>
        <v/>
      </c>
      <c r="O1022" s="14">
        <f>SQRT(SUMPRODUCT($H$24:$M$24,(H1022:M1022-N1022)^2))</f>
        <v/>
      </c>
      <c r="P1022" s="13">
        <f>MIN(H1022:M1022)</f>
        <v/>
      </c>
      <c r="Q1022" s="13">
        <f>MAX(H1022:M1022)</f>
        <v/>
      </c>
      <c r="R1022" s="27">
        <f>IF(G1022,SUMPRODUCT(($G$76:$G$1505)*($N$76:$N$1505&gt;=N1022)*($O$76:$O$1505&lt;=O1022))=1,FALSE)</f>
        <v/>
      </c>
      <c r="S1022" s="16">
        <f>IF(R1022,ABS((O1022-$AC$76)/MAX(0.0001,$AC$77-$AC$76)-(N1022-$AC$78)/MAX(0.0001,$AC$79-$AC$78)),-1)</f>
        <v/>
      </c>
      <c r="T1022" s="14">
        <f>IF(G1022,O1022,NA())</f>
        <v/>
      </c>
      <c r="U1022" s="13">
        <f>IF(G1022,N1022,NA())</f>
        <v/>
      </c>
      <c r="V1022" s="14">
        <f>IF(R1022,O1022,NA())</f>
        <v/>
      </c>
      <c r="W1022" s="13">
        <f>IF(R1022,N1022,NA())</f>
        <v/>
      </c>
      <c r="X1022" s="27">
        <f>IF(G1022,P1022,"")</f>
        <v/>
      </c>
      <c r="Y1022" s="27">
        <f>IF(G1022,N1022,"")</f>
        <v/>
      </c>
      <c r="Z1022" s="27">
        <f>IF(R1022,O1022,"")</f>
        <v/>
      </c>
      <c r="AA1022" s="27">
        <f>IF(R1022,N1022,"")</f>
        <v/>
      </c>
    </row>
    <row r="1023">
      <c r="A1023" s="31" t="n">
        <v>0.3</v>
      </c>
      <c r="B1023" s="31" t="n">
        <v>0.3</v>
      </c>
      <c r="C1023" s="31" t="n">
        <v>0.2</v>
      </c>
      <c r="D1023" s="31" t="n">
        <v>0.2</v>
      </c>
      <c r="E1023" s="27" t="inlineStr">
        <is>
          <t>ON 30%/1M 30%/2M 20%/3M 20%</t>
        </is>
      </c>
      <c r="F1023" s="27" t="n">
        <v>50</v>
      </c>
      <c r="G1023" s="27">
        <f>A1023*$B$7&gt;=$B$9</f>
        <v/>
      </c>
      <c r="H1023" s="13">
        <f>$B$7*(A1023*E$71+B1023*F$71+C1023*G$71+D1023*H$71)+F1023/100*$B$7*J$71-$C$71</f>
        <v/>
      </c>
      <c r="I1023" s="13">
        <f>$B$7*(A1023*L$71+B1023*M$71+C1023*N$71+D1023*O$71)+F1023/100*$B$7*Q$71-$C$71</f>
        <v/>
      </c>
      <c r="J1023" s="13">
        <f>$B$7*(A1023*S$71+B1023*T$71+C1023*U$71+D1023*V$71)+F1023/100*$B$7*X$71-$C$71</f>
        <v/>
      </c>
      <c r="K1023" s="13">
        <f>$B$7*(A1023*Z$71+B1023*AA$71+C1023*AB$71+D1023*AC$71)+F1023/100*$B$7*AE$71-$C$71</f>
        <v/>
      </c>
      <c r="L1023" s="13">
        <f>$B$7*(A1023*AG$71+B1023*AH$71+C1023*AI$71+D1023*AJ$71)+F1023/100*$B$7*AL$71-$C$71</f>
        <v/>
      </c>
      <c r="M1023" s="13">
        <f>$B$7*(A1023*AN$71+B1023*AO$71+C1023*AP$71+D1023*AQ$71)+F1023/100*$B$7*AS$71-$C$71</f>
        <v/>
      </c>
      <c r="N1023" s="13">
        <f>SUMPRODUCT($H$24:$M$24,H1023:M1023)</f>
        <v/>
      </c>
      <c r="O1023" s="14">
        <f>SQRT(SUMPRODUCT($H$24:$M$24,(H1023:M1023-N1023)^2))</f>
        <v/>
      </c>
      <c r="P1023" s="13">
        <f>MIN(H1023:M1023)</f>
        <v/>
      </c>
      <c r="Q1023" s="13">
        <f>MAX(H1023:M1023)</f>
        <v/>
      </c>
      <c r="R1023" s="27">
        <f>IF(G1023,SUMPRODUCT(($G$76:$G$1505)*($N$76:$N$1505&gt;=N1023)*($O$76:$O$1505&lt;=O1023))=1,FALSE)</f>
        <v/>
      </c>
      <c r="S1023" s="16">
        <f>IF(R1023,ABS((O1023-$AC$76)/MAX(0.0001,$AC$77-$AC$76)-(N1023-$AC$78)/MAX(0.0001,$AC$79-$AC$78)),-1)</f>
        <v/>
      </c>
      <c r="T1023" s="14">
        <f>IF(G1023,O1023,NA())</f>
        <v/>
      </c>
      <c r="U1023" s="13">
        <f>IF(G1023,N1023,NA())</f>
        <v/>
      </c>
      <c r="V1023" s="14">
        <f>IF(R1023,O1023,NA())</f>
        <v/>
      </c>
      <c r="W1023" s="13">
        <f>IF(R1023,N1023,NA())</f>
        <v/>
      </c>
      <c r="X1023" s="27">
        <f>IF(G1023,P1023,"")</f>
        <v/>
      </c>
      <c r="Y1023" s="27">
        <f>IF(G1023,N1023,"")</f>
        <v/>
      </c>
      <c r="Z1023" s="27">
        <f>IF(R1023,O1023,"")</f>
        <v/>
      </c>
      <c r="AA1023" s="27">
        <f>IF(R1023,N1023,"")</f>
        <v/>
      </c>
    </row>
    <row r="1024">
      <c r="A1024" s="31" t="n">
        <v>0.3</v>
      </c>
      <c r="B1024" s="31" t="n">
        <v>0.3</v>
      </c>
      <c r="C1024" s="31" t="n">
        <v>0.2</v>
      </c>
      <c r="D1024" s="31" t="n">
        <v>0.2</v>
      </c>
      <c r="E1024" s="27" t="inlineStr">
        <is>
          <t>ON 30%/1M 30%/2M 20%/3M 20%</t>
        </is>
      </c>
      <c r="F1024" s="27" t="n">
        <v>75</v>
      </c>
      <c r="G1024" s="27">
        <f>A1024*$B$7&gt;=$B$9</f>
        <v/>
      </c>
      <c r="H1024" s="13">
        <f>$B$7*(A1024*E$71+B1024*F$71+C1024*G$71+D1024*H$71)+F1024/100*$B$7*J$71-$C$71</f>
        <v/>
      </c>
      <c r="I1024" s="13">
        <f>$B$7*(A1024*L$71+B1024*M$71+C1024*N$71+D1024*O$71)+F1024/100*$B$7*Q$71-$C$71</f>
        <v/>
      </c>
      <c r="J1024" s="13">
        <f>$B$7*(A1024*S$71+B1024*T$71+C1024*U$71+D1024*V$71)+F1024/100*$B$7*X$71-$C$71</f>
        <v/>
      </c>
      <c r="K1024" s="13">
        <f>$B$7*(A1024*Z$71+B1024*AA$71+C1024*AB$71+D1024*AC$71)+F1024/100*$B$7*AE$71-$C$71</f>
        <v/>
      </c>
      <c r="L1024" s="13">
        <f>$B$7*(A1024*AG$71+B1024*AH$71+C1024*AI$71+D1024*AJ$71)+F1024/100*$B$7*AL$71-$C$71</f>
        <v/>
      </c>
      <c r="M1024" s="13">
        <f>$B$7*(A1024*AN$71+B1024*AO$71+C1024*AP$71+D1024*AQ$71)+F1024/100*$B$7*AS$71-$C$71</f>
        <v/>
      </c>
      <c r="N1024" s="13">
        <f>SUMPRODUCT($H$24:$M$24,H1024:M1024)</f>
        <v/>
      </c>
      <c r="O1024" s="14">
        <f>SQRT(SUMPRODUCT($H$24:$M$24,(H1024:M1024-N1024)^2))</f>
        <v/>
      </c>
      <c r="P1024" s="13">
        <f>MIN(H1024:M1024)</f>
        <v/>
      </c>
      <c r="Q1024" s="13">
        <f>MAX(H1024:M1024)</f>
        <v/>
      </c>
      <c r="R1024" s="27">
        <f>IF(G1024,SUMPRODUCT(($G$76:$G$1505)*($N$76:$N$1505&gt;=N1024)*($O$76:$O$1505&lt;=O1024))=1,FALSE)</f>
        <v/>
      </c>
      <c r="S1024" s="16">
        <f>IF(R1024,ABS((O1024-$AC$76)/MAX(0.0001,$AC$77-$AC$76)-(N1024-$AC$78)/MAX(0.0001,$AC$79-$AC$78)),-1)</f>
        <v/>
      </c>
      <c r="T1024" s="14">
        <f>IF(G1024,O1024,NA())</f>
        <v/>
      </c>
      <c r="U1024" s="13">
        <f>IF(G1024,N1024,NA())</f>
        <v/>
      </c>
      <c r="V1024" s="14">
        <f>IF(R1024,O1024,NA())</f>
        <v/>
      </c>
      <c r="W1024" s="13">
        <f>IF(R1024,N1024,NA())</f>
        <v/>
      </c>
      <c r="X1024" s="27">
        <f>IF(G1024,P1024,"")</f>
        <v/>
      </c>
      <c r="Y1024" s="27">
        <f>IF(G1024,N1024,"")</f>
        <v/>
      </c>
      <c r="Z1024" s="27">
        <f>IF(R1024,O1024,"")</f>
        <v/>
      </c>
      <c r="AA1024" s="27">
        <f>IF(R1024,N1024,"")</f>
        <v/>
      </c>
    </row>
    <row r="1025">
      <c r="A1025" s="31" t="n">
        <v>0.3</v>
      </c>
      <c r="B1025" s="31" t="n">
        <v>0.3</v>
      </c>
      <c r="C1025" s="31" t="n">
        <v>0.2</v>
      </c>
      <c r="D1025" s="31" t="n">
        <v>0.2</v>
      </c>
      <c r="E1025" s="27" t="inlineStr">
        <is>
          <t>ON 30%/1M 30%/2M 20%/3M 20%</t>
        </is>
      </c>
      <c r="F1025" s="27" t="n">
        <v>100</v>
      </c>
      <c r="G1025" s="27">
        <f>A1025*$B$7&gt;=$B$9</f>
        <v/>
      </c>
      <c r="H1025" s="13">
        <f>$B$7*(A1025*E$71+B1025*F$71+C1025*G$71+D1025*H$71)+F1025/100*$B$7*J$71-$C$71</f>
        <v/>
      </c>
      <c r="I1025" s="13">
        <f>$B$7*(A1025*L$71+B1025*M$71+C1025*N$71+D1025*O$71)+F1025/100*$B$7*Q$71-$C$71</f>
        <v/>
      </c>
      <c r="J1025" s="13">
        <f>$B$7*(A1025*S$71+B1025*T$71+C1025*U$71+D1025*V$71)+F1025/100*$B$7*X$71-$C$71</f>
        <v/>
      </c>
      <c r="K1025" s="13">
        <f>$B$7*(A1025*Z$71+B1025*AA$71+C1025*AB$71+D1025*AC$71)+F1025/100*$B$7*AE$71-$C$71</f>
        <v/>
      </c>
      <c r="L1025" s="13">
        <f>$B$7*(A1025*AG$71+B1025*AH$71+C1025*AI$71+D1025*AJ$71)+F1025/100*$B$7*AL$71-$C$71</f>
        <v/>
      </c>
      <c r="M1025" s="13">
        <f>$B$7*(A1025*AN$71+B1025*AO$71+C1025*AP$71+D1025*AQ$71)+F1025/100*$B$7*AS$71-$C$71</f>
        <v/>
      </c>
      <c r="N1025" s="13">
        <f>SUMPRODUCT($H$24:$M$24,H1025:M1025)</f>
        <v/>
      </c>
      <c r="O1025" s="14">
        <f>SQRT(SUMPRODUCT($H$24:$M$24,(H1025:M1025-N1025)^2))</f>
        <v/>
      </c>
      <c r="P1025" s="13">
        <f>MIN(H1025:M1025)</f>
        <v/>
      </c>
      <c r="Q1025" s="13">
        <f>MAX(H1025:M1025)</f>
        <v/>
      </c>
      <c r="R1025" s="27">
        <f>IF(G1025,SUMPRODUCT(($G$76:$G$1505)*($N$76:$N$1505&gt;=N1025)*($O$76:$O$1505&lt;=O1025))=1,FALSE)</f>
        <v/>
      </c>
      <c r="S1025" s="16">
        <f>IF(R1025,ABS((O1025-$AC$76)/MAX(0.0001,$AC$77-$AC$76)-(N1025-$AC$78)/MAX(0.0001,$AC$79-$AC$78)),-1)</f>
        <v/>
      </c>
      <c r="T1025" s="14">
        <f>IF(G1025,O1025,NA())</f>
        <v/>
      </c>
      <c r="U1025" s="13">
        <f>IF(G1025,N1025,NA())</f>
        <v/>
      </c>
      <c r="V1025" s="14">
        <f>IF(R1025,O1025,NA())</f>
        <v/>
      </c>
      <c r="W1025" s="13">
        <f>IF(R1025,N1025,NA())</f>
        <v/>
      </c>
      <c r="X1025" s="27">
        <f>IF(G1025,P1025,"")</f>
        <v/>
      </c>
      <c r="Y1025" s="27">
        <f>IF(G1025,N1025,"")</f>
        <v/>
      </c>
      <c r="Z1025" s="27">
        <f>IF(R1025,O1025,"")</f>
        <v/>
      </c>
      <c r="AA1025" s="27">
        <f>IF(R1025,N1025,"")</f>
        <v/>
      </c>
    </row>
    <row r="1026">
      <c r="A1026" s="31" t="n">
        <v>0.3</v>
      </c>
      <c r="B1026" s="31" t="n">
        <v>0.3</v>
      </c>
      <c r="C1026" s="31" t="n">
        <v>0.3</v>
      </c>
      <c r="D1026" s="31" t="n">
        <v>0.1</v>
      </c>
      <c r="E1026" s="27" t="inlineStr">
        <is>
          <t>ON 30%/1M 30%/2M 30%/3M 10%</t>
        </is>
      </c>
      <c r="F1026" s="27" t="n">
        <v>0</v>
      </c>
      <c r="G1026" s="27">
        <f>A1026*$B$7&gt;=$B$9</f>
        <v/>
      </c>
      <c r="H1026" s="13">
        <f>$B$7*(A1026*E$71+B1026*F$71+C1026*G$71+D1026*H$71)+F1026/100*$B$7*J$71-$C$71</f>
        <v/>
      </c>
      <c r="I1026" s="13">
        <f>$B$7*(A1026*L$71+B1026*M$71+C1026*N$71+D1026*O$71)+F1026/100*$B$7*Q$71-$C$71</f>
        <v/>
      </c>
      <c r="J1026" s="13">
        <f>$B$7*(A1026*S$71+B1026*T$71+C1026*U$71+D1026*V$71)+F1026/100*$B$7*X$71-$C$71</f>
        <v/>
      </c>
      <c r="K1026" s="13">
        <f>$B$7*(A1026*Z$71+B1026*AA$71+C1026*AB$71+D1026*AC$71)+F1026/100*$B$7*AE$71-$C$71</f>
        <v/>
      </c>
      <c r="L1026" s="13">
        <f>$B$7*(A1026*AG$71+B1026*AH$71+C1026*AI$71+D1026*AJ$71)+F1026/100*$B$7*AL$71-$C$71</f>
        <v/>
      </c>
      <c r="M1026" s="13">
        <f>$B$7*(A1026*AN$71+B1026*AO$71+C1026*AP$71+D1026*AQ$71)+F1026/100*$B$7*AS$71-$C$71</f>
        <v/>
      </c>
      <c r="N1026" s="13">
        <f>SUMPRODUCT($H$24:$M$24,H1026:M1026)</f>
        <v/>
      </c>
      <c r="O1026" s="14">
        <f>SQRT(SUMPRODUCT($H$24:$M$24,(H1026:M1026-N1026)^2))</f>
        <v/>
      </c>
      <c r="P1026" s="13">
        <f>MIN(H1026:M1026)</f>
        <v/>
      </c>
      <c r="Q1026" s="13">
        <f>MAX(H1026:M1026)</f>
        <v/>
      </c>
      <c r="R1026" s="27">
        <f>IF(G1026,SUMPRODUCT(($G$76:$G$1505)*($N$76:$N$1505&gt;=N1026)*($O$76:$O$1505&lt;=O1026))=1,FALSE)</f>
        <v/>
      </c>
      <c r="S1026" s="16">
        <f>IF(R1026,ABS((O1026-$AC$76)/MAX(0.0001,$AC$77-$AC$76)-(N1026-$AC$78)/MAX(0.0001,$AC$79-$AC$78)),-1)</f>
        <v/>
      </c>
      <c r="T1026" s="14">
        <f>IF(G1026,O1026,NA())</f>
        <v/>
      </c>
      <c r="U1026" s="13">
        <f>IF(G1026,N1026,NA())</f>
        <v/>
      </c>
      <c r="V1026" s="14">
        <f>IF(R1026,O1026,NA())</f>
        <v/>
      </c>
      <c r="W1026" s="13">
        <f>IF(R1026,N1026,NA())</f>
        <v/>
      </c>
      <c r="X1026" s="27">
        <f>IF(G1026,P1026,"")</f>
        <v/>
      </c>
      <c r="Y1026" s="27">
        <f>IF(G1026,N1026,"")</f>
        <v/>
      </c>
      <c r="Z1026" s="27">
        <f>IF(R1026,O1026,"")</f>
        <v/>
      </c>
      <c r="AA1026" s="27">
        <f>IF(R1026,N1026,"")</f>
        <v/>
      </c>
    </row>
    <row r="1027">
      <c r="A1027" s="31" t="n">
        <v>0.3</v>
      </c>
      <c r="B1027" s="31" t="n">
        <v>0.3</v>
      </c>
      <c r="C1027" s="31" t="n">
        <v>0.3</v>
      </c>
      <c r="D1027" s="31" t="n">
        <v>0.1</v>
      </c>
      <c r="E1027" s="27" t="inlineStr">
        <is>
          <t>ON 30%/1M 30%/2M 30%/3M 10%</t>
        </is>
      </c>
      <c r="F1027" s="27" t="n">
        <v>25</v>
      </c>
      <c r="G1027" s="27">
        <f>A1027*$B$7&gt;=$B$9</f>
        <v/>
      </c>
      <c r="H1027" s="13">
        <f>$B$7*(A1027*E$71+B1027*F$71+C1027*G$71+D1027*H$71)+F1027/100*$B$7*J$71-$C$71</f>
        <v/>
      </c>
      <c r="I1027" s="13">
        <f>$B$7*(A1027*L$71+B1027*M$71+C1027*N$71+D1027*O$71)+F1027/100*$B$7*Q$71-$C$71</f>
        <v/>
      </c>
      <c r="J1027" s="13">
        <f>$B$7*(A1027*S$71+B1027*T$71+C1027*U$71+D1027*V$71)+F1027/100*$B$7*X$71-$C$71</f>
        <v/>
      </c>
      <c r="K1027" s="13">
        <f>$B$7*(A1027*Z$71+B1027*AA$71+C1027*AB$71+D1027*AC$71)+F1027/100*$B$7*AE$71-$C$71</f>
        <v/>
      </c>
      <c r="L1027" s="13">
        <f>$B$7*(A1027*AG$71+B1027*AH$71+C1027*AI$71+D1027*AJ$71)+F1027/100*$B$7*AL$71-$C$71</f>
        <v/>
      </c>
      <c r="M1027" s="13">
        <f>$B$7*(A1027*AN$71+B1027*AO$71+C1027*AP$71+D1027*AQ$71)+F1027/100*$B$7*AS$71-$C$71</f>
        <v/>
      </c>
      <c r="N1027" s="13">
        <f>SUMPRODUCT($H$24:$M$24,H1027:M1027)</f>
        <v/>
      </c>
      <c r="O1027" s="14">
        <f>SQRT(SUMPRODUCT($H$24:$M$24,(H1027:M1027-N1027)^2))</f>
        <v/>
      </c>
      <c r="P1027" s="13">
        <f>MIN(H1027:M1027)</f>
        <v/>
      </c>
      <c r="Q1027" s="13">
        <f>MAX(H1027:M1027)</f>
        <v/>
      </c>
      <c r="R1027" s="27">
        <f>IF(G1027,SUMPRODUCT(($G$76:$G$1505)*($N$76:$N$1505&gt;=N1027)*($O$76:$O$1505&lt;=O1027))=1,FALSE)</f>
        <v/>
      </c>
      <c r="S1027" s="16">
        <f>IF(R1027,ABS((O1027-$AC$76)/MAX(0.0001,$AC$77-$AC$76)-(N1027-$AC$78)/MAX(0.0001,$AC$79-$AC$78)),-1)</f>
        <v/>
      </c>
      <c r="T1027" s="14">
        <f>IF(G1027,O1027,NA())</f>
        <v/>
      </c>
      <c r="U1027" s="13">
        <f>IF(G1027,N1027,NA())</f>
        <v/>
      </c>
      <c r="V1027" s="14">
        <f>IF(R1027,O1027,NA())</f>
        <v/>
      </c>
      <c r="W1027" s="13">
        <f>IF(R1027,N1027,NA())</f>
        <v/>
      </c>
      <c r="X1027" s="27">
        <f>IF(G1027,P1027,"")</f>
        <v/>
      </c>
      <c r="Y1027" s="27">
        <f>IF(G1027,N1027,"")</f>
        <v/>
      </c>
      <c r="Z1027" s="27">
        <f>IF(R1027,O1027,"")</f>
        <v/>
      </c>
      <c r="AA1027" s="27">
        <f>IF(R1027,N1027,"")</f>
        <v/>
      </c>
    </row>
    <row r="1028">
      <c r="A1028" s="31" t="n">
        <v>0.3</v>
      </c>
      <c r="B1028" s="31" t="n">
        <v>0.3</v>
      </c>
      <c r="C1028" s="31" t="n">
        <v>0.3</v>
      </c>
      <c r="D1028" s="31" t="n">
        <v>0.1</v>
      </c>
      <c r="E1028" s="27" t="inlineStr">
        <is>
          <t>ON 30%/1M 30%/2M 30%/3M 10%</t>
        </is>
      </c>
      <c r="F1028" s="27" t="n">
        <v>50</v>
      </c>
      <c r="G1028" s="27">
        <f>A1028*$B$7&gt;=$B$9</f>
        <v/>
      </c>
      <c r="H1028" s="13">
        <f>$B$7*(A1028*E$71+B1028*F$71+C1028*G$71+D1028*H$71)+F1028/100*$B$7*J$71-$C$71</f>
        <v/>
      </c>
      <c r="I1028" s="13">
        <f>$B$7*(A1028*L$71+B1028*M$71+C1028*N$71+D1028*O$71)+F1028/100*$B$7*Q$71-$C$71</f>
        <v/>
      </c>
      <c r="J1028" s="13">
        <f>$B$7*(A1028*S$71+B1028*T$71+C1028*U$71+D1028*V$71)+F1028/100*$B$7*X$71-$C$71</f>
        <v/>
      </c>
      <c r="K1028" s="13">
        <f>$B$7*(A1028*Z$71+B1028*AA$71+C1028*AB$71+D1028*AC$71)+F1028/100*$B$7*AE$71-$C$71</f>
        <v/>
      </c>
      <c r="L1028" s="13">
        <f>$B$7*(A1028*AG$71+B1028*AH$71+C1028*AI$71+D1028*AJ$71)+F1028/100*$B$7*AL$71-$C$71</f>
        <v/>
      </c>
      <c r="M1028" s="13">
        <f>$B$7*(A1028*AN$71+B1028*AO$71+C1028*AP$71+D1028*AQ$71)+F1028/100*$B$7*AS$71-$C$71</f>
        <v/>
      </c>
      <c r="N1028" s="13">
        <f>SUMPRODUCT($H$24:$M$24,H1028:M1028)</f>
        <v/>
      </c>
      <c r="O1028" s="14">
        <f>SQRT(SUMPRODUCT($H$24:$M$24,(H1028:M1028-N1028)^2))</f>
        <v/>
      </c>
      <c r="P1028" s="13">
        <f>MIN(H1028:M1028)</f>
        <v/>
      </c>
      <c r="Q1028" s="13">
        <f>MAX(H1028:M1028)</f>
        <v/>
      </c>
      <c r="R1028" s="27">
        <f>IF(G1028,SUMPRODUCT(($G$76:$G$1505)*($N$76:$N$1505&gt;=N1028)*($O$76:$O$1505&lt;=O1028))=1,FALSE)</f>
        <v/>
      </c>
      <c r="S1028" s="16">
        <f>IF(R1028,ABS((O1028-$AC$76)/MAX(0.0001,$AC$77-$AC$76)-(N1028-$AC$78)/MAX(0.0001,$AC$79-$AC$78)),-1)</f>
        <v/>
      </c>
      <c r="T1028" s="14">
        <f>IF(G1028,O1028,NA())</f>
        <v/>
      </c>
      <c r="U1028" s="13">
        <f>IF(G1028,N1028,NA())</f>
        <v/>
      </c>
      <c r="V1028" s="14">
        <f>IF(R1028,O1028,NA())</f>
        <v/>
      </c>
      <c r="W1028" s="13">
        <f>IF(R1028,N1028,NA())</f>
        <v/>
      </c>
      <c r="X1028" s="27">
        <f>IF(G1028,P1028,"")</f>
        <v/>
      </c>
      <c r="Y1028" s="27">
        <f>IF(G1028,N1028,"")</f>
        <v/>
      </c>
      <c r="Z1028" s="27">
        <f>IF(R1028,O1028,"")</f>
        <v/>
      </c>
      <c r="AA1028" s="27">
        <f>IF(R1028,N1028,"")</f>
        <v/>
      </c>
    </row>
    <row r="1029">
      <c r="A1029" s="31" t="n">
        <v>0.3</v>
      </c>
      <c r="B1029" s="31" t="n">
        <v>0.3</v>
      </c>
      <c r="C1029" s="31" t="n">
        <v>0.3</v>
      </c>
      <c r="D1029" s="31" t="n">
        <v>0.1</v>
      </c>
      <c r="E1029" s="27" t="inlineStr">
        <is>
          <t>ON 30%/1M 30%/2M 30%/3M 10%</t>
        </is>
      </c>
      <c r="F1029" s="27" t="n">
        <v>75</v>
      </c>
      <c r="G1029" s="27">
        <f>A1029*$B$7&gt;=$B$9</f>
        <v/>
      </c>
      <c r="H1029" s="13">
        <f>$B$7*(A1029*E$71+B1029*F$71+C1029*G$71+D1029*H$71)+F1029/100*$B$7*J$71-$C$71</f>
        <v/>
      </c>
      <c r="I1029" s="13">
        <f>$B$7*(A1029*L$71+B1029*M$71+C1029*N$71+D1029*O$71)+F1029/100*$B$7*Q$71-$C$71</f>
        <v/>
      </c>
      <c r="J1029" s="13">
        <f>$B$7*(A1029*S$71+B1029*T$71+C1029*U$71+D1029*V$71)+F1029/100*$B$7*X$71-$C$71</f>
        <v/>
      </c>
      <c r="K1029" s="13">
        <f>$B$7*(A1029*Z$71+B1029*AA$71+C1029*AB$71+D1029*AC$71)+F1029/100*$B$7*AE$71-$C$71</f>
        <v/>
      </c>
      <c r="L1029" s="13">
        <f>$B$7*(A1029*AG$71+B1029*AH$71+C1029*AI$71+D1029*AJ$71)+F1029/100*$B$7*AL$71-$C$71</f>
        <v/>
      </c>
      <c r="M1029" s="13">
        <f>$B$7*(A1029*AN$71+B1029*AO$71+C1029*AP$71+D1029*AQ$71)+F1029/100*$B$7*AS$71-$C$71</f>
        <v/>
      </c>
      <c r="N1029" s="13">
        <f>SUMPRODUCT($H$24:$M$24,H1029:M1029)</f>
        <v/>
      </c>
      <c r="O1029" s="14">
        <f>SQRT(SUMPRODUCT($H$24:$M$24,(H1029:M1029-N1029)^2))</f>
        <v/>
      </c>
      <c r="P1029" s="13">
        <f>MIN(H1029:M1029)</f>
        <v/>
      </c>
      <c r="Q1029" s="13">
        <f>MAX(H1029:M1029)</f>
        <v/>
      </c>
      <c r="R1029" s="27">
        <f>IF(G1029,SUMPRODUCT(($G$76:$G$1505)*($N$76:$N$1505&gt;=N1029)*($O$76:$O$1505&lt;=O1029))=1,FALSE)</f>
        <v/>
      </c>
      <c r="S1029" s="16">
        <f>IF(R1029,ABS((O1029-$AC$76)/MAX(0.0001,$AC$77-$AC$76)-(N1029-$AC$78)/MAX(0.0001,$AC$79-$AC$78)),-1)</f>
        <v/>
      </c>
      <c r="T1029" s="14">
        <f>IF(G1029,O1029,NA())</f>
        <v/>
      </c>
      <c r="U1029" s="13">
        <f>IF(G1029,N1029,NA())</f>
        <v/>
      </c>
      <c r="V1029" s="14">
        <f>IF(R1029,O1029,NA())</f>
        <v/>
      </c>
      <c r="W1029" s="13">
        <f>IF(R1029,N1029,NA())</f>
        <v/>
      </c>
      <c r="X1029" s="27">
        <f>IF(G1029,P1029,"")</f>
        <v/>
      </c>
      <c r="Y1029" s="27">
        <f>IF(G1029,N1029,"")</f>
        <v/>
      </c>
      <c r="Z1029" s="27">
        <f>IF(R1029,O1029,"")</f>
        <v/>
      </c>
      <c r="AA1029" s="27">
        <f>IF(R1029,N1029,"")</f>
        <v/>
      </c>
    </row>
    <row r="1030">
      <c r="A1030" s="31" t="n">
        <v>0.3</v>
      </c>
      <c r="B1030" s="31" t="n">
        <v>0.3</v>
      </c>
      <c r="C1030" s="31" t="n">
        <v>0.3</v>
      </c>
      <c r="D1030" s="31" t="n">
        <v>0.1</v>
      </c>
      <c r="E1030" s="27" t="inlineStr">
        <is>
          <t>ON 30%/1M 30%/2M 30%/3M 10%</t>
        </is>
      </c>
      <c r="F1030" s="27" t="n">
        <v>100</v>
      </c>
      <c r="G1030" s="27">
        <f>A1030*$B$7&gt;=$B$9</f>
        <v/>
      </c>
      <c r="H1030" s="13">
        <f>$B$7*(A1030*E$71+B1030*F$71+C1030*G$71+D1030*H$71)+F1030/100*$B$7*J$71-$C$71</f>
        <v/>
      </c>
      <c r="I1030" s="13">
        <f>$B$7*(A1030*L$71+B1030*M$71+C1030*N$71+D1030*O$71)+F1030/100*$B$7*Q$71-$C$71</f>
        <v/>
      </c>
      <c r="J1030" s="13">
        <f>$B$7*(A1030*S$71+B1030*T$71+C1030*U$71+D1030*V$71)+F1030/100*$B$7*X$71-$C$71</f>
        <v/>
      </c>
      <c r="K1030" s="13">
        <f>$B$7*(A1030*Z$71+B1030*AA$71+C1030*AB$71+D1030*AC$71)+F1030/100*$B$7*AE$71-$C$71</f>
        <v/>
      </c>
      <c r="L1030" s="13">
        <f>$B$7*(A1030*AG$71+B1030*AH$71+C1030*AI$71+D1030*AJ$71)+F1030/100*$B$7*AL$71-$C$71</f>
        <v/>
      </c>
      <c r="M1030" s="13">
        <f>$B$7*(A1030*AN$71+B1030*AO$71+C1030*AP$71+D1030*AQ$71)+F1030/100*$B$7*AS$71-$C$71</f>
        <v/>
      </c>
      <c r="N1030" s="13">
        <f>SUMPRODUCT($H$24:$M$24,H1030:M1030)</f>
        <v/>
      </c>
      <c r="O1030" s="14">
        <f>SQRT(SUMPRODUCT($H$24:$M$24,(H1030:M1030-N1030)^2))</f>
        <v/>
      </c>
      <c r="P1030" s="13">
        <f>MIN(H1030:M1030)</f>
        <v/>
      </c>
      <c r="Q1030" s="13">
        <f>MAX(H1030:M1030)</f>
        <v/>
      </c>
      <c r="R1030" s="27">
        <f>IF(G1030,SUMPRODUCT(($G$76:$G$1505)*($N$76:$N$1505&gt;=N1030)*($O$76:$O$1505&lt;=O1030))=1,FALSE)</f>
        <v/>
      </c>
      <c r="S1030" s="16">
        <f>IF(R1030,ABS((O1030-$AC$76)/MAX(0.0001,$AC$77-$AC$76)-(N1030-$AC$78)/MAX(0.0001,$AC$79-$AC$78)),-1)</f>
        <v/>
      </c>
      <c r="T1030" s="14">
        <f>IF(G1030,O1030,NA())</f>
        <v/>
      </c>
      <c r="U1030" s="13">
        <f>IF(G1030,N1030,NA())</f>
        <v/>
      </c>
      <c r="V1030" s="14">
        <f>IF(R1030,O1030,NA())</f>
        <v/>
      </c>
      <c r="W1030" s="13">
        <f>IF(R1030,N1030,NA())</f>
        <v/>
      </c>
      <c r="X1030" s="27">
        <f>IF(G1030,P1030,"")</f>
        <v/>
      </c>
      <c r="Y1030" s="27">
        <f>IF(G1030,N1030,"")</f>
        <v/>
      </c>
      <c r="Z1030" s="27">
        <f>IF(R1030,O1030,"")</f>
        <v/>
      </c>
      <c r="AA1030" s="27">
        <f>IF(R1030,N1030,"")</f>
        <v/>
      </c>
    </row>
    <row r="1031">
      <c r="A1031" s="31" t="n">
        <v>0.3</v>
      </c>
      <c r="B1031" s="31" t="n">
        <v>0.3</v>
      </c>
      <c r="C1031" s="31" t="n">
        <v>0.4</v>
      </c>
      <c r="D1031" s="31" t="n">
        <v>0</v>
      </c>
      <c r="E1031" s="27" t="inlineStr">
        <is>
          <t>ON 30%/1M 30%/2M 40%</t>
        </is>
      </c>
      <c r="F1031" s="27" t="n">
        <v>0</v>
      </c>
      <c r="G1031" s="27">
        <f>A1031*$B$7&gt;=$B$9</f>
        <v/>
      </c>
      <c r="H1031" s="13">
        <f>$B$7*(A1031*E$71+B1031*F$71+C1031*G$71+D1031*H$71)+F1031/100*$B$7*J$71-$C$71</f>
        <v/>
      </c>
      <c r="I1031" s="13">
        <f>$B$7*(A1031*L$71+B1031*M$71+C1031*N$71+D1031*O$71)+F1031/100*$B$7*Q$71-$C$71</f>
        <v/>
      </c>
      <c r="J1031" s="13">
        <f>$B$7*(A1031*S$71+B1031*T$71+C1031*U$71+D1031*V$71)+F1031/100*$B$7*X$71-$C$71</f>
        <v/>
      </c>
      <c r="K1031" s="13">
        <f>$B$7*(A1031*Z$71+B1031*AA$71+C1031*AB$71+D1031*AC$71)+F1031/100*$B$7*AE$71-$C$71</f>
        <v/>
      </c>
      <c r="L1031" s="13">
        <f>$B$7*(A1031*AG$71+B1031*AH$71+C1031*AI$71+D1031*AJ$71)+F1031/100*$B$7*AL$71-$C$71</f>
        <v/>
      </c>
      <c r="M1031" s="13">
        <f>$B$7*(A1031*AN$71+B1031*AO$71+C1031*AP$71+D1031*AQ$71)+F1031/100*$B$7*AS$71-$C$71</f>
        <v/>
      </c>
      <c r="N1031" s="13">
        <f>SUMPRODUCT($H$24:$M$24,H1031:M1031)</f>
        <v/>
      </c>
      <c r="O1031" s="14">
        <f>SQRT(SUMPRODUCT($H$24:$M$24,(H1031:M1031-N1031)^2))</f>
        <v/>
      </c>
      <c r="P1031" s="13">
        <f>MIN(H1031:M1031)</f>
        <v/>
      </c>
      <c r="Q1031" s="13">
        <f>MAX(H1031:M1031)</f>
        <v/>
      </c>
      <c r="R1031" s="27">
        <f>IF(G1031,SUMPRODUCT(($G$76:$G$1505)*($N$76:$N$1505&gt;=N1031)*($O$76:$O$1505&lt;=O1031))=1,FALSE)</f>
        <v/>
      </c>
      <c r="S1031" s="16">
        <f>IF(R1031,ABS((O1031-$AC$76)/MAX(0.0001,$AC$77-$AC$76)-(N1031-$AC$78)/MAX(0.0001,$AC$79-$AC$78)),-1)</f>
        <v/>
      </c>
      <c r="T1031" s="14">
        <f>IF(G1031,O1031,NA())</f>
        <v/>
      </c>
      <c r="U1031" s="13">
        <f>IF(G1031,N1031,NA())</f>
        <v/>
      </c>
      <c r="V1031" s="14">
        <f>IF(R1031,O1031,NA())</f>
        <v/>
      </c>
      <c r="W1031" s="13">
        <f>IF(R1031,N1031,NA())</f>
        <v/>
      </c>
      <c r="X1031" s="27">
        <f>IF(G1031,P1031,"")</f>
        <v/>
      </c>
      <c r="Y1031" s="27">
        <f>IF(G1031,N1031,"")</f>
        <v/>
      </c>
      <c r="Z1031" s="27">
        <f>IF(R1031,O1031,"")</f>
        <v/>
      </c>
      <c r="AA1031" s="27">
        <f>IF(R1031,N1031,"")</f>
        <v/>
      </c>
    </row>
    <row r="1032">
      <c r="A1032" s="31" t="n">
        <v>0.3</v>
      </c>
      <c r="B1032" s="31" t="n">
        <v>0.3</v>
      </c>
      <c r="C1032" s="31" t="n">
        <v>0.4</v>
      </c>
      <c r="D1032" s="31" t="n">
        <v>0</v>
      </c>
      <c r="E1032" s="27" t="inlineStr">
        <is>
          <t>ON 30%/1M 30%/2M 40%</t>
        </is>
      </c>
      <c r="F1032" s="27" t="n">
        <v>25</v>
      </c>
      <c r="G1032" s="27">
        <f>A1032*$B$7&gt;=$B$9</f>
        <v/>
      </c>
      <c r="H1032" s="13">
        <f>$B$7*(A1032*E$71+B1032*F$71+C1032*G$71+D1032*H$71)+F1032/100*$B$7*J$71-$C$71</f>
        <v/>
      </c>
      <c r="I1032" s="13">
        <f>$B$7*(A1032*L$71+B1032*M$71+C1032*N$71+D1032*O$71)+F1032/100*$B$7*Q$71-$C$71</f>
        <v/>
      </c>
      <c r="J1032" s="13">
        <f>$B$7*(A1032*S$71+B1032*T$71+C1032*U$71+D1032*V$71)+F1032/100*$B$7*X$71-$C$71</f>
        <v/>
      </c>
      <c r="K1032" s="13">
        <f>$B$7*(A1032*Z$71+B1032*AA$71+C1032*AB$71+D1032*AC$71)+F1032/100*$B$7*AE$71-$C$71</f>
        <v/>
      </c>
      <c r="L1032" s="13">
        <f>$B$7*(A1032*AG$71+B1032*AH$71+C1032*AI$71+D1032*AJ$71)+F1032/100*$B$7*AL$71-$C$71</f>
        <v/>
      </c>
      <c r="M1032" s="13">
        <f>$B$7*(A1032*AN$71+B1032*AO$71+C1032*AP$71+D1032*AQ$71)+F1032/100*$B$7*AS$71-$C$71</f>
        <v/>
      </c>
      <c r="N1032" s="13">
        <f>SUMPRODUCT($H$24:$M$24,H1032:M1032)</f>
        <v/>
      </c>
      <c r="O1032" s="14">
        <f>SQRT(SUMPRODUCT($H$24:$M$24,(H1032:M1032-N1032)^2))</f>
        <v/>
      </c>
      <c r="P1032" s="13">
        <f>MIN(H1032:M1032)</f>
        <v/>
      </c>
      <c r="Q1032" s="13">
        <f>MAX(H1032:M1032)</f>
        <v/>
      </c>
      <c r="R1032" s="27">
        <f>IF(G1032,SUMPRODUCT(($G$76:$G$1505)*($N$76:$N$1505&gt;=N1032)*($O$76:$O$1505&lt;=O1032))=1,FALSE)</f>
        <v/>
      </c>
      <c r="S1032" s="16">
        <f>IF(R1032,ABS((O1032-$AC$76)/MAX(0.0001,$AC$77-$AC$76)-(N1032-$AC$78)/MAX(0.0001,$AC$79-$AC$78)),-1)</f>
        <v/>
      </c>
      <c r="T1032" s="14">
        <f>IF(G1032,O1032,NA())</f>
        <v/>
      </c>
      <c r="U1032" s="13">
        <f>IF(G1032,N1032,NA())</f>
        <v/>
      </c>
      <c r="V1032" s="14">
        <f>IF(R1032,O1032,NA())</f>
        <v/>
      </c>
      <c r="W1032" s="13">
        <f>IF(R1032,N1032,NA())</f>
        <v/>
      </c>
      <c r="X1032" s="27">
        <f>IF(G1032,P1032,"")</f>
        <v/>
      </c>
      <c r="Y1032" s="27">
        <f>IF(G1032,N1032,"")</f>
        <v/>
      </c>
      <c r="Z1032" s="27">
        <f>IF(R1032,O1032,"")</f>
        <v/>
      </c>
      <c r="AA1032" s="27">
        <f>IF(R1032,N1032,"")</f>
        <v/>
      </c>
    </row>
    <row r="1033">
      <c r="A1033" s="31" t="n">
        <v>0.3</v>
      </c>
      <c r="B1033" s="31" t="n">
        <v>0.3</v>
      </c>
      <c r="C1033" s="31" t="n">
        <v>0.4</v>
      </c>
      <c r="D1033" s="31" t="n">
        <v>0</v>
      </c>
      <c r="E1033" s="27" t="inlineStr">
        <is>
          <t>ON 30%/1M 30%/2M 40%</t>
        </is>
      </c>
      <c r="F1033" s="27" t="n">
        <v>50</v>
      </c>
      <c r="G1033" s="27">
        <f>A1033*$B$7&gt;=$B$9</f>
        <v/>
      </c>
      <c r="H1033" s="13">
        <f>$B$7*(A1033*E$71+B1033*F$71+C1033*G$71+D1033*H$71)+F1033/100*$B$7*J$71-$C$71</f>
        <v/>
      </c>
      <c r="I1033" s="13">
        <f>$B$7*(A1033*L$71+B1033*M$71+C1033*N$71+D1033*O$71)+F1033/100*$B$7*Q$71-$C$71</f>
        <v/>
      </c>
      <c r="J1033" s="13">
        <f>$B$7*(A1033*S$71+B1033*T$71+C1033*U$71+D1033*V$71)+F1033/100*$B$7*X$71-$C$71</f>
        <v/>
      </c>
      <c r="K1033" s="13">
        <f>$B$7*(A1033*Z$71+B1033*AA$71+C1033*AB$71+D1033*AC$71)+F1033/100*$B$7*AE$71-$C$71</f>
        <v/>
      </c>
      <c r="L1033" s="13">
        <f>$B$7*(A1033*AG$71+B1033*AH$71+C1033*AI$71+D1033*AJ$71)+F1033/100*$B$7*AL$71-$C$71</f>
        <v/>
      </c>
      <c r="M1033" s="13">
        <f>$B$7*(A1033*AN$71+B1033*AO$71+C1033*AP$71+D1033*AQ$71)+F1033/100*$B$7*AS$71-$C$71</f>
        <v/>
      </c>
      <c r="N1033" s="13">
        <f>SUMPRODUCT($H$24:$M$24,H1033:M1033)</f>
        <v/>
      </c>
      <c r="O1033" s="14">
        <f>SQRT(SUMPRODUCT($H$24:$M$24,(H1033:M1033-N1033)^2))</f>
        <v/>
      </c>
      <c r="P1033" s="13">
        <f>MIN(H1033:M1033)</f>
        <v/>
      </c>
      <c r="Q1033" s="13">
        <f>MAX(H1033:M1033)</f>
        <v/>
      </c>
      <c r="R1033" s="27">
        <f>IF(G1033,SUMPRODUCT(($G$76:$G$1505)*($N$76:$N$1505&gt;=N1033)*($O$76:$O$1505&lt;=O1033))=1,FALSE)</f>
        <v/>
      </c>
      <c r="S1033" s="16">
        <f>IF(R1033,ABS((O1033-$AC$76)/MAX(0.0001,$AC$77-$AC$76)-(N1033-$AC$78)/MAX(0.0001,$AC$79-$AC$78)),-1)</f>
        <v/>
      </c>
      <c r="T1033" s="14">
        <f>IF(G1033,O1033,NA())</f>
        <v/>
      </c>
      <c r="U1033" s="13">
        <f>IF(G1033,N1033,NA())</f>
        <v/>
      </c>
      <c r="V1033" s="14">
        <f>IF(R1033,O1033,NA())</f>
        <v/>
      </c>
      <c r="W1033" s="13">
        <f>IF(R1033,N1033,NA())</f>
        <v/>
      </c>
      <c r="X1033" s="27">
        <f>IF(G1033,P1033,"")</f>
        <v/>
      </c>
      <c r="Y1033" s="27">
        <f>IF(G1033,N1033,"")</f>
        <v/>
      </c>
      <c r="Z1033" s="27">
        <f>IF(R1033,O1033,"")</f>
        <v/>
      </c>
      <c r="AA1033" s="27">
        <f>IF(R1033,N1033,"")</f>
        <v/>
      </c>
    </row>
    <row r="1034">
      <c r="A1034" s="31" t="n">
        <v>0.3</v>
      </c>
      <c r="B1034" s="31" t="n">
        <v>0.3</v>
      </c>
      <c r="C1034" s="31" t="n">
        <v>0.4</v>
      </c>
      <c r="D1034" s="31" t="n">
        <v>0</v>
      </c>
      <c r="E1034" s="27" t="inlineStr">
        <is>
          <t>ON 30%/1M 30%/2M 40%</t>
        </is>
      </c>
      <c r="F1034" s="27" t="n">
        <v>75</v>
      </c>
      <c r="G1034" s="27">
        <f>A1034*$B$7&gt;=$B$9</f>
        <v/>
      </c>
      <c r="H1034" s="13">
        <f>$B$7*(A1034*E$71+B1034*F$71+C1034*G$71+D1034*H$71)+F1034/100*$B$7*J$71-$C$71</f>
        <v/>
      </c>
      <c r="I1034" s="13">
        <f>$B$7*(A1034*L$71+B1034*M$71+C1034*N$71+D1034*O$71)+F1034/100*$B$7*Q$71-$C$71</f>
        <v/>
      </c>
      <c r="J1034" s="13">
        <f>$B$7*(A1034*S$71+B1034*T$71+C1034*U$71+D1034*V$71)+F1034/100*$B$7*X$71-$C$71</f>
        <v/>
      </c>
      <c r="K1034" s="13">
        <f>$B$7*(A1034*Z$71+B1034*AA$71+C1034*AB$71+D1034*AC$71)+F1034/100*$B$7*AE$71-$C$71</f>
        <v/>
      </c>
      <c r="L1034" s="13">
        <f>$B$7*(A1034*AG$71+B1034*AH$71+C1034*AI$71+D1034*AJ$71)+F1034/100*$B$7*AL$71-$C$71</f>
        <v/>
      </c>
      <c r="M1034" s="13">
        <f>$B$7*(A1034*AN$71+B1034*AO$71+C1034*AP$71+D1034*AQ$71)+F1034/100*$B$7*AS$71-$C$71</f>
        <v/>
      </c>
      <c r="N1034" s="13">
        <f>SUMPRODUCT($H$24:$M$24,H1034:M1034)</f>
        <v/>
      </c>
      <c r="O1034" s="14">
        <f>SQRT(SUMPRODUCT($H$24:$M$24,(H1034:M1034-N1034)^2))</f>
        <v/>
      </c>
      <c r="P1034" s="13">
        <f>MIN(H1034:M1034)</f>
        <v/>
      </c>
      <c r="Q1034" s="13">
        <f>MAX(H1034:M1034)</f>
        <v/>
      </c>
      <c r="R1034" s="27">
        <f>IF(G1034,SUMPRODUCT(($G$76:$G$1505)*($N$76:$N$1505&gt;=N1034)*($O$76:$O$1505&lt;=O1034))=1,FALSE)</f>
        <v/>
      </c>
      <c r="S1034" s="16">
        <f>IF(R1034,ABS((O1034-$AC$76)/MAX(0.0001,$AC$77-$AC$76)-(N1034-$AC$78)/MAX(0.0001,$AC$79-$AC$78)),-1)</f>
        <v/>
      </c>
      <c r="T1034" s="14">
        <f>IF(G1034,O1034,NA())</f>
        <v/>
      </c>
      <c r="U1034" s="13">
        <f>IF(G1034,N1034,NA())</f>
        <v/>
      </c>
      <c r="V1034" s="14">
        <f>IF(R1034,O1034,NA())</f>
        <v/>
      </c>
      <c r="W1034" s="13">
        <f>IF(R1034,N1034,NA())</f>
        <v/>
      </c>
      <c r="X1034" s="27">
        <f>IF(G1034,P1034,"")</f>
        <v/>
      </c>
      <c r="Y1034" s="27">
        <f>IF(G1034,N1034,"")</f>
        <v/>
      </c>
      <c r="Z1034" s="27">
        <f>IF(R1034,O1034,"")</f>
        <v/>
      </c>
      <c r="AA1034" s="27">
        <f>IF(R1034,N1034,"")</f>
        <v/>
      </c>
    </row>
    <row r="1035">
      <c r="A1035" s="31" t="n">
        <v>0.3</v>
      </c>
      <c r="B1035" s="31" t="n">
        <v>0.3</v>
      </c>
      <c r="C1035" s="31" t="n">
        <v>0.4</v>
      </c>
      <c r="D1035" s="31" t="n">
        <v>0</v>
      </c>
      <c r="E1035" s="27" t="inlineStr">
        <is>
          <t>ON 30%/1M 30%/2M 40%</t>
        </is>
      </c>
      <c r="F1035" s="27" t="n">
        <v>100</v>
      </c>
      <c r="G1035" s="27">
        <f>A1035*$B$7&gt;=$B$9</f>
        <v/>
      </c>
      <c r="H1035" s="13">
        <f>$B$7*(A1035*E$71+B1035*F$71+C1035*G$71+D1035*H$71)+F1035/100*$B$7*J$71-$C$71</f>
        <v/>
      </c>
      <c r="I1035" s="13">
        <f>$B$7*(A1035*L$71+B1035*M$71+C1035*N$71+D1035*O$71)+F1035/100*$B$7*Q$71-$C$71</f>
        <v/>
      </c>
      <c r="J1035" s="13">
        <f>$B$7*(A1035*S$71+B1035*T$71+C1035*U$71+D1035*V$71)+F1035/100*$B$7*X$71-$C$71</f>
        <v/>
      </c>
      <c r="K1035" s="13">
        <f>$B$7*(A1035*Z$71+B1035*AA$71+C1035*AB$71+D1035*AC$71)+F1035/100*$B$7*AE$71-$C$71</f>
        <v/>
      </c>
      <c r="L1035" s="13">
        <f>$B$7*(A1035*AG$71+B1035*AH$71+C1035*AI$71+D1035*AJ$71)+F1035/100*$B$7*AL$71-$C$71</f>
        <v/>
      </c>
      <c r="M1035" s="13">
        <f>$B$7*(A1035*AN$71+B1035*AO$71+C1035*AP$71+D1035*AQ$71)+F1035/100*$B$7*AS$71-$C$71</f>
        <v/>
      </c>
      <c r="N1035" s="13">
        <f>SUMPRODUCT($H$24:$M$24,H1035:M1035)</f>
        <v/>
      </c>
      <c r="O1035" s="14">
        <f>SQRT(SUMPRODUCT($H$24:$M$24,(H1035:M1035-N1035)^2))</f>
        <v/>
      </c>
      <c r="P1035" s="13">
        <f>MIN(H1035:M1035)</f>
        <v/>
      </c>
      <c r="Q1035" s="13">
        <f>MAX(H1035:M1035)</f>
        <v/>
      </c>
      <c r="R1035" s="27">
        <f>IF(G1035,SUMPRODUCT(($G$76:$G$1505)*($N$76:$N$1505&gt;=N1035)*($O$76:$O$1505&lt;=O1035))=1,FALSE)</f>
        <v/>
      </c>
      <c r="S1035" s="16">
        <f>IF(R1035,ABS((O1035-$AC$76)/MAX(0.0001,$AC$77-$AC$76)-(N1035-$AC$78)/MAX(0.0001,$AC$79-$AC$78)),-1)</f>
        <v/>
      </c>
      <c r="T1035" s="14">
        <f>IF(G1035,O1035,NA())</f>
        <v/>
      </c>
      <c r="U1035" s="13">
        <f>IF(G1035,N1035,NA())</f>
        <v/>
      </c>
      <c r="V1035" s="14">
        <f>IF(R1035,O1035,NA())</f>
        <v/>
      </c>
      <c r="W1035" s="13">
        <f>IF(R1035,N1035,NA())</f>
        <v/>
      </c>
      <c r="X1035" s="27">
        <f>IF(G1035,P1035,"")</f>
        <v/>
      </c>
      <c r="Y1035" s="27">
        <f>IF(G1035,N1035,"")</f>
        <v/>
      </c>
      <c r="Z1035" s="27">
        <f>IF(R1035,O1035,"")</f>
        <v/>
      </c>
      <c r="AA1035" s="27">
        <f>IF(R1035,N1035,"")</f>
        <v/>
      </c>
    </row>
    <row r="1036">
      <c r="A1036" s="31" t="n">
        <v>0.3</v>
      </c>
      <c r="B1036" s="31" t="n">
        <v>0.4</v>
      </c>
      <c r="C1036" s="31" t="n">
        <v>0</v>
      </c>
      <c r="D1036" s="31" t="n">
        <v>0.3</v>
      </c>
      <c r="E1036" s="27" t="inlineStr">
        <is>
          <t>ON 30%/1M 40%/3M 30%</t>
        </is>
      </c>
      <c r="F1036" s="27" t="n">
        <v>0</v>
      </c>
      <c r="G1036" s="27">
        <f>A1036*$B$7&gt;=$B$9</f>
        <v/>
      </c>
      <c r="H1036" s="13">
        <f>$B$7*(A1036*E$71+B1036*F$71+C1036*G$71+D1036*H$71)+F1036/100*$B$7*J$71-$C$71</f>
        <v/>
      </c>
      <c r="I1036" s="13">
        <f>$B$7*(A1036*L$71+B1036*M$71+C1036*N$71+D1036*O$71)+F1036/100*$B$7*Q$71-$C$71</f>
        <v/>
      </c>
      <c r="J1036" s="13">
        <f>$B$7*(A1036*S$71+B1036*T$71+C1036*U$71+D1036*V$71)+F1036/100*$B$7*X$71-$C$71</f>
        <v/>
      </c>
      <c r="K1036" s="13">
        <f>$B$7*(A1036*Z$71+B1036*AA$71+C1036*AB$71+D1036*AC$71)+F1036/100*$B$7*AE$71-$C$71</f>
        <v/>
      </c>
      <c r="L1036" s="13">
        <f>$B$7*(A1036*AG$71+B1036*AH$71+C1036*AI$71+D1036*AJ$71)+F1036/100*$B$7*AL$71-$C$71</f>
        <v/>
      </c>
      <c r="M1036" s="13">
        <f>$B$7*(A1036*AN$71+B1036*AO$71+C1036*AP$71+D1036*AQ$71)+F1036/100*$B$7*AS$71-$C$71</f>
        <v/>
      </c>
      <c r="N1036" s="13">
        <f>SUMPRODUCT($H$24:$M$24,H1036:M1036)</f>
        <v/>
      </c>
      <c r="O1036" s="14">
        <f>SQRT(SUMPRODUCT($H$24:$M$24,(H1036:M1036-N1036)^2))</f>
        <v/>
      </c>
      <c r="P1036" s="13">
        <f>MIN(H1036:M1036)</f>
        <v/>
      </c>
      <c r="Q1036" s="13">
        <f>MAX(H1036:M1036)</f>
        <v/>
      </c>
      <c r="R1036" s="27">
        <f>IF(G1036,SUMPRODUCT(($G$76:$G$1505)*($N$76:$N$1505&gt;=N1036)*($O$76:$O$1505&lt;=O1036))=1,FALSE)</f>
        <v/>
      </c>
      <c r="S1036" s="16">
        <f>IF(R1036,ABS((O1036-$AC$76)/MAX(0.0001,$AC$77-$AC$76)-(N1036-$AC$78)/MAX(0.0001,$AC$79-$AC$78)),-1)</f>
        <v/>
      </c>
      <c r="T1036" s="14">
        <f>IF(G1036,O1036,NA())</f>
        <v/>
      </c>
      <c r="U1036" s="13">
        <f>IF(G1036,N1036,NA())</f>
        <v/>
      </c>
      <c r="V1036" s="14">
        <f>IF(R1036,O1036,NA())</f>
        <v/>
      </c>
      <c r="W1036" s="13">
        <f>IF(R1036,N1036,NA())</f>
        <v/>
      </c>
      <c r="X1036" s="27">
        <f>IF(G1036,P1036,"")</f>
        <v/>
      </c>
      <c r="Y1036" s="27">
        <f>IF(G1036,N1036,"")</f>
        <v/>
      </c>
      <c r="Z1036" s="27">
        <f>IF(R1036,O1036,"")</f>
        <v/>
      </c>
      <c r="AA1036" s="27">
        <f>IF(R1036,N1036,"")</f>
        <v/>
      </c>
    </row>
    <row r="1037">
      <c r="A1037" s="31" t="n">
        <v>0.3</v>
      </c>
      <c r="B1037" s="31" t="n">
        <v>0.4</v>
      </c>
      <c r="C1037" s="31" t="n">
        <v>0</v>
      </c>
      <c r="D1037" s="31" t="n">
        <v>0.3</v>
      </c>
      <c r="E1037" s="27" t="inlineStr">
        <is>
          <t>ON 30%/1M 40%/3M 30%</t>
        </is>
      </c>
      <c r="F1037" s="27" t="n">
        <v>25</v>
      </c>
      <c r="G1037" s="27">
        <f>A1037*$B$7&gt;=$B$9</f>
        <v/>
      </c>
      <c r="H1037" s="13">
        <f>$B$7*(A1037*E$71+B1037*F$71+C1037*G$71+D1037*H$71)+F1037/100*$B$7*J$71-$C$71</f>
        <v/>
      </c>
      <c r="I1037" s="13">
        <f>$B$7*(A1037*L$71+B1037*M$71+C1037*N$71+D1037*O$71)+F1037/100*$B$7*Q$71-$C$71</f>
        <v/>
      </c>
      <c r="J1037" s="13">
        <f>$B$7*(A1037*S$71+B1037*T$71+C1037*U$71+D1037*V$71)+F1037/100*$B$7*X$71-$C$71</f>
        <v/>
      </c>
      <c r="K1037" s="13">
        <f>$B$7*(A1037*Z$71+B1037*AA$71+C1037*AB$71+D1037*AC$71)+F1037/100*$B$7*AE$71-$C$71</f>
        <v/>
      </c>
      <c r="L1037" s="13">
        <f>$B$7*(A1037*AG$71+B1037*AH$71+C1037*AI$71+D1037*AJ$71)+F1037/100*$B$7*AL$71-$C$71</f>
        <v/>
      </c>
      <c r="M1037" s="13">
        <f>$B$7*(A1037*AN$71+B1037*AO$71+C1037*AP$71+D1037*AQ$71)+F1037/100*$B$7*AS$71-$C$71</f>
        <v/>
      </c>
      <c r="N1037" s="13">
        <f>SUMPRODUCT($H$24:$M$24,H1037:M1037)</f>
        <v/>
      </c>
      <c r="O1037" s="14">
        <f>SQRT(SUMPRODUCT($H$24:$M$24,(H1037:M1037-N1037)^2))</f>
        <v/>
      </c>
      <c r="P1037" s="13">
        <f>MIN(H1037:M1037)</f>
        <v/>
      </c>
      <c r="Q1037" s="13">
        <f>MAX(H1037:M1037)</f>
        <v/>
      </c>
      <c r="R1037" s="27">
        <f>IF(G1037,SUMPRODUCT(($G$76:$G$1505)*($N$76:$N$1505&gt;=N1037)*($O$76:$O$1505&lt;=O1037))=1,FALSE)</f>
        <v/>
      </c>
      <c r="S1037" s="16">
        <f>IF(R1037,ABS((O1037-$AC$76)/MAX(0.0001,$AC$77-$AC$76)-(N1037-$AC$78)/MAX(0.0001,$AC$79-$AC$78)),-1)</f>
        <v/>
      </c>
      <c r="T1037" s="14">
        <f>IF(G1037,O1037,NA())</f>
        <v/>
      </c>
      <c r="U1037" s="13">
        <f>IF(G1037,N1037,NA())</f>
        <v/>
      </c>
      <c r="V1037" s="14">
        <f>IF(R1037,O1037,NA())</f>
        <v/>
      </c>
      <c r="W1037" s="13">
        <f>IF(R1037,N1037,NA())</f>
        <v/>
      </c>
      <c r="X1037" s="27">
        <f>IF(G1037,P1037,"")</f>
        <v/>
      </c>
      <c r="Y1037" s="27">
        <f>IF(G1037,N1037,"")</f>
        <v/>
      </c>
      <c r="Z1037" s="27">
        <f>IF(R1037,O1037,"")</f>
        <v/>
      </c>
      <c r="AA1037" s="27">
        <f>IF(R1037,N1037,"")</f>
        <v/>
      </c>
    </row>
    <row r="1038">
      <c r="A1038" s="31" t="n">
        <v>0.3</v>
      </c>
      <c r="B1038" s="31" t="n">
        <v>0.4</v>
      </c>
      <c r="C1038" s="31" t="n">
        <v>0</v>
      </c>
      <c r="D1038" s="31" t="n">
        <v>0.3</v>
      </c>
      <c r="E1038" s="27" t="inlineStr">
        <is>
          <t>ON 30%/1M 40%/3M 30%</t>
        </is>
      </c>
      <c r="F1038" s="27" t="n">
        <v>50</v>
      </c>
      <c r="G1038" s="27">
        <f>A1038*$B$7&gt;=$B$9</f>
        <v/>
      </c>
      <c r="H1038" s="13">
        <f>$B$7*(A1038*E$71+B1038*F$71+C1038*G$71+D1038*H$71)+F1038/100*$B$7*J$71-$C$71</f>
        <v/>
      </c>
      <c r="I1038" s="13">
        <f>$B$7*(A1038*L$71+B1038*M$71+C1038*N$71+D1038*O$71)+F1038/100*$B$7*Q$71-$C$71</f>
        <v/>
      </c>
      <c r="J1038" s="13">
        <f>$B$7*(A1038*S$71+B1038*T$71+C1038*U$71+D1038*V$71)+F1038/100*$B$7*X$71-$C$71</f>
        <v/>
      </c>
      <c r="K1038" s="13">
        <f>$B$7*(A1038*Z$71+B1038*AA$71+C1038*AB$71+D1038*AC$71)+F1038/100*$B$7*AE$71-$C$71</f>
        <v/>
      </c>
      <c r="L1038" s="13">
        <f>$B$7*(A1038*AG$71+B1038*AH$71+C1038*AI$71+D1038*AJ$71)+F1038/100*$B$7*AL$71-$C$71</f>
        <v/>
      </c>
      <c r="M1038" s="13">
        <f>$B$7*(A1038*AN$71+B1038*AO$71+C1038*AP$71+D1038*AQ$71)+F1038/100*$B$7*AS$71-$C$71</f>
        <v/>
      </c>
      <c r="N1038" s="13">
        <f>SUMPRODUCT($H$24:$M$24,H1038:M1038)</f>
        <v/>
      </c>
      <c r="O1038" s="14">
        <f>SQRT(SUMPRODUCT($H$24:$M$24,(H1038:M1038-N1038)^2))</f>
        <v/>
      </c>
      <c r="P1038" s="13">
        <f>MIN(H1038:M1038)</f>
        <v/>
      </c>
      <c r="Q1038" s="13">
        <f>MAX(H1038:M1038)</f>
        <v/>
      </c>
      <c r="R1038" s="27">
        <f>IF(G1038,SUMPRODUCT(($G$76:$G$1505)*($N$76:$N$1505&gt;=N1038)*($O$76:$O$1505&lt;=O1038))=1,FALSE)</f>
        <v/>
      </c>
      <c r="S1038" s="16">
        <f>IF(R1038,ABS((O1038-$AC$76)/MAX(0.0001,$AC$77-$AC$76)-(N1038-$AC$78)/MAX(0.0001,$AC$79-$AC$78)),-1)</f>
        <v/>
      </c>
      <c r="T1038" s="14">
        <f>IF(G1038,O1038,NA())</f>
        <v/>
      </c>
      <c r="U1038" s="13">
        <f>IF(G1038,N1038,NA())</f>
        <v/>
      </c>
      <c r="V1038" s="14">
        <f>IF(R1038,O1038,NA())</f>
        <v/>
      </c>
      <c r="W1038" s="13">
        <f>IF(R1038,N1038,NA())</f>
        <v/>
      </c>
      <c r="X1038" s="27">
        <f>IF(G1038,P1038,"")</f>
        <v/>
      </c>
      <c r="Y1038" s="27">
        <f>IF(G1038,N1038,"")</f>
        <v/>
      </c>
      <c r="Z1038" s="27">
        <f>IF(R1038,O1038,"")</f>
        <v/>
      </c>
      <c r="AA1038" s="27">
        <f>IF(R1038,N1038,"")</f>
        <v/>
      </c>
    </row>
    <row r="1039">
      <c r="A1039" s="31" t="n">
        <v>0.3</v>
      </c>
      <c r="B1039" s="31" t="n">
        <v>0.4</v>
      </c>
      <c r="C1039" s="31" t="n">
        <v>0</v>
      </c>
      <c r="D1039" s="31" t="n">
        <v>0.3</v>
      </c>
      <c r="E1039" s="27" t="inlineStr">
        <is>
          <t>ON 30%/1M 40%/3M 30%</t>
        </is>
      </c>
      <c r="F1039" s="27" t="n">
        <v>75</v>
      </c>
      <c r="G1039" s="27">
        <f>A1039*$B$7&gt;=$B$9</f>
        <v/>
      </c>
      <c r="H1039" s="13">
        <f>$B$7*(A1039*E$71+B1039*F$71+C1039*G$71+D1039*H$71)+F1039/100*$B$7*J$71-$C$71</f>
        <v/>
      </c>
      <c r="I1039" s="13">
        <f>$B$7*(A1039*L$71+B1039*M$71+C1039*N$71+D1039*O$71)+F1039/100*$B$7*Q$71-$C$71</f>
        <v/>
      </c>
      <c r="J1039" s="13">
        <f>$B$7*(A1039*S$71+B1039*T$71+C1039*U$71+D1039*V$71)+F1039/100*$B$7*X$71-$C$71</f>
        <v/>
      </c>
      <c r="K1039" s="13">
        <f>$B$7*(A1039*Z$71+B1039*AA$71+C1039*AB$71+D1039*AC$71)+F1039/100*$B$7*AE$71-$C$71</f>
        <v/>
      </c>
      <c r="L1039" s="13">
        <f>$B$7*(A1039*AG$71+B1039*AH$71+C1039*AI$71+D1039*AJ$71)+F1039/100*$B$7*AL$71-$C$71</f>
        <v/>
      </c>
      <c r="M1039" s="13">
        <f>$B$7*(A1039*AN$71+B1039*AO$71+C1039*AP$71+D1039*AQ$71)+F1039/100*$B$7*AS$71-$C$71</f>
        <v/>
      </c>
      <c r="N1039" s="13">
        <f>SUMPRODUCT($H$24:$M$24,H1039:M1039)</f>
        <v/>
      </c>
      <c r="O1039" s="14">
        <f>SQRT(SUMPRODUCT($H$24:$M$24,(H1039:M1039-N1039)^2))</f>
        <v/>
      </c>
      <c r="P1039" s="13">
        <f>MIN(H1039:M1039)</f>
        <v/>
      </c>
      <c r="Q1039" s="13">
        <f>MAX(H1039:M1039)</f>
        <v/>
      </c>
      <c r="R1039" s="27">
        <f>IF(G1039,SUMPRODUCT(($G$76:$G$1505)*($N$76:$N$1505&gt;=N1039)*($O$76:$O$1505&lt;=O1039))=1,FALSE)</f>
        <v/>
      </c>
      <c r="S1039" s="16">
        <f>IF(R1039,ABS((O1039-$AC$76)/MAX(0.0001,$AC$77-$AC$76)-(N1039-$AC$78)/MAX(0.0001,$AC$79-$AC$78)),-1)</f>
        <v/>
      </c>
      <c r="T1039" s="14">
        <f>IF(G1039,O1039,NA())</f>
        <v/>
      </c>
      <c r="U1039" s="13">
        <f>IF(G1039,N1039,NA())</f>
        <v/>
      </c>
      <c r="V1039" s="14">
        <f>IF(R1039,O1039,NA())</f>
        <v/>
      </c>
      <c r="W1039" s="13">
        <f>IF(R1039,N1039,NA())</f>
        <v/>
      </c>
      <c r="X1039" s="27">
        <f>IF(G1039,P1039,"")</f>
        <v/>
      </c>
      <c r="Y1039" s="27">
        <f>IF(G1039,N1039,"")</f>
        <v/>
      </c>
      <c r="Z1039" s="27">
        <f>IF(R1039,O1039,"")</f>
        <v/>
      </c>
      <c r="AA1039" s="27">
        <f>IF(R1039,N1039,"")</f>
        <v/>
      </c>
    </row>
    <row r="1040">
      <c r="A1040" s="31" t="n">
        <v>0.3</v>
      </c>
      <c r="B1040" s="31" t="n">
        <v>0.4</v>
      </c>
      <c r="C1040" s="31" t="n">
        <v>0</v>
      </c>
      <c r="D1040" s="31" t="n">
        <v>0.3</v>
      </c>
      <c r="E1040" s="27" t="inlineStr">
        <is>
          <t>ON 30%/1M 40%/3M 30%</t>
        </is>
      </c>
      <c r="F1040" s="27" t="n">
        <v>100</v>
      </c>
      <c r="G1040" s="27">
        <f>A1040*$B$7&gt;=$B$9</f>
        <v/>
      </c>
      <c r="H1040" s="13">
        <f>$B$7*(A1040*E$71+B1040*F$71+C1040*G$71+D1040*H$71)+F1040/100*$B$7*J$71-$C$71</f>
        <v/>
      </c>
      <c r="I1040" s="13">
        <f>$B$7*(A1040*L$71+B1040*M$71+C1040*N$71+D1040*O$71)+F1040/100*$B$7*Q$71-$C$71</f>
        <v/>
      </c>
      <c r="J1040" s="13">
        <f>$B$7*(A1040*S$71+B1040*T$71+C1040*U$71+D1040*V$71)+F1040/100*$B$7*X$71-$C$71</f>
        <v/>
      </c>
      <c r="K1040" s="13">
        <f>$B$7*(A1040*Z$71+B1040*AA$71+C1040*AB$71+D1040*AC$71)+F1040/100*$B$7*AE$71-$C$71</f>
        <v/>
      </c>
      <c r="L1040" s="13">
        <f>$B$7*(A1040*AG$71+B1040*AH$71+C1040*AI$71+D1040*AJ$71)+F1040/100*$B$7*AL$71-$C$71</f>
        <v/>
      </c>
      <c r="M1040" s="13">
        <f>$B$7*(A1040*AN$71+B1040*AO$71+C1040*AP$71+D1040*AQ$71)+F1040/100*$B$7*AS$71-$C$71</f>
        <v/>
      </c>
      <c r="N1040" s="13">
        <f>SUMPRODUCT($H$24:$M$24,H1040:M1040)</f>
        <v/>
      </c>
      <c r="O1040" s="14">
        <f>SQRT(SUMPRODUCT($H$24:$M$24,(H1040:M1040-N1040)^2))</f>
        <v/>
      </c>
      <c r="P1040" s="13">
        <f>MIN(H1040:M1040)</f>
        <v/>
      </c>
      <c r="Q1040" s="13">
        <f>MAX(H1040:M1040)</f>
        <v/>
      </c>
      <c r="R1040" s="27">
        <f>IF(G1040,SUMPRODUCT(($G$76:$G$1505)*($N$76:$N$1505&gt;=N1040)*($O$76:$O$1505&lt;=O1040))=1,FALSE)</f>
        <v/>
      </c>
      <c r="S1040" s="16">
        <f>IF(R1040,ABS((O1040-$AC$76)/MAX(0.0001,$AC$77-$AC$76)-(N1040-$AC$78)/MAX(0.0001,$AC$79-$AC$78)),-1)</f>
        <v/>
      </c>
      <c r="T1040" s="14">
        <f>IF(G1040,O1040,NA())</f>
        <v/>
      </c>
      <c r="U1040" s="13">
        <f>IF(G1040,N1040,NA())</f>
        <v/>
      </c>
      <c r="V1040" s="14">
        <f>IF(R1040,O1040,NA())</f>
        <v/>
      </c>
      <c r="W1040" s="13">
        <f>IF(R1040,N1040,NA())</f>
        <v/>
      </c>
      <c r="X1040" s="27">
        <f>IF(G1040,P1040,"")</f>
        <v/>
      </c>
      <c r="Y1040" s="27">
        <f>IF(G1040,N1040,"")</f>
        <v/>
      </c>
      <c r="Z1040" s="27">
        <f>IF(R1040,O1040,"")</f>
        <v/>
      </c>
      <c r="AA1040" s="27">
        <f>IF(R1040,N1040,"")</f>
        <v/>
      </c>
    </row>
    <row r="1041">
      <c r="A1041" s="31" t="n">
        <v>0.3</v>
      </c>
      <c r="B1041" s="31" t="n">
        <v>0.4</v>
      </c>
      <c r="C1041" s="31" t="n">
        <v>0.1</v>
      </c>
      <c r="D1041" s="31" t="n">
        <v>0.2</v>
      </c>
      <c r="E1041" s="27" t="inlineStr">
        <is>
          <t>ON 30%/1M 40%/2M 10%/3M 20%</t>
        </is>
      </c>
      <c r="F1041" s="27" t="n">
        <v>0</v>
      </c>
      <c r="G1041" s="27">
        <f>A1041*$B$7&gt;=$B$9</f>
        <v/>
      </c>
      <c r="H1041" s="13">
        <f>$B$7*(A1041*E$71+B1041*F$71+C1041*G$71+D1041*H$71)+F1041/100*$B$7*J$71-$C$71</f>
        <v/>
      </c>
      <c r="I1041" s="13">
        <f>$B$7*(A1041*L$71+B1041*M$71+C1041*N$71+D1041*O$71)+F1041/100*$B$7*Q$71-$C$71</f>
        <v/>
      </c>
      <c r="J1041" s="13">
        <f>$B$7*(A1041*S$71+B1041*T$71+C1041*U$71+D1041*V$71)+F1041/100*$B$7*X$71-$C$71</f>
        <v/>
      </c>
      <c r="K1041" s="13">
        <f>$B$7*(A1041*Z$71+B1041*AA$71+C1041*AB$71+D1041*AC$71)+F1041/100*$B$7*AE$71-$C$71</f>
        <v/>
      </c>
      <c r="L1041" s="13">
        <f>$B$7*(A1041*AG$71+B1041*AH$71+C1041*AI$71+D1041*AJ$71)+F1041/100*$B$7*AL$71-$C$71</f>
        <v/>
      </c>
      <c r="M1041" s="13">
        <f>$B$7*(A1041*AN$71+B1041*AO$71+C1041*AP$71+D1041*AQ$71)+F1041/100*$B$7*AS$71-$C$71</f>
        <v/>
      </c>
      <c r="N1041" s="13">
        <f>SUMPRODUCT($H$24:$M$24,H1041:M1041)</f>
        <v/>
      </c>
      <c r="O1041" s="14">
        <f>SQRT(SUMPRODUCT($H$24:$M$24,(H1041:M1041-N1041)^2))</f>
        <v/>
      </c>
      <c r="P1041" s="13">
        <f>MIN(H1041:M1041)</f>
        <v/>
      </c>
      <c r="Q1041" s="13">
        <f>MAX(H1041:M1041)</f>
        <v/>
      </c>
      <c r="R1041" s="27">
        <f>IF(G1041,SUMPRODUCT(($G$76:$G$1505)*($N$76:$N$1505&gt;=N1041)*($O$76:$O$1505&lt;=O1041))=1,FALSE)</f>
        <v/>
      </c>
      <c r="S1041" s="16">
        <f>IF(R1041,ABS((O1041-$AC$76)/MAX(0.0001,$AC$77-$AC$76)-(N1041-$AC$78)/MAX(0.0001,$AC$79-$AC$78)),-1)</f>
        <v/>
      </c>
      <c r="T1041" s="14">
        <f>IF(G1041,O1041,NA())</f>
        <v/>
      </c>
      <c r="U1041" s="13">
        <f>IF(G1041,N1041,NA())</f>
        <v/>
      </c>
      <c r="V1041" s="14">
        <f>IF(R1041,O1041,NA())</f>
        <v/>
      </c>
      <c r="W1041" s="13">
        <f>IF(R1041,N1041,NA())</f>
        <v/>
      </c>
      <c r="X1041" s="27">
        <f>IF(G1041,P1041,"")</f>
        <v/>
      </c>
      <c r="Y1041" s="27">
        <f>IF(G1041,N1041,"")</f>
        <v/>
      </c>
      <c r="Z1041" s="27">
        <f>IF(R1041,O1041,"")</f>
        <v/>
      </c>
      <c r="AA1041" s="27">
        <f>IF(R1041,N1041,"")</f>
        <v/>
      </c>
    </row>
    <row r="1042">
      <c r="A1042" s="31" t="n">
        <v>0.3</v>
      </c>
      <c r="B1042" s="31" t="n">
        <v>0.4</v>
      </c>
      <c r="C1042" s="31" t="n">
        <v>0.1</v>
      </c>
      <c r="D1042" s="31" t="n">
        <v>0.2</v>
      </c>
      <c r="E1042" s="27" t="inlineStr">
        <is>
          <t>ON 30%/1M 40%/2M 10%/3M 20%</t>
        </is>
      </c>
      <c r="F1042" s="27" t="n">
        <v>25</v>
      </c>
      <c r="G1042" s="27">
        <f>A1042*$B$7&gt;=$B$9</f>
        <v/>
      </c>
      <c r="H1042" s="13">
        <f>$B$7*(A1042*E$71+B1042*F$71+C1042*G$71+D1042*H$71)+F1042/100*$B$7*J$71-$C$71</f>
        <v/>
      </c>
      <c r="I1042" s="13">
        <f>$B$7*(A1042*L$71+B1042*M$71+C1042*N$71+D1042*O$71)+F1042/100*$B$7*Q$71-$C$71</f>
        <v/>
      </c>
      <c r="J1042" s="13">
        <f>$B$7*(A1042*S$71+B1042*T$71+C1042*U$71+D1042*V$71)+F1042/100*$B$7*X$71-$C$71</f>
        <v/>
      </c>
      <c r="K1042" s="13">
        <f>$B$7*(A1042*Z$71+B1042*AA$71+C1042*AB$71+D1042*AC$71)+F1042/100*$B$7*AE$71-$C$71</f>
        <v/>
      </c>
      <c r="L1042" s="13">
        <f>$B$7*(A1042*AG$71+B1042*AH$71+C1042*AI$71+D1042*AJ$71)+F1042/100*$B$7*AL$71-$C$71</f>
        <v/>
      </c>
      <c r="M1042" s="13">
        <f>$B$7*(A1042*AN$71+B1042*AO$71+C1042*AP$71+D1042*AQ$71)+F1042/100*$B$7*AS$71-$C$71</f>
        <v/>
      </c>
      <c r="N1042" s="13">
        <f>SUMPRODUCT($H$24:$M$24,H1042:M1042)</f>
        <v/>
      </c>
      <c r="O1042" s="14">
        <f>SQRT(SUMPRODUCT($H$24:$M$24,(H1042:M1042-N1042)^2))</f>
        <v/>
      </c>
      <c r="P1042" s="13">
        <f>MIN(H1042:M1042)</f>
        <v/>
      </c>
      <c r="Q1042" s="13">
        <f>MAX(H1042:M1042)</f>
        <v/>
      </c>
      <c r="R1042" s="27">
        <f>IF(G1042,SUMPRODUCT(($G$76:$G$1505)*($N$76:$N$1505&gt;=N1042)*($O$76:$O$1505&lt;=O1042))=1,FALSE)</f>
        <v/>
      </c>
      <c r="S1042" s="16">
        <f>IF(R1042,ABS((O1042-$AC$76)/MAX(0.0001,$AC$77-$AC$76)-(N1042-$AC$78)/MAX(0.0001,$AC$79-$AC$78)),-1)</f>
        <v/>
      </c>
      <c r="T1042" s="14">
        <f>IF(G1042,O1042,NA())</f>
        <v/>
      </c>
      <c r="U1042" s="13">
        <f>IF(G1042,N1042,NA())</f>
        <v/>
      </c>
      <c r="V1042" s="14">
        <f>IF(R1042,O1042,NA())</f>
        <v/>
      </c>
      <c r="W1042" s="13">
        <f>IF(R1042,N1042,NA())</f>
        <v/>
      </c>
      <c r="X1042" s="27">
        <f>IF(G1042,P1042,"")</f>
        <v/>
      </c>
      <c r="Y1042" s="27">
        <f>IF(G1042,N1042,"")</f>
        <v/>
      </c>
      <c r="Z1042" s="27">
        <f>IF(R1042,O1042,"")</f>
        <v/>
      </c>
      <c r="AA1042" s="27">
        <f>IF(R1042,N1042,"")</f>
        <v/>
      </c>
    </row>
    <row r="1043">
      <c r="A1043" s="31" t="n">
        <v>0.3</v>
      </c>
      <c r="B1043" s="31" t="n">
        <v>0.4</v>
      </c>
      <c r="C1043" s="31" t="n">
        <v>0.1</v>
      </c>
      <c r="D1043" s="31" t="n">
        <v>0.2</v>
      </c>
      <c r="E1043" s="27" t="inlineStr">
        <is>
          <t>ON 30%/1M 40%/2M 10%/3M 20%</t>
        </is>
      </c>
      <c r="F1043" s="27" t="n">
        <v>50</v>
      </c>
      <c r="G1043" s="27">
        <f>A1043*$B$7&gt;=$B$9</f>
        <v/>
      </c>
      <c r="H1043" s="13">
        <f>$B$7*(A1043*E$71+B1043*F$71+C1043*G$71+D1043*H$71)+F1043/100*$B$7*J$71-$C$71</f>
        <v/>
      </c>
      <c r="I1043" s="13">
        <f>$B$7*(A1043*L$71+B1043*M$71+C1043*N$71+D1043*O$71)+F1043/100*$B$7*Q$71-$C$71</f>
        <v/>
      </c>
      <c r="J1043" s="13">
        <f>$B$7*(A1043*S$71+B1043*T$71+C1043*U$71+D1043*V$71)+F1043/100*$B$7*X$71-$C$71</f>
        <v/>
      </c>
      <c r="K1043" s="13">
        <f>$B$7*(A1043*Z$71+B1043*AA$71+C1043*AB$71+D1043*AC$71)+F1043/100*$B$7*AE$71-$C$71</f>
        <v/>
      </c>
      <c r="L1043" s="13">
        <f>$B$7*(A1043*AG$71+B1043*AH$71+C1043*AI$71+D1043*AJ$71)+F1043/100*$B$7*AL$71-$C$71</f>
        <v/>
      </c>
      <c r="M1043" s="13">
        <f>$B$7*(A1043*AN$71+B1043*AO$71+C1043*AP$71+D1043*AQ$71)+F1043/100*$B$7*AS$71-$C$71</f>
        <v/>
      </c>
      <c r="N1043" s="13">
        <f>SUMPRODUCT($H$24:$M$24,H1043:M1043)</f>
        <v/>
      </c>
      <c r="O1043" s="14">
        <f>SQRT(SUMPRODUCT($H$24:$M$24,(H1043:M1043-N1043)^2))</f>
        <v/>
      </c>
      <c r="P1043" s="13">
        <f>MIN(H1043:M1043)</f>
        <v/>
      </c>
      <c r="Q1043" s="13">
        <f>MAX(H1043:M1043)</f>
        <v/>
      </c>
      <c r="R1043" s="27">
        <f>IF(G1043,SUMPRODUCT(($G$76:$G$1505)*($N$76:$N$1505&gt;=N1043)*($O$76:$O$1505&lt;=O1043))=1,FALSE)</f>
        <v/>
      </c>
      <c r="S1043" s="16">
        <f>IF(R1043,ABS((O1043-$AC$76)/MAX(0.0001,$AC$77-$AC$76)-(N1043-$AC$78)/MAX(0.0001,$AC$79-$AC$78)),-1)</f>
        <v/>
      </c>
      <c r="T1043" s="14">
        <f>IF(G1043,O1043,NA())</f>
        <v/>
      </c>
      <c r="U1043" s="13">
        <f>IF(G1043,N1043,NA())</f>
        <v/>
      </c>
      <c r="V1043" s="14">
        <f>IF(R1043,O1043,NA())</f>
        <v/>
      </c>
      <c r="W1043" s="13">
        <f>IF(R1043,N1043,NA())</f>
        <v/>
      </c>
      <c r="X1043" s="27">
        <f>IF(G1043,P1043,"")</f>
        <v/>
      </c>
      <c r="Y1043" s="27">
        <f>IF(G1043,N1043,"")</f>
        <v/>
      </c>
      <c r="Z1043" s="27">
        <f>IF(R1043,O1043,"")</f>
        <v/>
      </c>
      <c r="AA1043" s="27">
        <f>IF(R1043,N1043,"")</f>
        <v/>
      </c>
    </row>
    <row r="1044">
      <c r="A1044" s="31" t="n">
        <v>0.3</v>
      </c>
      <c r="B1044" s="31" t="n">
        <v>0.4</v>
      </c>
      <c r="C1044" s="31" t="n">
        <v>0.1</v>
      </c>
      <c r="D1044" s="31" t="n">
        <v>0.2</v>
      </c>
      <c r="E1044" s="27" t="inlineStr">
        <is>
          <t>ON 30%/1M 40%/2M 10%/3M 20%</t>
        </is>
      </c>
      <c r="F1044" s="27" t="n">
        <v>75</v>
      </c>
      <c r="G1044" s="27">
        <f>A1044*$B$7&gt;=$B$9</f>
        <v/>
      </c>
      <c r="H1044" s="13">
        <f>$B$7*(A1044*E$71+B1044*F$71+C1044*G$71+D1044*H$71)+F1044/100*$B$7*J$71-$C$71</f>
        <v/>
      </c>
      <c r="I1044" s="13">
        <f>$B$7*(A1044*L$71+B1044*M$71+C1044*N$71+D1044*O$71)+F1044/100*$B$7*Q$71-$C$71</f>
        <v/>
      </c>
      <c r="J1044" s="13">
        <f>$B$7*(A1044*S$71+B1044*T$71+C1044*U$71+D1044*V$71)+F1044/100*$B$7*X$71-$C$71</f>
        <v/>
      </c>
      <c r="K1044" s="13">
        <f>$B$7*(A1044*Z$71+B1044*AA$71+C1044*AB$71+D1044*AC$71)+F1044/100*$B$7*AE$71-$C$71</f>
        <v/>
      </c>
      <c r="L1044" s="13">
        <f>$B$7*(A1044*AG$71+B1044*AH$71+C1044*AI$71+D1044*AJ$71)+F1044/100*$B$7*AL$71-$C$71</f>
        <v/>
      </c>
      <c r="M1044" s="13">
        <f>$B$7*(A1044*AN$71+B1044*AO$71+C1044*AP$71+D1044*AQ$71)+F1044/100*$B$7*AS$71-$C$71</f>
        <v/>
      </c>
      <c r="N1044" s="13">
        <f>SUMPRODUCT($H$24:$M$24,H1044:M1044)</f>
        <v/>
      </c>
      <c r="O1044" s="14">
        <f>SQRT(SUMPRODUCT($H$24:$M$24,(H1044:M1044-N1044)^2))</f>
        <v/>
      </c>
      <c r="P1044" s="13">
        <f>MIN(H1044:M1044)</f>
        <v/>
      </c>
      <c r="Q1044" s="13">
        <f>MAX(H1044:M1044)</f>
        <v/>
      </c>
      <c r="R1044" s="27">
        <f>IF(G1044,SUMPRODUCT(($G$76:$G$1505)*($N$76:$N$1505&gt;=N1044)*($O$76:$O$1505&lt;=O1044))=1,FALSE)</f>
        <v/>
      </c>
      <c r="S1044" s="16">
        <f>IF(R1044,ABS((O1044-$AC$76)/MAX(0.0001,$AC$77-$AC$76)-(N1044-$AC$78)/MAX(0.0001,$AC$79-$AC$78)),-1)</f>
        <v/>
      </c>
      <c r="T1044" s="14">
        <f>IF(G1044,O1044,NA())</f>
        <v/>
      </c>
      <c r="U1044" s="13">
        <f>IF(G1044,N1044,NA())</f>
        <v/>
      </c>
      <c r="V1044" s="14">
        <f>IF(R1044,O1044,NA())</f>
        <v/>
      </c>
      <c r="W1044" s="13">
        <f>IF(R1044,N1044,NA())</f>
        <v/>
      </c>
      <c r="X1044" s="27">
        <f>IF(G1044,P1044,"")</f>
        <v/>
      </c>
      <c r="Y1044" s="27">
        <f>IF(G1044,N1044,"")</f>
        <v/>
      </c>
      <c r="Z1044" s="27">
        <f>IF(R1044,O1044,"")</f>
        <v/>
      </c>
      <c r="AA1044" s="27">
        <f>IF(R1044,N1044,"")</f>
        <v/>
      </c>
    </row>
    <row r="1045">
      <c r="A1045" s="31" t="n">
        <v>0.3</v>
      </c>
      <c r="B1045" s="31" t="n">
        <v>0.4</v>
      </c>
      <c r="C1045" s="31" t="n">
        <v>0.1</v>
      </c>
      <c r="D1045" s="31" t="n">
        <v>0.2</v>
      </c>
      <c r="E1045" s="27" t="inlineStr">
        <is>
          <t>ON 30%/1M 40%/2M 10%/3M 20%</t>
        </is>
      </c>
      <c r="F1045" s="27" t="n">
        <v>100</v>
      </c>
      <c r="G1045" s="27">
        <f>A1045*$B$7&gt;=$B$9</f>
        <v/>
      </c>
      <c r="H1045" s="13">
        <f>$B$7*(A1045*E$71+B1045*F$71+C1045*G$71+D1045*H$71)+F1045/100*$B$7*J$71-$C$71</f>
        <v/>
      </c>
      <c r="I1045" s="13">
        <f>$B$7*(A1045*L$71+B1045*M$71+C1045*N$71+D1045*O$71)+F1045/100*$B$7*Q$71-$C$71</f>
        <v/>
      </c>
      <c r="J1045" s="13">
        <f>$B$7*(A1045*S$71+B1045*T$71+C1045*U$71+D1045*V$71)+F1045/100*$B$7*X$71-$C$71</f>
        <v/>
      </c>
      <c r="K1045" s="13">
        <f>$B$7*(A1045*Z$71+B1045*AA$71+C1045*AB$71+D1045*AC$71)+F1045/100*$B$7*AE$71-$C$71</f>
        <v/>
      </c>
      <c r="L1045" s="13">
        <f>$B$7*(A1045*AG$71+B1045*AH$71+C1045*AI$71+D1045*AJ$71)+F1045/100*$B$7*AL$71-$C$71</f>
        <v/>
      </c>
      <c r="M1045" s="13">
        <f>$B$7*(A1045*AN$71+B1045*AO$71+C1045*AP$71+D1045*AQ$71)+F1045/100*$B$7*AS$71-$C$71</f>
        <v/>
      </c>
      <c r="N1045" s="13">
        <f>SUMPRODUCT($H$24:$M$24,H1045:M1045)</f>
        <v/>
      </c>
      <c r="O1045" s="14">
        <f>SQRT(SUMPRODUCT($H$24:$M$24,(H1045:M1045-N1045)^2))</f>
        <v/>
      </c>
      <c r="P1045" s="13">
        <f>MIN(H1045:M1045)</f>
        <v/>
      </c>
      <c r="Q1045" s="13">
        <f>MAX(H1045:M1045)</f>
        <v/>
      </c>
      <c r="R1045" s="27">
        <f>IF(G1045,SUMPRODUCT(($G$76:$G$1505)*($N$76:$N$1505&gt;=N1045)*($O$76:$O$1505&lt;=O1045))=1,FALSE)</f>
        <v/>
      </c>
      <c r="S1045" s="16">
        <f>IF(R1045,ABS((O1045-$AC$76)/MAX(0.0001,$AC$77-$AC$76)-(N1045-$AC$78)/MAX(0.0001,$AC$79-$AC$78)),-1)</f>
        <v/>
      </c>
      <c r="T1045" s="14">
        <f>IF(G1045,O1045,NA())</f>
        <v/>
      </c>
      <c r="U1045" s="13">
        <f>IF(G1045,N1045,NA())</f>
        <v/>
      </c>
      <c r="V1045" s="14">
        <f>IF(R1045,O1045,NA())</f>
        <v/>
      </c>
      <c r="W1045" s="13">
        <f>IF(R1045,N1045,NA())</f>
        <v/>
      </c>
      <c r="X1045" s="27">
        <f>IF(G1045,P1045,"")</f>
        <v/>
      </c>
      <c r="Y1045" s="27">
        <f>IF(G1045,N1045,"")</f>
        <v/>
      </c>
      <c r="Z1045" s="27">
        <f>IF(R1045,O1045,"")</f>
        <v/>
      </c>
      <c r="AA1045" s="27">
        <f>IF(R1045,N1045,"")</f>
        <v/>
      </c>
    </row>
    <row r="1046">
      <c r="A1046" s="31" t="n">
        <v>0.3</v>
      </c>
      <c r="B1046" s="31" t="n">
        <v>0.4</v>
      </c>
      <c r="C1046" s="31" t="n">
        <v>0.2</v>
      </c>
      <c r="D1046" s="31" t="n">
        <v>0.1</v>
      </c>
      <c r="E1046" s="27" t="inlineStr">
        <is>
          <t>ON 30%/1M 40%/2M 20%/3M 10%</t>
        </is>
      </c>
      <c r="F1046" s="27" t="n">
        <v>0</v>
      </c>
      <c r="G1046" s="27">
        <f>A1046*$B$7&gt;=$B$9</f>
        <v/>
      </c>
      <c r="H1046" s="13">
        <f>$B$7*(A1046*E$71+B1046*F$71+C1046*G$71+D1046*H$71)+F1046/100*$B$7*J$71-$C$71</f>
        <v/>
      </c>
      <c r="I1046" s="13">
        <f>$B$7*(A1046*L$71+B1046*M$71+C1046*N$71+D1046*O$71)+F1046/100*$B$7*Q$71-$C$71</f>
        <v/>
      </c>
      <c r="J1046" s="13">
        <f>$B$7*(A1046*S$71+B1046*T$71+C1046*U$71+D1046*V$71)+F1046/100*$B$7*X$71-$C$71</f>
        <v/>
      </c>
      <c r="K1046" s="13">
        <f>$B$7*(A1046*Z$71+B1046*AA$71+C1046*AB$71+D1046*AC$71)+F1046/100*$B$7*AE$71-$C$71</f>
        <v/>
      </c>
      <c r="L1046" s="13">
        <f>$B$7*(A1046*AG$71+B1046*AH$71+C1046*AI$71+D1046*AJ$71)+F1046/100*$B$7*AL$71-$C$71</f>
        <v/>
      </c>
      <c r="M1046" s="13">
        <f>$B$7*(A1046*AN$71+B1046*AO$71+C1046*AP$71+D1046*AQ$71)+F1046/100*$B$7*AS$71-$C$71</f>
        <v/>
      </c>
      <c r="N1046" s="13">
        <f>SUMPRODUCT($H$24:$M$24,H1046:M1046)</f>
        <v/>
      </c>
      <c r="O1046" s="14">
        <f>SQRT(SUMPRODUCT($H$24:$M$24,(H1046:M1046-N1046)^2))</f>
        <v/>
      </c>
      <c r="P1046" s="13">
        <f>MIN(H1046:M1046)</f>
        <v/>
      </c>
      <c r="Q1046" s="13">
        <f>MAX(H1046:M1046)</f>
        <v/>
      </c>
      <c r="R1046" s="27">
        <f>IF(G1046,SUMPRODUCT(($G$76:$G$1505)*($N$76:$N$1505&gt;=N1046)*($O$76:$O$1505&lt;=O1046))=1,FALSE)</f>
        <v/>
      </c>
      <c r="S1046" s="16">
        <f>IF(R1046,ABS((O1046-$AC$76)/MAX(0.0001,$AC$77-$AC$76)-(N1046-$AC$78)/MAX(0.0001,$AC$79-$AC$78)),-1)</f>
        <v/>
      </c>
      <c r="T1046" s="14">
        <f>IF(G1046,O1046,NA())</f>
        <v/>
      </c>
      <c r="U1046" s="13">
        <f>IF(G1046,N1046,NA())</f>
        <v/>
      </c>
      <c r="V1046" s="14">
        <f>IF(R1046,O1046,NA())</f>
        <v/>
      </c>
      <c r="W1046" s="13">
        <f>IF(R1046,N1046,NA())</f>
        <v/>
      </c>
      <c r="X1046" s="27">
        <f>IF(G1046,P1046,"")</f>
        <v/>
      </c>
      <c r="Y1046" s="27">
        <f>IF(G1046,N1046,"")</f>
        <v/>
      </c>
      <c r="Z1046" s="27">
        <f>IF(R1046,O1046,"")</f>
        <v/>
      </c>
      <c r="AA1046" s="27">
        <f>IF(R1046,N1046,"")</f>
        <v/>
      </c>
    </row>
    <row r="1047">
      <c r="A1047" s="31" t="n">
        <v>0.3</v>
      </c>
      <c r="B1047" s="31" t="n">
        <v>0.4</v>
      </c>
      <c r="C1047" s="31" t="n">
        <v>0.2</v>
      </c>
      <c r="D1047" s="31" t="n">
        <v>0.1</v>
      </c>
      <c r="E1047" s="27" t="inlineStr">
        <is>
          <t>ON 30%/1M 40%/2M 20%/3M 10%</t>
        </is>
      </c>
      <c r="F1047" s="27" t="n">
        <v>25</v>
      </c>
      <c r="G1047" s="27">
        <f>A1047*$B$7&gt;=$B$9</f>
        <v/>
      </c>
      <c r="H1047" s="13">
        <f>$B$7*(A1047*E$71+B1047*F$71+C1047*G$71+D1047*H$71)+F1047/100*$B$7*J$71-$C$71</f>
        <v/>
      </c>
      <c r="I1047" s="13">
        <f>$B$7*(A1047*L$71+B1047*M$71+C1047*N$71+D1047*O$71)+F1047/100*$B$7*Q$71-$C$71</f>
        <v/>
      </c>
      <c r="J1047" s="13">
        <f>$B$7*(A1047*S$71+B1047*T$71+C1047*U$71+D1047*V$71)+F1047/100*$B$7*X$71-$C$71</f>
        <v/>
      </c>
      <c r="K1047" s="13">
        <f>$B$7*(A1047*Z$71+B1047*AA$71+C1047*AB$71+D1047*AC$71)+F1047/100*$B$7*AE$71-$C$71</f>
        <v/>
      </c>
      <c r="L1047" s="13">
        <f>$B$7*(A1047*AG$71+B1047*AH$71+C1047*AI$71+D1047*AJ$71)+F1047/100*$B$7*AL$71-$C$71</f>
        <v/>
      </c>
      <c r="M1047" s="13">
        <f>$B$7*(A1047*AN$71+B1047*AO$71+C1047*AP$71+D1047*AQ$71)+F1047/100*$B$7*AS$71-$C$71</f>
        <v/>
      </c>
      <c r="N1047" s="13">
        <f>SUMPRODUCT($H$24:$M$24,H1047:M1047)</f>
        <v/>
      </c>
      <c r="O1047" s="14">
        <f>SQRT(SUMPRODUCT($H$24:$M$24,(H1047:M1047-N1047)^2))</f>
        <v/>
      </c>
      <c r="P1047" s="13">
        <f>MIN(H1047:M1047)</f>
        <v/>
      </c>
      <c r="Q1047" s="13">
        <f>MAX(H1047:M1047)</f>
        <v/>
      </c>
      <c r="R1047" s="27">
        <f>IF(G1047,SUMPRODUCT(($G$76:$G$1505)*($N$76:$N$1505&gt;=N1047)*($O$76:$O$1505&lt;=O1047))=1,FALSE)</f>
        <v/>
      </c>
      <c r="S1047" s="16">
        <f>IF(R1047,ABS((O1047-$AC$76)/MAX(0.0001,$AC$77-$AC$76)-(N1047-$AC$78)/MAX(0.0001,$AC$79-$AC$78)),-1)</f>
        <v/>
      </c>
      <c r="T1047" s="14">
        <f>IF(G1047,O1047,NA())</f>
        <v/>
      </c>
      <c r="U1047" s="13">
        <f>IF(G1047,N1047,NA())</f>
        <v/>
      </c>
      <c r="V1047" s="14">
        <f>IF(R1047,O1047,NA())</f>
        <v/>
      </c>
      <c r="W1047" s="13">
        <f>IF(R1047,N1047,NA())</f>
        <v/>
      </c>
      <c r="X1047" s="27">
        <f>IF(G1047,P1047,"")</f>
        <v/>
      </c>
      <c r="Y1047" s="27">
        <f>IF(G1047,N1047,"")</f>
        <v/>
      </c>
      <c r="Z1047" s="27">
        <f>IF(R1047,O1047,"")</f>
        <v/>
      </c>
      <c r="AA1047" s="27">
        <f>IF(R1047,N1047,"")</f>
        <v/>
      </c>
    </row>
    <row r="1048">
      <c r="A1048" s="31" t="n">
        <v>0.3</v>
      </c>
      <c r="B1048" s="31" t="n">
        <v>0.4</v>
      </c>
      <c r="C1048" s="31" t="n">
        <v>0.2</v>
      </c>
      <c r="D1048" s="31" t="n">
        <v>0.1</v>
      </c>
      <c r="E1048" s="27" t="inlineStr">
        <is>
          <t>ON 30%/1M 40%/2M 20%/3M 10%</t>
        </is>
      </c>
      <c r="F1048" s="27" t="n">
        <v>50</v>
      </c>
      <c r="G1048" s="27">
        <f>A1048*$B$7&gt;=$B$9</f>
        <v/>
      </c>
      <c r="H1048" s="13">
        <f>$B$7*(A1048*E$71+B1048*F$71+C1048*G$71+D1048*H$71)+F1048/100*$B$7*J$71-$C$71</f>
        <v/>
      </c>
      <c r="I1048" s="13">
        <f>$B$7*(A1048*L$71+B1048*M$71+C1048*N$71+D1048*O$71)+F1048/100*$B$7*Q$71-$C$71</f>
        <v/>
      </c>
      <c r="J1048" s="13">
        <f>$B$7*(A1048*S$71+B1048*T$71+C1048*U$71+D1048*V$71)+F1048/100*$B$7*X$71-$C$71</f>
        <v/>
      </c>
      <c r="K1048" s="13">
        <f>$B$7*(A1048*Z$71+B1048*AA$71+C1048*AB$71+D1048*AC$71)+F1048/100*$B$7*AE$71-$C$71</f>
        <v/>
      </c>
      <c r="L1048" s="13">
        <f>$B$7*(A1048*AG$71+B1048*AH$71+C1048*AI$71+D1048*AJ$71)+F1048/100*$B$7*AL$71-$C$71</f>
        <v/>
      </c>
      <c r="M1048" s="13">
        <f>$B$7*(A1048*AN$71+B1048*AO$71+C1048*AP$71+D1048*AQ$71)+F1048/100*$B$7*AS$71-$C$71</f>
        <v/>
      </c>
      <c r="N1048" s="13">
        <f>SUMPRODUCT($H$24:$M$24,H1048:M1048)</f>
        <v/>
      </c>
      <c r="O1048" s="14">
        <f>SQRT(SUMPRODUCT($H$24:$M$24,(H1048:M1048-N1048)^2))</f>
        <v/>
      </c>
      <c r="P1048" s="13">
        <f>MIN(H1048:M1048)</f>
        <v/>
      </c>
      <c r="Q1048" s="13">
        <f>MAX(H1048:M1048)</f>
        <v/>
      </c>
      <c r="R1048" s="27">
        <f>IF(G1048,SUMPRODUCT(($G$76:$G$1505)*($N$76:$N$1505&gt;=N1048)*($O$76:$O$1505&lt;=O1048))=1,FALSE)</f>
        <v/>
      </c>
      <c r="S1048" s="16">
        <f>IF(R1048,ABS((O1048-$AC$76)/MAX(0.0001,$AC$77-$AC$76)-(N1048-$AC$78)/MAX(0.0001,$AC$79-$AC$78)),-1)</f>
        <v/>
      </c>
      <c r="T1048" s="14">
        <f>IF(G1048,O1048,NA())</f>
        <v/>
      </c>
      <c r="U1048" s="13">
        <f>IF(G1048,N1048,NA())</f>
        <v/>
      </c>
      <c r="V1048" s="14">
        <f>IF(R1048,O1048,NA())</f>
        <v/>
      </c>
      <c r="W1048" s="13">
        <f>IF(R1048,N1048,NA())</f>
        <v/>
      </c>
      <c r="X1048" s="27">
        <f>IF(G1048,P1048,"")</f>
        <v/>
      </c>
      <c r="Y1048" s="27">
        <f>IF(G1048,N1048,"")</f>
        <v/>
      </c>
      <c r="Z1048" s="27">
        <f>IF(R1048,O1048,"")</f>
        <v/>
      </c>
      <c r="AA1048" s="27">
        <f>IF(R1048,N1048,"")</f>
        <v/>
      </c>
    </row>
    <row r="1049">
      <c r="A1049" s="31" t="n">
        <v>0.3</v>
      </c>
      <c r="B1049" s="31" t="n">
        <v>0.4</v>
      </c>
      <c r="C1049" s="31" t="n">
        <v>0.2</v>
      </c>
      <c r="D1049" s="31" t="n">
        <v>0.1</v>
      </c>
      <c r="E1049" s="27" t="inlineStr">
        <is>
          <t>ON 30%/1M 40%/2M 20%/3M 10%</t>
        </is>
      </c>
      <c r="F1049" s="27" t="n">
        <v>75</v>
      </c>
      <c r="G1049" s="27">
        <f>A1049*$B$7&gt;=$B$9</f>
        <v/>
      </c>
      <c r="H1049" s="13">
        <f>$B$7*(A1049*E$71+B1049*F$71+C1049*G$71+D1049*H$71)+F1049/100*$B$7*J$71-$C$71</f>
        <v/>
      </c>
      <c r="I1049" s="13">
        <f>$B$7*(A1049*L$71+B1049*M$71+C1049*N$71+D1049*O$71)+F1049/100*$B$7*Q$71-$C$71</f>
        <v/>
      </c>
      <c r="J1049" s="13">
        <f>$B$7*(A1049*S$71+B1049*T$71+C1049*U$71+D1049*V$71)+F1049/100*$B$7*X$71-$C$71</f>
        <v/>
      </c>
      <c r="K1049" s="13">
        <f>$B$7*(A1049*Z$71+B1049*AA$71+C1049*AB$71+D1049*AC$71)+F1049/100*$B$7*AE$71-$C$71</f>
        <v/>
      </c>
      <c r="L1049" s="13">
        <f>$B$7*(A1049*AG$71+B1049*AH$71+C1049*AI$71+D1049*AJ$71)+F1049/100*$B$7*AL$71-$C$71</f>
        <v/>
      </c>
      <c r="M1049" s="13">
        <f>$B$7*(A1049*AN$71+B1049*AO$71+C1049*AP$71+D1049*AQ$71)+F1049/100*$B$7*AS$71-$C$71</f>
        <v/>
      </c>
      <c r="N1049" s="13">
        <f>SUMPRODUCT($H$24:$M$24,H1049:M1049)</f>
        <v/>
      </c>
      <c r="O1049" s="14">
        <f>SQRT(SUMPRODUCT($H$24:$M$24,(H1049:M1049-N1049)^2))</f>
        <v/>
      </c>
      <c r="P1049" s="13">
        <f>MIN(H1049:M1049)</f>
        <v/>
      </c>
      <c r="Q1049" s="13">
        <f>MAX(H1049:M1049)</f>
        <v/>
      </c>
      <c r="R1049" s="27">
        <f>IF(G1049,SUMPRODUCT(($G$76:$G$1505)*($N$76:$N$1505&gt;=N1049)*($O$76:$O$1505&lt;=O1049))=1,FALSE)</f>
        <v/>
      </c>
      <c r="S1049" s="16">
        <f>IF(R1049,ABS((O1049-$AC$76)/MAX(0.0001,$AC$77-$AC$76)-(N1049-$AC$78)/MAX(0.0001,$AC$79-$AC$78)),-1)</f>
        <v/>
      </c>
      <c r="T1049" s="14">
        <f>IF(G1049,O1049,NA())</f>
        <v/>
      </c>
      <c r="U1049" s="13">
        <f>IF(G1049,N1049,NA())</f>
        <v/>
      </c>
      <c r="V1049" s="14">
        <f>IF(R1049,O1049,NA())</f>
        <v/>
      </c>
      <c r="W1049" s="13">
        <f>IF(R1049,N1049,NA())</f>
        <v/>
      </c>
      <c r="X1049" s="27">
        <f>IF(G1049,P1049,"")</f>
        <v/>
      </c>
      <c r="Y1049" s="27">
        <f>IF(G1049,N1049,"")</f>
        <v/>
      </c>
      <c r="Z1049" s="27">
        <f>IF(R1049,O1049,"")</f>
        <v/>
      </c>
      <c r="AA1049" s="27">
        <f>IF(R1049,N1049,"")</f>
        <v/>
      </c>
    </row>
    <row r="1050">
      <c r="A1050" s="31" t="n">
        <v>0.3</v>
      </c>
      <c r="B1050" s="31" t="n">
        <v>0.4</v>
      </c>
      <c r="C1050" s="31" t="n">
        <v>0.2</v>
      </c>
      <c r="D1050" s="31" t="n">
        <v>0.1</v>
      </c>
      <c r="E1050" s="27" t="inlineStr">
        <is>
          <t>ON 30%/1M 40%/2M 20%/3M 10%</t>
        </is>
      </c>
      <c r="F1050" s="27" t="n">
        <v>100</v>
      </c>
      <c r="G1050" s="27">
        <f>A1050*$B$7&gt;=$B$9</f>
        <v/>
      </c>
      <c r="H1050" s="13">
        <f>$B$7*(A1050*E$71+B1050*F$71+C1050*G$71+D1050*H$71)+F1050/100*$B$7*J$71-$C$71</f>
        <v/>
      </c>
      <c r="I1050" s="13">
        <f>$B$7*(A1050*L$71+B1050*M$71+C1050*N$71+D1050*O$71)+F1050/100*$B$7*Q$71-$C$71</f>
        <v/>
      </c>
      <c r="J1050" s="13">
        <f>$B$7*(A1050*S$71+B1050*T$71+C1050*U$71+D1050*V$71)+F1050/100*$B$7*X$71-$C$71</f>
        <v/>
      </c>
      <c r="K1050" s="13">
        <f>$B$7*(A1050*Z$71+B1050*AA$71+C1050*AB$71+D1050*AC$71)+F1050/100*$B$7*AE$71-$C$71</f>
        <v/>
      </c>
      <c r="L1050" s="13">
        <f>$B$7*(A1050*AG$71+B1050*AH$71+C1050*AI$71+D1050*AJ$71)+F1050/100*$B$7*AL$71-$C$71</f>
        <v/>
      </c>
      <c r="M1050" s="13">
        <f>$B$7*(A1050*AN$71+B1050*AO$71+C1050*AP$71+D1050*AQ$71)+F1050/100*$B$7*AS$71-$C$71</f>
        <v/>
      </c>
      <c r="N1050" s="13">
        <f>SUMPRODUCT($H$24:$M$24,H1050:M1050)</f>
        <v/>
      </c>
      <c r="O1050" s="14">
        <f>SQRT(SUMPRODUCT($H$24:$M$24,(H1050:M1050-N1050)^2))</f>
        <v/>
      </c>
      <c r="P1050" s="13">
        <f>MIN(H1050:M1050)</f>
        <v/>
      </c>
      <c r="Q1050" s="13">
        <f>MAX(H1050:M1050)</f>
        <v/>
      </c>
      <c r="R1050" s="27">
        <f>IF(G1050,SUMPRODUCT(($G$76:$G$1505)*($N$76:$N$1505&gt;=N1050)*($O$76:$O$1505&lt;=O1050))=1,FALSE)</f>
        <v/>
      </c>
      <c r="S1050" s="16">
        <f>IF(R1050,ABS((O1050-$AC$76)/MAX(0.0001,$AC$77-$AC$76)-(N1050-$AC$78)/MAX(0.0001,$AC$79-$AC$78)),-1)</f>
        <v/>
      </c>
      <c r="T1050" s="14">
        <f>IF(G1050,O1050,NA())</f>
        <v/>
      </c>
      <c r="U1050" s="13">
        <f>IF(G1050,N1050,NA())</f>
        <v/>
      </c>
      <c r="V1050" s="14">
        <f>IF(R1050,O1050,NA())</f>
        <v/>
      </c>
      <c r="W1050" s="13">
        <f>IF(R1050,N1050,NA())</f>
        <v/>
      </c>
      <c r="X1050" s="27">
        <f>IF(G1050,P1050,"")</f>
        <v/>
      </c>
      <c r="Y1050" s="27">
        <f>IF(G1050,N1050,"")</f>
        <v/>
      </c>
      <c r="Z1050" s="27">
        <f>IF(R1050,O1050,"")</f>
        <v/>
      </c>
      <c r="AA1050" s="27">
        <f>IF(R1050,N1050,"")</f>
        <v/>
      </c>
    </row>
    <row r="1051">
      <c r="A1051" s="31" t="n">
        <v>0.3</v>
      </c>
      <c r="B1051" s="31" t="n">
        <v>0.4</v>
      </c>
      <c r="C1051" s="31" t="n">
        <v>0.3</v>
      </c>
      <c r="D1051" s="31" t="n">
        <v>0</v>
      </c>
      <c r="E1051" s="27" t="inlineStr">
        <is>
          <t>ON 30%/1M 40%/2M 30%</t>
        </is>
      </c>
      <c r="F1051" s="27" t="n">
        <v>0</v>
      </c>
      <c r="G1051" s="27">
        <f>A1051*$B$7&gt;=$B$9</f>
        <v/>
      </c>
      <c r="H1051" s="13">
        <f>$B$7*(A1051*E$71+B1051*F$71+C1051*G$71+D1051*H$71)+F1051/100*$B$7*J$71-$C$71</f>
        <v/>
      </c>
      <c r="I1051" s="13">
        <f>$B$7*(A1051*L$71+B1051*M$71+C1051*N$71+D1051*O$71)+F1051/100*$B$7*Q$71-$C$71</f>
        <v/>
      </c>
      <c r="J1051" s="13">
        <f>$B$7*(A1051*S$71+B1051*T$71+C1051*U$71+D1051*V$71)+F1051/100*$B$7*X$71-$C$71</f>
        <v/>
      </c>
      <c r="K1051" s="13">
        <f>$B$7*(A1051*Z$71+B1051*AA$71+C1051*AB$71+D1051*AC$71)+F1051/100*$B$7*AE$71-$C$71</f>
        <v/>
      </c>
      <c r="L1051" s="13">
        <f>$B$7*(A1051*AG$71+B1051*AH$71+C1051*AI$71+D1051*AJ$71)+F1051/100*$B$7*AL$71-$C$71</f>
        <v/>
      </c>
      <c r="M1051" s="13">
        <f>$B$7*(A1051*AN$71+B1051*AO$71+C1051*AP$71+D1051*AQ$71)+F1051/100*$B$7*AS$71-$C$71</f>
        <v/>
      </c>
      <c r="N1051" s="13">
        <f>SUMPRODUCT($H$24:$M$24,H1051:M1051)</f>
        <v/>
      </c>
      <c r="O1051" s="14">
        <f>SQRT(SUMPRODUCT($H$24:$M$24,(H1051:M1051-N1051)^2))</f>
        <v/>
      </c>
      <c r="P1051" s="13">
        <f>MIN(H1051:M1051)</f>
        <v/>
      </c>
      <c r="Q1051" s="13">
        <f>MAX(H1051:M1051)</f>
        <v/>
      </c>
      <c r="R1051" s="27">
        <f>IF(G1051,SUMPRODUCT(($G$76:$G$1505)*($N$76:$N$1505&gt;=N1051)*($O$76:$O$1505&lt;=O1051))=1,FALSE)</f>
        <v/>
      </c>
      <c r="S1051" s="16">
        <f>IF(R1051,ABS((O1051-$AC$76)/MAX(0.0001,$AC$77-$AC$76)-(N1051-$AC$78)/MAX(0.0001,$AC$79-$AC$78)),-1)</f>
        <v/>
      </c>
      <c r="T1051" s="14">
        <f>IF(G1051,O1051,NA())</f>
        <v/>
      </c>
      <c r="U1051" s="13">
        <f>IF(G1051,N1051,NA())</f>
        <v/>
      </c>
      <c r="V1051" s="14">
        <f>IF(R1051,O1051,NA())</f>
        <v/>
      </c>
      <c r="W1051" s="13">
        <f>IF(R1051,N1051,NA())</f>
        <v/>
      </c>
      <c r="X1051" s="27">
        <f>IF(G1051,P1051,"")</f>
        <v/>
      </c>
      <c r="Y1051" s="27">
        <f>IF(G1051,N1051,"")</f>
        <v/>
      </c>
      <c r="Z1051" s="27">
        <f>IF(R1051,O1051,"")</f>
        <v/>
      </c>
      <c r="AA1051" s="27">
        <f>IF(R1051,N1051,"")</f>
        <v/>
      </c>
    </row>
    <row r="1052">
      <c r="A1052" s="31" t="n">
        <v>0.3</v>
      </c>
      <c r="B1052" s="31" t="n">
        <v>0.4</v>
      </c>
      <c r="C1052" s="31" t="n">
        <v>0.3</v>
      </c>
      <c r="D1052" s="31" t="n">
        <v>0</v>
      </c>
      <c r="E1052" s="27" t="inlineStr">
        <is>
          <t>ON 30%/1M 40%/2M 30%</t>
        </is>
      </c>
      <c r="F1052" s="27" t="n">
        <v>25</v>
      </c>
      <c r="G1052" s="27">
        <f>A1052*$B$7&gt;=$B$9</f>
        <v/>
      </c>
      <c r="H1052" s="13">
        <f>$B$7*(A1052*E$71+B1052*F$71+C1052*G$71+D1052*H$71)+F1052/100*$B$7*J$71-$C$71</f>
        <v/>
      </c>
      <c r="I1052" s="13">
        <f>$B$7*(A1052*L$71+B1052*M$71+C1052*N$71+D1052*O$71)+F1052/100*$B$7*Q$71-$C$71</f>
        <v/>
      </c>
      <c r="J1052" s="13">
        <f>$B$7*(A1052*S$71+B1052*T$71+C1052*U$71+D1052*V$71)+F1052/100*$B$7*X$71-$C$71</f>
        <v/>
      </c>
      <c r="K1052" s="13">
        <f>$B$7*(A1052*Z$71+B1052*AA$71+C1052*AB$71+D1052*AC$71)+F1052/100*$B$7*AE$71-$C$71</f>
        <v/>
      </c>
      <c r="L1052" s="13">
        <f>$B$7*(A1052*AG$71+B1052*AH$71+C1052*AI$71+D1052*AJ$71)+F1052/100*$B$7*AL$71-$C$71</f>
        <v/>
      </c>
      <c r="M1052" s="13">
        <f>$B$7*(A1052*AN$71+B1052*AO$71+C1052*AP$71+D1052*AQ$71)+F1052/100*$B$7*AS$71-$C$71</f>
        <v/>
      </c>
      <c r="N1052" s="13">
        <f>SUMPRODUCT($H$24:$M$24,H1052:M1052)</f>
        <v/>
      </c>
      <c r="O1052" s="14">
        <f>SQRT(SUMPRODUCT($H$24:$M$24,(H1052:M1052-N1052)^2))</f>
        <v/>
      </c>
      <c r="P1052" s="13">
        <f>MIN(H1052:M1052)</f>
        <v/>
      </c>
      <c r="Q1052" s="13">
        <f>MAX(H1052:M1052)</f>
        <v/>
      </c>
      <c r="R1052" s="27">
        <f>IF(G1052,SUMPRODUCT(($G$76:$G$1505)*($N$76:$N$1505&gt;=N1052)*($O$76:$O$1505&lt;=O1052))=1,FALSE)</f>
        <v/>
      </c>
      <c r="S1052" s="16">
        <f>IF(R1052,ABS((O1052-$AC$76)/MAX(0.0001,$AC$77-$AC$76)-(N1052-$AC$78)/MAX(0.0001,$AC$79-$AC$78)),-1)</f>
        <v/>
      </c>
      <c r="T1052" s="14">
        <f>IF(G1052,O1052,NA())</f>
        <v/>
      </c>
      <c r="U1052" s="13">
        <f>IF(G1052,N1052,NA())</f>
        <v/>
      </c>
      <c r="V1052" s="14">
        <f>IF(R1052,O1052,NA())</f>
        <v/>
      </c>
      <c r="W1052" s="13">
        <f>IF(R1052,N1052,NA())</f>
        <v/>
      </c>
      <c r="X1052" s="27">
        <f>IF(G1052,P1052,"")</f>
        <v/>
      </c>
      <c r="Y1052" s="27">
        <f>IF(G1052,N1052,"")</f>
        <v/>
      </c>
      <c r="Z1052" s="27">
        <f>IF(R1052,O1052,"")</f>
        <v/>
      </c>
      <c r="AA1052" s="27">
        <f>IF(R1052,N1052,"")</f>
        <v/>
      </c>
    </row>
    <row r="1053">
      <c r="A1053" s="31" t="n">
        <v>0.3</v>
      </c>
      <c r="B1053" s="31" t="n">
        <v>0.4</v>
      </c>
      <c r="C1053" s="31" t="n">
        <v>0.3</v>
      </c>
      <c r="D1053" s="31" t="n">
        <v>0</v>
      </c>
      <c r="E1053" s="27" t="inlineStr">
        <is>
          <t>ON 30%/1M 40%/2M 30%</t>
        </is>
      </c>
      <c r="F1053" s="27" t="n">
        <v>50</v>
      </c>
      <c r="G1053" s="27">
        <f>A1053*$B$7&gt;=$B$9</f>
        <v/>
      </c>
      <c r="H1053" s="13">
        <f>$B$7*(A1053*E$71+B1053*F$71+C1053*G$71+D1053*H$71)+F1053/100*$B$7*J$71-$C$71</f>
        <v/>
      </c>
      <c r="I1053" s="13">
        <f>$B$7*(A1053*L$71+B1053*M$71+C1053*N$71+D1053*O$71)+F1053/100*$B$7*Q$71-$C$71</f>
        <v/>
      </c>
      <c r="J1053" s="13">
        <f>$B$7*(A1053*S$71+B1053*T$71+C1053*U$71+D1053*V$71)+F1053/100*$B$7*X$71-$C$71</f>
        <v/>
      </c>
      <c r="K1053" s="13">
        <f>$B$7*(A1053*Z$71+B1053*AA$71+C1053*AB$71+D1053*AC$71)+F1053/100*$B$7*AE$71-$C$71</f>
        <v/>
      </c>
      <c r="L1053" s="13">
        <f>$B$7*(A1053*AG$71+B1053*AH$71+C1053*AI$71+D1053*AJ$71)+F1053/100*$B$7*AL$71-$C$71</f>
        <v/>
      </c>
      <c r="M1053" s="13">
        <f>$B$7*(A1053*AN$71+B1053*AO$71+C1053*AP$71+D1053*AQ$71)+F1053/100*$B$7*AS$71-$C$71</f>
        <v/>
      </c>
      <c r="N1053" s="13">
        <f>SUMPRODUCT($H$24:$M$24,H1053:M1053)</f>
        <v/>
      </c>
      <c r="O1053" s="14">
        <f>SQRT(SUMPRODUCT($H$24:$M$24,(H1053:M1053-N1053)^2))</f>
        <v/>
      </c>
      <c r="P1053" s="13">
        <f>MIN(H1053:M1053)</f>
        <v/>
      </c>
      <c r="Q1053" s="13">
        <f>MAX(H1053:M1053)</f>
        <v/>
      </c>
      <c r="R1053" s="27">
        <f>IF(G1053,SUMPRODUCT(($G$76:$G$1505)*($N$76:$N$1505&gt;=N1053)*($O$76:$O$1505&lt;=O1053))=1,FALSE)</f>
        <v/>
      </c>
      <c r="S1053" s="16">
        <f>IF(R1053,ABS((O1053-$AC$76)/MAX(0.0001,$AC$77-$AC$76)-(N1053-$AC$78)/MAX(0.0001,$AC$79-$AC$78)),-1)</f>
        <v/>
      </c>
      <c r="T1053" s="14">
        <f>IF(G1053,O1053,NA())</f>
        <v/>
      </c>
      <c r="U1053" s="13">
        <f>IF(G1053,N1053,NA())</f>
        <v/>
      </c>
      <c r="V1053" s="14">
        <f>IF(R1053,O1053,NA())</f>
        <v/>
      </c>
      <c r="W1053" s="13">
        <f>IF(R1053,N1053,NA())</f>
        <v/>
      </c>
      <c r="X1053" s="27">
        <f>IF(G1053,P1053,"")</f>
        <v/>
      </c>
      <c r="Y1053" s="27">
        <f>IF(G1053,N1053,"")</f>
        <v/>
      </c>
      <c r="Z1053" s="27">
        <f>IF(R1053,O1053,"")</f>
        <v/>
      </c>
      <c r="AA1053" s="27">
        <f>IF(R1053,N1053,"")</f>
        <v/>
      </c>
    </row>
    <row r="1054">
      <c r="A1054" s="31" t="n">
        <v>0.3</v>
      </c>
      <c r="B1054" s="31" t="n">
        <v>0.4</v>
      </c>
      <c r="C1054" s="31" t="n">
        <v>0.3</v>
      </c>
      <c r="D1054" s="31" t="n">
        <v>0</v>
      </c>
      <c r="E1054" s="27" t="inlineStr">
        <is>
          <t>ON 30%/1M 40%/2M 30%</t>
        </is>
      </c>
      <c r="F1054" s="27" t="n">
        <v>75</v>
      </c>
      <c r="G1054" s="27">
        <f>A1054*$B$7&gt;=$B$9</f>
        <v/>
      </c>
      <c r="H1054" s="13">
        <f>$B$7*(A1054*E$71+B1054*F$71+C1054*G$71+D1054*H$71)+F1054/100*$B$7*J$71-$C$71</f>
        <v/>
      </c>
      <c r="I1054" s="13">
        <f>$B$7*(A1054*L$71+B1054*M$71+C1054*N$71+D1054*O$71)+F1054/100*$B$7*Q$71-$C$71</f>
        <v/>
      </c>
      <c r="J1054" s="13">
        <f>$B$7*(A1054*S$71+B1054*T$71+C1054*U$71+D1054*V$71)+F1054/100*$B$7*X$71-$C$71</f>
        <v/>
      </c>
      <c r="K1054" s="13">
        <f>$B$7*(A1054*Z$71+B1054*AA$71+C1054*AB$71+D1054*AC$71)+F1054/100*$B$7*AE$71-$C$71</f>
        <v/>
      </c>
      <c r="L1054" s="13">
        <f>$B$7*(A1054*AG$71+B1054*AH$71+C1054*AI$71+D1054*AJ$71)+F1054/100*$B$7*AL$71-$C$71</f>
        <v/>
      </c>
      <c r="M1054" s="13">
        <f>$B$7*(A1054*AN$71+B1054*AO$71+C1054*AP$71+D1054*AQ$71)+F1054/100*$B$7*AS$71-$C$71</f>
        <v/>
      </c>
      <c r="N1054" s="13">
        <f>SUMPRODUCT($H$24:$M$24,H1054:M1054)</f>
        <v/>
      </c>
      <c r="O1054" s="14">
        <f>SQRT(SUMPRODUCT($H$24:$M$24,(H1054:M1054-N1054)^2))</f>
        <v/>
      </c>
      <c r="P1054" s="13">
        <f>MIN(H1054:M1054)</f>
        <v/>
      </c>
      <c r="Q1054" s="13">
        <f>MAX(H1054:M1054)</f>
        <v/>
      </c>
      <c r="R1054" s="27">
        <f>IF(G1054,SUMPRODUCT(($G$76:$G$1505)*($N$76:$N$1505&gt;=N1054)*($O$76:$O$1505&lt;=O1054))=1,FALSE)</f>
        <v/>
      </c>
      <c r="S1054" s="16">
        <f>IF(R1054,ABS((O1054-$AC$76)/MAX(0.0001,$AC$77-$AC$76)-(N1054-$AC$78)/MAX(0.0001,$AC$79-$AC$78)),-1)</f>
        <v/>
      </c>
      <c r="T1054" s="14">
        <f>IF(G1054,O1054,NA())</f>
        <v/>
      </c>
      <c r="U1054" s="13">
        <f>IF(G1054,N1054,NA())</f>
        <v/>
      </c>
      <c r="V1054" s="14">
        <f>IF(R1054,O1054,NA())</f>
        <v/>
      </c>
      <c r="W1054" s="13">
        <f>IF(R1054,N1054,NA())</f>
        <v/>
      </c>
      <c r="X1054" s="27">
        <f>IF(G1054,P1054,"")</f>
        <v/>
      </c>
      <c r="Y1054" s="27">
        <f>IF(G1054,N1054,"")</f>
        <v/>
      </c>
      <c r="Z1054" s="27">
        <f>IF(R1054,O1054,"")</f>
        <v/>
      </c>
      <c r="AA1054" s="27">
        <f>IF(R1054,N1054,"")</f>
        <v/>
      </c>
    </row>
    <row r="1055">
      <c r="A1055" s="31" t="n">
        <v>0.3</v>
      </c>
      <c r="B1055" s="31" t="n">
        <v>0.4</v>
      </c>
      <c r="C1055" s="31" t="n">
        <v>0.3</v>
      </c>
      <c r="D1055" s="31" t="n">
        <v>0</v>
      </c>
      <c r="E1055" s="27" t="inlineStr">
        <is>
          <t>ON 30%/1M 40%/2M 30%</t>
        </is>
      </c>
      <c r="F1055" s="27" t="n">
        <v>100</v>
      </c>
      <c r="G1055" s="27">
        <f>A1055*$B$7&gt;=$B$9</f>
        <v/>
      </c>
      <c r="H1055" s="13">
        <f>$B$7*(A1055*E$71+B1055*F$71+C1055*G$71+D1055*H$71)+F1055/100*$B$7*J$71-$C$71</f>
        <v/>
      </c>
      <c r="I1055" s="13">
        <f>$B$7*(A1055*L$71+B1055*M$71+C1055*N$71+D1055*O$71)+F1055/100*$B$7*Q$71-$C$71</f>
        <v/>
      </c>
      <c r="J1055" s="13">
        <f>$B$7*(A1055*S$71+B1055*T$71+C1055*U$71+D1055*V$71)+F1055/100*$B$7*X$71-$C$71</f>
        <v/>
      </c>
      <c r="K1055" s="13">
        <f>$B$7*(A1055*Z$71+B1055*AA$71+C1055*AB$71+D1055*AC$71)+F1055/100*$B$7*AE$71-$C$71</f>
        <v/>
      </c>
      <c r="L1055" s="13">
        <f>$B$7*(A1055*AG$71+B1055*AH$71+C1055*AI$71+D1055*AJ$71)+F1055/100*$B$7*AL$71-$C$71</f>
        <v/>
      </c>
      <c r="M1055" s="13">
        <f>$B$7*(A1055*AN$71+B1055*AO$71+C1055*AP$71+D1055*AQ$71)+F1055/100*$B$7*AS$71-$C$71</f>
        <v/>
      </c>
      <c r="N1055" s="13">
        <f>SUMPRODUCT($H$24:$M$24,H1055:M1055)</f>
        <v/>
      </c>
      <c r="O1055" s="14">
        <f>SQRT(SUMPRODUCT($H$24:$M$24,(H1055:M1055-N1055)^2))</f>
        <v/>
      </c>
      <c r="P1055" s="13">
        <f>MIN(H1055:M1055)</f>
        <v/>
      </c>
      <c r="Q1055" s="13">
        <f>MAX(H1055:M1055)</f>
        <v/>
      </c>
      <c r="R1055" s="27">
        <f>IF(G1055,SUMPRODUCT(($G$76:$G$1505)*($N$76:$N$1505&gt;=N1055)*($O$76:$O$1505&lt;=O1055))=1,FALSE)</f>
        <v/>
      </c>
      <c r="S1055" s="16">
        <f>IF(R1055,ABS((O1055-$AC$76)/MAX(0.0001,$AC$77-$AC$76)-(N1055-$AC$78)/MAX(0.0001,$AC$79-$AC$78)),-1)</f>
        <v/>
      </c>
      <c r="T1055" s="14">
        <f>IF(G1055,O1055,NA())</f>
        <v/>
      </c>
      <c r="U1055" s="13">
        <f>IF(G1055,N1055,NA())</f>
        <v/>
      </c>
      <c r="V1055" s="14">
        <f>IF(R1055,O1055,NA())</f>
        <v/>
      </c>
      <c r="W1055" s="13">
        <f>IF(R1055,N1055,NA())</f>
        <v/>
      </c>
      <c r="X1055" s="27">
        <f>IF(G1055,P1055,"")</f>
        <v/>
      </c>
      <c r="Y1055" s="27">
        <f>IF(G1055,N1055,"")</f>
        <v/>
      </c>
      <c r="Z1055" s="27">
        <f>IF(R1055,O1055,"")</f>
        <v/>
      </c>
      <c r="AA1055" s="27">
        <f>IF(R1055,N1055,"")</f>
        <v/>
      </c>
    </row>
    <row r="1056">
      <c r="A1056" s="31" t="n">
        <v>0.3</v>
      </c>
      <c r="B1056" s="31" t="n">
        <v>0.5</v>
      </c>
      <c r="C1056" s="31" t="n">
        <v>0</v>
      </c>
      <c r="D1056" s="31" t="n">
        <v>0.2</v>
      </c>
      <c r="E1056" s="27" t="inlineStr">
        <is>
          <t>ON 30%/1M 50%/3M 20%</t>
        </is>
      </c>
      <c r="F1056" s="27" t="n">
        <v>0</v>
      </c>
      <c r="G1056" s="27">
        <f>A1056*$B$7&gt;=$B$9</f>
        <v/>
      </c>
      <c r="H1056" s="13">
        <f>$B$7*(A1056*E$71+B1056*F$71+C1056*G$71+D1056*H$71)+F1056/100*$B$7*J$71-$C$71</f>
        <v/>
      </c>
      <c r="I1056" s="13">
        <f>$B$7*(A1056*L$71+B1056*M$71+C1056*N$71+D1056*O$71)+F1056/100*$B$7*Q$71-$C$71</f>
        <v/>
      </c>
      <c r="J1056" s="13">
        <f>$B$7*(A1056*S$71+B1056*T$71+C1056*U$71+D1056*V$71)+F1056/100*$B$7*X$71-$C$71</f>
        <v/>
      </c>
      <c r="K1056" s="13">
        <f>$B$7*(A1056*Z$71+B1056*AA$71+C1056*AB$71+D1056*AC$71)+F1056/100*$B$7*AE$71-$C$71</f>
        <v/>
      </c>
      <c r="L1056" s="13">
        <f>$B$7*(A1056*AG$71+B1056*AH$71+C1056*AI$71+D1056*AJ$71)+F1056/100*$B$7*AL$71-$C$71</f>
        <v/>
      </c>
      <c r="M1056" s="13">
        <f>$B$7*(A1056*AN$71+B1056*AO$71+C1056*AP$71+D1056*AQ$71)+F1056/100*$B$7*AS$71-$C$71</f>
        <v/>
      </c>
      <c r="N1056" s="13">
        <f>SUMPRODUCT($H$24:$M$24,H1056:M1056)</f>
        <v/>
      </c>
      <c r="O1056" s="14">
        <f>SQRT(SUMPRODUCT($H$24:$M$24,(H1056:M1056-N1056)^2))</f>
        <v/>
      </c>
      <c r="P1056" s="13">
        <f>MIN(H1056:M1056)</f>
        <v/>
      </c>
      <c r="Q1056" s="13">
        <f>MAX(H1056:M1056)</f>
        <v/>
      </c>
      <c r="R1056" s="27">
        <f>IF(G1056,SUMPRODUCT(($G$76:$G$1505)*($N$76:$N$1505&gt;=N1056)*($O$76:$O$1505&lt;=O1056))=1,FALSE)</f>
        <v/>
      </c>
      <c r="S1056" s="16">
        <f>IF(R1056,ABS((O1056-$AC$76)/MAX(0.0001,$AC$77-$AC$76)-(N1056-$AC$78)/MAX(0.0001,$AC$79-$AC$78)),-1)</f>
        <v/>
      </c>
      <c r="T1056" s="14">
        <f>IF(G1056,O1056,NA())</f>
        <v/>
      </c>
      <c r="U1056" s="13">
        <f>IF(G1056,N1056,NA())</f>
        <v/>
      </c>
      <c r="V1056" s="14">
        <f>IF(R1056,O1056,NA())</f>
        <v/>
      </c>
      <c r="W1056" s="13">
        <f>IF(R1056,N1056,NA())</f>
        <v/>
      </c>
      <c r="X1056" s="27">
        <f>IF(G1056,P1056,"")</f>
        <v/>
      </c>
      <c r="Y1056" s="27">
        <f>IF(G1056,N1056,"")</f>
        <v/>
      </c>
      <c r="Z1056" s="27">
        <f>IF(R1056,O1056,"")</f>
        <v/>
      </c>
      <c r="AA1056" s="27">
        <f>IF(R1056,N1056,"")</f>
        <v/>
      </c>
    </row>
    <row r="1057">
      <c r="A1057" s="31" t="n">
        <v>0.3</v>
      </c>
      <c r="B1057" s="31" t="n">
        <v>0.5</v>
      </c>
      <c r="C1057" s="31" t="n">
        <v>0</v>
      </c>
      <c r="D1057" s="31" t="n">
        <v>0.2</v>
      </c>
      <c r="E1057" s="27" t="inlineStr">
        <is>
          <t>ON 30%/1M 50%/3M 20%</t>
        </is>
      </c>
      <c r="F1057" s="27" t="n">
        <v>25</v>
      </c>
      <c r="G1057" s="27">
        <f>A1057*$B$7&gt;=$B$9</f>
        <v/>
      </c>
      <c r="H1057" s="13">
        <f>$B$7*(A1057*E$71+B1057*F$71+C1057*G$71+D1057*H$71)+F1057/100*$B$7*J$71-$C$71</f>
        <v/>
      </c>
      <c r="I1057" s="13">
        <f>$B$7*(A1057*L$71+B1057*M$71+C1057*N$71+D1057*O$71)+F1057/100*$B$7*Q$71-$C$71</f>
        <v/>
      </c>
      <c r="J1057" s="13">
        <f>$B$7*(A1057*S$71+B1057*T$71+C1057*U$71+D1057*V$71)+F1057/100*$B$7*X$71-$C$71</f>
        <v/>
      </c>
      <c r="K1057" s="13">
        <f>$B$7*(A1057*Z$71+B1057*AA$71+C1057*AB$71+D1057*AC$71)+F1057/100*$B$7*AE$71-$C$71</f>
        <v/>
      </c>
      <c r="L1057" s="13">
        <f>$B$7*(A1057*AG$71+B1057*AH$71+C1057*AI$71+D1057*AJ$71)+F1057/100*$B$7*AL$71-$C$71</f>
        <v/>
      </c>
      <c r="M1057" s="13">
        <f>$B$7*(A1057*AN$71+B1057*AO$71+C1057*AP$71+D1057*AQ$71)+F1057/100*$B$7*AS$71-$C$71</f>
        <v/>
      </c>
      <c r="N1057" s="13">
        <f>SUMPRODUCT($H$24:$M$24,H1057:M1057)</f>
        <v/>
      </c>
      <c r="O1057" s="14">
        <f>SQRT(SUMPRODUCT($H$24:$M$24,(H1057:M1057-N1057)^2))</f>
        <v/>
      </c>
      <c r="P1057" s="13">
        <f>MIN(H1057:M1057)</f>
        <v/>
      </c>
      <c r="Q1057" s="13">
        <f>MAX(H1057:M1057)</f>
        <v/>
      </c>
      <c r="R1057" s="27">
        <f>IF(G1057,SUMPRODUCT(($G$76:$G$1505)*($N$76:$N$1505&gt;=N1057)*($O$76:$O$1505&lt;=O1057))=1,FALSE)</f>
        <v/>
      </c>
      <c r="S1057" s="16">
        <f>IF(R1057,ABS((O1057-$AC$76)/MAX(0.0001,$AC$77-$AC$76)-(N1057-$AC$78)/MAX(0.0001,$AC$79-$AC$78)),-1)</f>
        <v/>
      </c>
      <c r="T1057" s="14">
        <f>IF(G1057,O1057,NA())</f>
        <v/>
      </c>
      <c r="U1057" s="13">
        <f>IF(G1057,N1057,NA())</f>
        <v/>
      </c>
      <c r="V1057" s="14">
        <f>IF(R1057,O1057,NA())</f>
        <v/>
      </c>
      <c r="W1057" s="13">
        <f>IF(R1057,N1057,NA())</f>
        <v/>
      </c>
      <c r="X1057" s="27">
        <f>IF(G1057,P1057,"")</f>
        <v/>
      </c>
      <c r="Y1057" s="27">
        <f>IF(G1057,N1057,"")</f>
        <v/>
      </c>
      <c r="Z1057" s="27">
        <f>IF(R1057,O1057,"")</f>
        <v/>
      </c>
      <c r="AA1057" s="27">
        <f>IF(R1057,N1057,"")</f>
        <v/>
      </c>
    </row>
    <row r="1058">
      <c r="A1058" s="31" t="n">
        <v>0.3</v>
      </c>
      <c r="B1058" s="31" t="n">
        <v>0.5</v>
      </c>
      <c r="C1058" s="31" t="n">
        <v>0</v>
      </c>
      <c r="D1058" s="31" t="n">
        <v>0.2</v>
      </c>
      <c r="E1058" s="27" t="inlineStr">
        <is>
          <t>ON 30%/1M 50%/3M 20%</t>
        </is>
      </c>
      <c r="F1058" s="27" t="n">
        <v>50</v>
      </c>
      <c r="G1058" s="27">
        <f>A1058*$B$7&gt;=$B$9</f>
        <v/>
      </c>
      <c r="H1058" s="13">
        <f>$B$7*(A1058*E$71+B1058*F$71+C1058*G$71+D1058*H$71)+F1058/100*$B$7*J$71-$C$71</f>
        <v/>
      </c>
      <c r="I1058" s="13">
        <f>$B$7*(A1058*L$71+B1058*M$71+C1058*N$71+D1058*O$71)+F1058/100*$B$7*Q$71-$C$71</f>
        <v/>
      </c>
      <c r="J1058" s="13">
        <f>$B$7*(A1058*S$71+B1058*T$71+C1058*U$71+D1058*V$71)+F1058/100*$B$7*X$71-$C$71</f>
        <v/>
      </c>
      <c r="K1058" s="13">
        <f>$B$7*(A1058*Z$71+B1058*AA$71+C1058*AB$71+D1058*AC$71)+F1058/100*$B$7*AE$71-$C$71</f>
        <v/>
      </c>
      <c r="L1058" s="13">
        <f>$B$7*(A1058*AG$71+B1058*AH$71+C1058*AI$71+D1058*AJ$71)+F1058/100*$B$7*AL$71-$C$71</f>
        <v/>
      </c>
      <c r="M1058" s="13">
        <f>$B$7*(A1058*AN$71+B1058*AO$71+C1058*AP$71+D1058*AQ$71)+F1058/100*$B$7*AS$71-$C$71</f>
        <v/>
      </c>
      <c r="N1058" s="13">
        <f>SUMPRODUCT($H$24:$M$24,H1058:M1058)</f>
        <v/>
      </c>
      <c r="O1058" s="14">
        <f>SQRT(SUMPRODUCT($H$24:$M$24,(H1058:M1058-N1058)^2))</f>
        <v/>
      </c>
      <c r="P1058" s="13">
        <f>MIN(H1058:M1058)</f>
        <v/>
      </c>
      <c r="Q1058" s="13">
        <f>MAX(H1058:M1058)</f>
        <v/>
      </c>
      <c r="R1058" s="27">
        <f>IF(G1058,SUMPRODUCT(($G$76:$G$1505)*($N$76:$N$1505&gt;=N1058)*($O$76:$O$1505&lt;=O1058))=1,FALSE)</f>
        <v/>
      </c>
      <c r="S1058" s="16">
        <f>IF(R1058,ABS((O1058-$AC$76)/MAX(0.0001,$AC$77-$AC$76)-(N1058-$AC$78)/MAX(0.0001,$AC$79-$AC$78)),-1)</f>
        <v/>
      </c>
      <c r="T1058" s="14">
        <f>IF(G1058,O1058,NA())</f>
        <v/>
      </c>
      <c r="U1058" s="13">
        <f>IF(G1058,N1058,NA())</f>
        <v/>
      </c>
      <c r="V1058" s="14">
        <f>IF(R1058,O1058,NA())</f>
        <v/>
      </c>
      <c r="W1058" s="13">
        <f>IF(R1058,N1058,NA())</f>
        <v/>
      </c>
      <c r="X1058" s="27">
        <f>IF(G1058,P1058,"")</f>
        <v/>
      </c>
      <c r="Y1058" s="27">
        <f>IF(G1058,N1058,"")</f>
        <v/>
      </c>
      <c r="Z1058" s="27">
        <f>IF(R1058,O1058,"")</f>
        <v/>
      </c>
      <c r="AA1058" s="27">
        <f>IF(R1058,N1058,"")</f>
        <v/>
      </c>
    </row>
    <row r="1059">
      <c r="A1059" s="31" t="n">
        <v>0.3</v>
      </c>
      <c r="B1059" s="31" t="n">
        <v>0.5</v>
      </c>
      <c r="C1059" s="31" t="n">
        <v>0</v>
      </c>
      <c r="D1059" s="31" t="n">
        <v>0.2</v>
      </c>
      <c r="E1059" s="27" t="inlineStr">
        <is>
          <t>ON 30%/1M 50%/3M 20%</t>
        </is>
      </c>
      <c r="F1059" s="27" t="n">
        <v>75</v>
      </c>
      <c r="G1059" s="27">
        <f>A1059*$B$7&gt;=$B$9</f>
        <v/>
      </c>
      <c r="H1059" s="13">
        <f>$B$7*(A1059*E$71+B1059*F$71+C1059*G$71+D1059*H$71)+F1059/100*$B$7*J$71-$C$71</f>
        <v/>
      </c>
      <c r="I1059" s="13">
        <f>$B$7*(A1059*L$71+B1059*M$71+C1059*N$71+D1059*O$71)+F1059/100*$B$7*Q$71-$C$71</f>
        <v/>
      </c>
      <c r="J1059" s="13">
        <f>$B$7*(A1059*S$71+B1059*T$71+C1059*U$71+D1059*V$71)+F1059/100*$B$7*X$71-$C$71</f>
        <v/>
      </c>
      <c r="K1059" s="13">
        <f>$B$7*(A1059*Z$71+B1059*AA$71+C1059*AB$71+D1059*AC$71)+F1059/100*$B$7*AE$71-$C$71</f>
        <v/>
      </c>
      <c r="L1059" s="13">
        <f>$B$7*(A1059*AG$71+B1059*AH$71+C1059*AI$71+D1059*AJ$71)+F1059/100*$B$7*AL$71-$C$71</f>
        <v/>
      </c>
      <c r="M1059" s="13">
        <f>$B$7*(A1059*AN$71+B1059*AO$71+C1059*AP$71+D1059*AQ$71)+F1059/100*$B$7*AS$71-$C$71</f>
        <v/>
      </c>
      <c r="N1059" s="13">
        <f>SUMPRODUCT($H$24:$M$24,H1059:M1059)</f>
        <v/>
      </c>
      <c r="O1059" s="14">
        <f>SQRT(SUMPRODUCT($H$24:$M$24,(H1059:M1059-N1059)^2))</f>
        <v/>
      </c>
      <c r="P1059" s="13">
        <f>MIN(H1059:M1059)</f>
        <v/>
      </c>
      <c r="Q1059" s="13">
        <f>MAX(H1059:M1059)</f>
        <v/>
      </c>
      <c r="R1059" s="27">
        <f>IF(G1059,SUMPRODUCT(($G$76:$G$1505)*($N$76:$N$1505&gt;=N1059)*($O$76:$O$1505&lt;=O1059))=1,FALSE)</f>
        <v/>
      </c>
      <c r="S1059" s="16">
        <f>IF(R1059,ABS((O1059-$AC$76)/MAX(0.0001,$AC$77-$AC$76)-(N1059-$AC$78)/MAX(0.0001,$AC$79-$AC$78)),-1)</f>
        <v/>
      </c>
      <c r="T1059" s="14">
        <f>IF(G1059,O1059,NA())</f>
        <v/>
      </c>
      <c r="U1059" s="13">
        <f>IF(G1059,N1059,NA())</f>
        <v/>
      </c>
      <c r="V1059" s="14">
        <f>IF(R1059,O1059,NA())</f>
        <v/>
      </c>
      <c r="W1059" s="13">
        <f>IF(R1059,N1059,NA())</f>
        <v/>
      </c>
      <c r="X1059" s="27">
        <f>IF(G1059,P1059,"")</f>
        <v/>
      </c>
      <c r="Y1059" s="27">
        <f>IF(G1059,N1059,"")</f>
        <v/>
      </c>
      <c r="Z1059" s="27">
        <f>IF(R1059,O1059,"")</f>
        <v/>
      </c>
      <c r="AA1059" s="27">
        <f>IF(R1059,N1059,"")</f>
        <v/>
      </c>
    </row>
    <row r="1060">
      <c r="A1060" s="31" t="n">
        <v>0.3</v>
      </c>
      <c r="B1060" s="31" t="n">
        <v>0.5</v>
      </c>
      <c r="C1060" s="31" t="n">
        <v>0</v>
      </c>
      <c r="D1060" s="31" t="n">
        <v>0.2</v>
      </c>
      <c r="E1060" s="27" t="inlineStr">
        <is>
          <t>ON 30%/1M 50%/3M 20%</t>
        </is>
      </c>
      <c r="F1060" s="27" t="n">
        <v>100</v>
      </c>
      <c r="G1060" s="27">
        <f>A1060*$B$7&gt;=$B$9</f>
        <v/>
      </c>
      <c r="H1060" s="13">
        <f>$B$7*(A1060*E$71+B1060*F$71+C1060*G$71+D1060*H$71)+F1060/100*$B$7*J$71-$C$71</f>
        <v/>
      </c>
      <c r="I1060" s="13">
        <f>$B$7*(A1060*L$71+B1060*M$71+C1060*N$71+D1060*O$71)+F1060/100*$B$7*Q$71-$C$71</f>
        <v/>
      </c>
      <c r="J1060" s="13">
        <f>$B$7*(A1060*S$71+B1060*T$71+C1060*U$71+D1060*V$71)+F1060/100*$B$7*X$71-$C$71</f>
        <v/>
      </c>
      <c r="K1060" s="13">
        <f>$B$7*(A1060*Z$71+B1060*AA$71+C1060*AB$71+D1060*AC$71)+F1060/100*$B$7*AE$71-$C$71</f>
        <v/>
      </c>
      <c r="L1060" s="13">
        <f>$B$7*(A1060*AG$71+B1060*AH$71+C1060*AI$71+D1060*AJ$71)+F1060/100*$B$7*AL$71-$C$71</f>
        <v/>
      </c>
      <c r="M1060" s="13">
        <f>$B$7*(A1060*AN$71+B1060*AO$71+C1060*AP$71+D1060*AQ$71)+F1060/100*$B$7*AS$71-$C$71</f>
        <v/>
      </c>
      <c r="N1060" s="13">
        <f>SUMPRODUCT($H$24:$M$24,H1060:M1060)</f>
        <v/>
      </c>
      <c r="O1060" s="14">
        <f>SQRT(SUMPRODUCT($H$24:$M$24,(H1060:M1060-N1060)^2))</f>
        <v/>
      </c>
      <c r="P1060" s="13">
        <f>MIN(H1060:M1060)</f>
        <v/>
      </c>
      <c r="Q1060" s="13">
        <f>MAX(H1060:M1060)</f>
        <v/>
      </c>
      <c r="R1060" s="27">
        <f>IF(G1060,SUMPRODUCT(($G$76:$G$1505)*($N$76:$N$1505&gt;=N1060)*($O$76:$O$1505&lt;=O1060))=1,FALSE)</f>
        <v/>
      </c>
      <c r="S1060" s="16">
        <f>IF(R1060,ABS((O1060-$AC$76)/MAX(0.0001,$AC$77-$AC$76)-(N1060-$AC$78)/MAX(0.0001,$AC$79-$AC$78)),-1)</f>
        <v/>
      </c>
      <c r="T1060" s="14">
        <f>IF(G1060,O1060,NA())</f>
        <v/>
      </c>
      <c r="U1060" s="13">
        <f>IF(G1060,N1060,NA())</f>
        <v/>
      </c>
      <c r="V1060" s="14">
        <f>IF(R1060,O1060,NA())</f>
        <v/>
      </c>
      <c r="W1060" s="13">
        <f>IF(R1060,N1060,NA())</f>
        <v/>
      </c>
      <c r="X1060" s="27">
        <f>IF(G1060,P1060,"")</f>
        <v/>
      </c>
      <c r="Y1060" s="27">
        <f>IF(G1060,N1060,"")</f>
        <v/>
      </c>
      <c r="Z1060" s="27">
        <f>IF(R1060,O1060,"")</f>
        <v/>
      </c>
      <c r="AA1060" s="27">
        <f>IF(R1060,N1060,"")</f>
        <v/>
      </c>
    </row>
    <row r="1061">
      <c r="A1061" s="31" t="n">
        <v>0.3</v>
      </c>
      <c r="B1061" s="31" t="n">
        <v>0.5</v>
      </c>
      <c r="C1061" s="31" t="n">
        <v>0.1</v>
      </c>
      <c r="D1061" s="31" t="n">
        <v>0.1</v>
      </c>
      <c r="E1061" s="27" t="inlineStr">
        <is>
          <t>ON 30%/1M 50%/2M 10%/3M 10%</t>
        </is>
      </c>
      <c r="F1061" s="27" t="n">
        <v>0</v>
      </c>
      <c r="G1061" s="27">
        <f>A1061*$B$7&gt;=$B$9</f>
        <v/>
      </c>
      <c r="H1061" s="13">
        <f>$B$7*(A1061*E$71+B1061*F$71+C1061*G$71+D1061*H$71)+F1061/100*$B$7*J$71-$C$71</f>
        <v/>
      </c>
      <c r="I1061" s="13">
        <f>$B$7*(A1061*L$71+B1061*M$71+C1061*N$71+D1061*O$71)+F1061/100*$B$7*Q$71-$C$71</f>
        <v/>
      </c>
      <c r="J1061" s="13">
        <f>$B$7*(A1061*S$71+B1061*T$71+C1061*U$71+D1061*V$71)+F1061/100*$B$7*X$71-$C$71</f>
        <v/>
      </c>
      <c r="K1061" s="13">
        <f>$B$7*(A1061*Z$71+B1061*AA$71+C1061*AB$71+D1061*AC$71)+F1061/100*$B$7*AE$71-$C$71</f>
        <v/>
      </c>
      <c r="L1061" s="13">
        <f>$B$7*(A1061*AG$71+B1061*AH$71+C1061*AI$71+D1061*AJ$71)+F1061/100*$B$7*AL$71-$C$71</f>
        <v/>
      </c>
      <c r="M1061" s="13">
        <f>$B$7*(A1061*AN$71+B1061*AO$71+C1061*AP$71+D1061*AQ$71)+F1061/100*$B$7*AS$71-$C$71</f>
        <v/>
      </c>
      <c r="N1061" s="13">
        <f>SUMPRODUCT($H$24:$M$24,H1061:M1061)</f>
        <v/>
      </c>
      <c r="O1061" s="14">
        <f>SQRT(SUMPRODUCT($H$24:$M$24,(H1061:M1061-N1061)^2))</f>
        <v/>
      </c>
      <c r="P1061" s="13">
        <f>MIN(H1061:M1061)</f>
        <v/>
      </c>
      <c r="Q1061" s="13">
        <f>MAX(H1061:M1061)</f>
        <v/>
      </c>
      <c r="R1061" s="27">
        <f>IF(G1061,SUMPRODUCT(($G$76:$G$1505)*($N$76:$N$1505&gt;=N1061)*($O$76:$O$1505&lt;=O1061))=1,FALSE)</f>
        <v/>
      </c>
      <c r="S1061" s="16">
        <f>IF(R1061,ABS((O1061-$AC$76)/MAX(0.0001,$AC$77-$AC$76)-(N1061-$AC$78)/MAX(0.0001,$AC$79-$AC$78)),-1)</f>
        <v/>
      </c>
      <c r="T1061" s="14">
        <f>IF(G1061,O1061,NA())</f>
        <v/>
      </c>
      <c r="U1061" s="13">
        <f>IF(G1061,N1061,NA())</f>
        <v/>
      </c>
      <c r="V1061" s="14">
        <f>IF(R1061,O1061,NA())</f>
        <v/>
      </c>
      <c r="W1061" s="13">
        <f>IF(R1061,N1061,NA())</f>
        <v/>
      </c>
      <c r="X1061" s="27">
        <f>IF(G1061,P1061,"")</f>
        <v/>
      </c>
      <c r="Y1061" s="27">
        <f>IF(G1061,N1061,"")</f>
        <v/>
      </c>
      <c r="Z1061" s="27">
        <f>IF(R1061,O1061,"")</f>
        <v/>
      </c>
      <c r="AA1061" s="27">
        <f>IF(R1061,N1061,"")</f>
        <v/>
      </c>
    </row>
    <row r="1062">
      <c r="A1062" s="31" t="n">
        <v>0.3</v>
      </c>
      <c r="B1062" s="31" t="n">
        <v>0.5</v>
      </c>
      <c r="C1062" s="31" t="n">
        <v>0.1</v>
      </c>
      <c r="D1062" s="31" t="n">
        <v>0.1</v>
      </c>
      <c r="E1062" s="27" t="inlineStr">
        <is>
          <t>ON 30%/1M 50%/2M 10%/3M 10%</t>
        </is>
      </c>
      <c r="F1062" s="27" t="n">
        <v>25</v>
      </c>
      <c r="G1062" s="27">
        <f>A1062*$B$7&gt;=$B$9</f>
        <v/>
      </c>
      <c r="H1062" s="13">
        <f>$B$7*(A1062*E$71+B1062*F$71+C1062*G$71+D1062*H$71)+F1062/100*$B$7*J$71-$C$71</f>
        <v/>
      </c>
      <c r="I1062" s="13">
        <f>$B$7*(A1062*L$71+B1062*M$71+C1062*N$71+D1062*O$71)+F1062/100*$B$7*Q$71-$C$71</f>
        <v/>
      </c>
      <c r="J1062" s="13">
        <f>$B$7*(A1062*S$71+B1062*T$71+C1062*U$71+D1062*V$71)+F1062/100*$B$7*X$71-$C$71</f>
        <v/>
      </c>
      <c r="K1062" s="13">
        <f>$B$7*(A1062*Z$71+B1062*AA$71+C1062*AB$71+D1062*AC$71)+F1062/100*$B$7*AE$71-$C$71</f>
        <v/>
      </c>
      <c r="L1062" s="13">
        <f>$B$7*(A1062*AG$71+B1062*AH$71+C1062*AI$71+D1062*AJ$71)+F1062/100*$B$7*AL$71-$C$71</f>
        <v/>
      </c>
      <c r="M1062" s="13">
        <f>$B$7*(A1062*AN$71+B1062*AO$71+C1062*AP$71+D1062*AQ$71)+F1062/100*$B$7*AS$71-$C$71</f>
        <v/>
      </c>
      <c r="N1062" s="13">
        <f>SUMPRODUCT($H$24:$M$24,H1062:M1062)</f>
        <v/>
      </c>
      <c r="O1062" s="14">
        <f>SQRT(SUMPRODUCT($H$24:$M$24,(H1062:M1062-N1062)^2))</f>
        <v/>
      </c>
      <c r="P1062" s="13">
        <f>MIN(H1062:M1062)</f>
        <v/>
      </c>
      <c r="Q1062" s="13">
        <f>MAX(H1062:M1062)</f>
        <v/>
      </c>
      <c r="R1062" s="27">
        <f>IF(G1062,SUMPRODUCT(($G$76:$G$1505)*($N$76:$N$1505&gt;=N1062)*($O$76:$O$1505&lt;=O1062))=1,FALSE)</f>
        <v/>
      </c>
      <c r="S1062" s="16">
        <f>IF(R1062,ABS((O1062-$AC$76)/MAX(0.0001,$AC$77-$AC$76)-(N1062-$AC$78)/MAX(0.0001,$AC$79-$AC$78)),-1)</f>
        <v/>
      </c>
      <c r="T1062" s="14">
        <f>IF(G1062,O1062,NA())</f>
        <v/>
      </c>
      <c r="U1062" s="13">
        <f>IF(G1062,N1062,NA())</f>
        <v/>
      </c>
      <c r="V1062" s="14">
        <f>IF(R1062,O1062,NA())</f>
        <v/>
      </c>
      <c r="W1062" s="13">
        <f>IF(R1062,N1062,NA())</f>
        <v/>
      </c>
      <c r="X1062" s="27">
        <f>IF(G1062,P1062,"")</f>
        <v/>
      </c>
      <c r="Y1062" s="27">
        <f>IF(G1062,N1062,"")</f>
        <v/>
      </c>
      <c r="Z1062" s="27">
        <f>IF(R1062,O1062,"")</f>
        <v/>
      </c>
      <c r="AA1062" s="27">
        <f>IF(R1062,N1062,"")</f>
        <v/>
      </c>
    </row>
    <row r="1063">
      <c r="A1063" s="31" t="n">
        <v>0.3</v>
      </c>
      <c r="B1063" s="31" t="n">
        <v>0.5</v>
      </c>
      <c r="C1063" s="31" t="n">
        <v>0.1</v>
      </c>
      <c r="D1063" s="31" t="n">
        <v>0.1</v>
      </c>
      <c r="E1063" s="27" t="inlineStr">
        <is>
          <t>ON 30%/1M 50%/2M 10%/3M 10%</t>
        </is>
      </c>
      <c r="F1063" s="27" t="n">
        <v>50</v>
      </c>
      <c r="G1063" s="27">
        <f>A1063*$B$7&gt;=$B$9</f>
        <v/>
      </c>
      <c r="H1063" s="13">
        <f>$B$7*(A1063*E$71+B1063*F$71+C1063*G$71+D1063*H$71)+F1063/100*$B$7*J$71-$C$71</f>
        <v/>
      </c>
      <c r="I1063" s="13">
        <f>$B$7*(A1063*L$71+B1063*M$71+C1063*N$71+D1063*O$71)+F1063/100*$B$7*Q$71-$C$71</f>
        <v/>
      </c>
      <c r="J1063" s="13">
        <f>$B$7*(A1063*S$71+B1063*T$71+C1063*U$71+D1063*V$71)+F1063/100*$B$7*X$71-$C$71</f>
        <v/>
      </c>
      <c r="K1063" s="13">
        <f>$B$7*(A1063*Z$71+B1063*AA$71+C1063*AB$71+D1063*AC$71)+F1063/100*$B$7*AE$71-$C$71</f>
        <v/>
      </c>
      <c r="L1063" s="13">
        <f>$B$7*(A1063*AG$71+B1063*AH$71+C1063*AI$71+D1063*AJ$71)+F1063/100*$B$7*AL$71-$C$71</f>
        <v/>
      </c>
      <c r="M1063" s="13">
        <f>$B$7*(A1063*AN$71+B1063*AO$71+C1063*AP$71+D1063*AQ$71)+F1063/100*$B$7*AS$71-$C$71</f>
        <v/>
      </c>
      <c r="N1063" s="13">
        <f>SUMPRODUCT($H$24:$M$24,H1063:M1063)</f>
        <v/>
      </c>
      <c r="O1063" s="14">
        <f>SQRT(SUMPRODUCT($H$24:$M$24,(H1063:M1063-N1063)^2))</f>
        <v/>
      </c>
      <c r="P1063" s="13">
        <f>MIN(H1063:M1063)</f>
        <v/>
      </c>
      <c r="Q1063" s="13">
        <f>MAX(H1063:M1063)</f>
        <v/>
      </c>
      <c r="R1063" s="27">
        <f>IF(G1063,SUMPRODUCT(($G$76:$G$1505)*($N$76:$N$1505&gt;=N1063)*($O$76:$O$1505&lt;=O1063))=1,FALSE)</f>
        <v/>
      </c>
      <c r="S1063" s="16">
        <f>IF(R1063,ABS((O1063-$AC$76)/MAX(0.0001,$AC$77-$AC$76)-(N1063-$AC$78)/MAX(0.0001,$AC$79-$AC$78)),-1)</f>
        <v/>
      </c>
      <c r="T1063" s="14">
        <f>IF(G1063,O1063,NA())</f>
        <v/>
      </c>
      <c r="U1063" s="13">
        <f>IF(G1063,N1063,NA())</f>
        <v/>
      </c>
      <c r="V1063" s="14">
        <f>IF(R1063,O1063,NA())</f>
        <v/>
      </c>
      <c r="W1063" s="13">
        <f>IF(R1063,N1063,NA())</f>
        <v/>
      </c>
      <c r="X1063" s="27">
        <f>IF(G1063,P1063,"")</f>
        <v/>
      </c>
      <c r="Y1063" s="27">
        <f>IF(G1063,N1063,"")</f>
        <v/>
      </c>
      <c r="Z1063" s="27">
        <f>IF(R1063,O1063,"")</f>
        <v/>
      </c>
      <c r="AA1063" s="27">
        <f>IF(R1063,N1063,"")</f>
        <v/>
      </c>
    </row>
    <row r="1064">
      <c r="A1064" s="31" t="n">
        <v>0.3</v>
      </c>
      <c r="B1064" s="31" t="n">
        <v>0.5</v>
      </c>
      <c r="C1064" s="31" t="n">
        <v>0.1</v>
      </c>
      <c r="D1064" s="31" t="n">
        <v>0.1</v>
      </c>
      <c r="E1064" s="27" t="inlineStr">
        <is>
          <t>ON 30%/1M 50%/2M 10%/3M 10%</t>
        </is>
      </c>
      <c r="F1064" s="27" t="n">
        <v>75</v>
      </c>
      <c r="G1064" s="27">
        <f>A1064*$B$7&gt;=$B$9</f>
        <v/>
      </c>
      <c r="H1064" s="13">
        <f>$B$7*(A1064*E$71+B1064*F$71+C1064*G$71+D1064*H$71)+F1064/100*$B$7*J$71-$C$71</f>
        <v/>
      </c>
      <c r="I1064" s="13">
        <f>$B$7*(A1064*L$71+B1064*M$71+C1064*N$71+D1064*O$71)+F1064/100*$B$7*Q$71-$C$71</f>
        <v/>
      </c>
      <c r="J1064" s="13">
        <f>$B$7*(A1064*S$71+B1064*T$71+C1064*U$71+D1064*V$71)+F1064/100*$B$7*X$71-$C$71</f>
        <v/>
      </c>
      <c r="K1064" s="13">
        <f>$B$7*(A1064*Z$71+B1064*AA$71+C1064*AB$71+D1064*AC$71)+F1064/100*$B$7*AE$71-$C$71</f>
        <v/>
      </c>
      <c r="L1064" s="13">
        <f>$B$7*(A1064*AG$71+B1064*AH$71+C1064*AI$71+D1064*AJ$71)+F1064/100*$B$7*AL$71-$C$71</f>
        <v/>
      </c>
      <c r="M1064" s="13">
        <f>$B$7*(A1064*AN$71+B1064*AO$71+C1064*AP$71+D1064*AQ$71)+F1064/100*$B$7*AS$71-$C$71</f>
        <v/>
      </c>
      <c r="N1064" s="13">
        <f>SUMPRODUCT($H$24:$M$24,H1064:M1064)</f>
        <v/>
      </c>
      <c r="O1064" s="14">
        <f>SQRT(SUMPRODUCT($H$24:$M$24,(H1064:M1064-N1064)^2))</f>
        <v/>
      </c>
      <c r="P1064" s="13">
        <f>MIN(H1064:M1064)</f>
        <v/>
      </c>
      <c r="Q1064" s="13">
        <f>MAX(H1064:M1064)</f>
        <v/>
      </c>
      <c r="R1064" s="27">
        <f>IF(G1064,SUMPRODUCT(($G$76:$G$1505)*($N$76:$N$1505&gt;=N1064)*($O$76:$O$1505&lt;=O1064))=1,FALSE)</f>
        <v/>
      </c>
      <c r="S1064" s="16">
        <f>IF(R1064,ABS((O1064-$AC$76)/MAX(0.0001,$AC$77-$AC$76)-(N1064-$AC$78)/MAX(0.0001,$AC$79-$AC$78)),-1)</f>
        <v/>
      </c>
      <c r="T1064" s="14">
        <f>IF(G1064,O1064,NA())</f>
        <v/>
      </c>
      <c r="U1064" s="13">
        <f>IF(G1064,N1064,NA())</f>
        <v/>
      </c>
      <c r="V1064" s="14">
        <f>IF(R1064,O1064,NA())</f>
        <v/>
      </c>
      <c r="W1064" s="13">
        <f>IF(R1064,N1064,NA())</f>
        <v/>
      </c>
      <c r="X1064" s="27">
        <f>IF(G1064,P1064,"")</f>
        <v/>
      </c>
      <c r="Y1064" s="27">
        <f>IF(G1064,N1064,"")</f>
        <v/>
      </c>
      <c r="Z1064" s="27">
        <f>IF(R1064,O1064,"")</f>
        <v/>
      </c>
      <c r="AA1064" s="27">
        <f>IF(R1064,N1064,"")</f>
        <v/>
      </c>
    </row>
    <row r="1065">
      <c r="A1065" s="31" t="n">
        <v>0.3</v>
      </c>
      <c r="B1065" s="31" t="n">
        <v>0.5</v>
      </c>
      <c r="C1065" s="31" t="n">
        <v>0.1</v>
      </c>
      <c r="D1065" s="31" t="n">
        <v>0.1</v>
      </c>
      <c r="E1065" s="27" t="inlineStr">
        <is>
          <t>ON 30%/1M 50%/2M 10%/3M 10%</t>
        </is>
      </c>
      <c r="F1065" s="27" t="n">
        <v>100</v>
      </c>
      <c r="G1065" s="27">
        <f>A1065*$B$7&gt;=$B$9</f>
        <v/>
      </c>
      <c r="H1065" s="13">
        <f>$B$7*(A1065*E$71+B1065*F$71+C1065*G$71+D1065*H$71)+F1065/100*$B$7*J$71-$C$71</f>
        <v/>
      </c>
      <c r="I1065" s="13">
        <f>$B$7*(A1065*L$71+B1065*M$71+C1065*N$71+D1065*O$71)+F1065/100*$B$7*Q$71-$C$71</f>
        <v/>
      </c>
      <c r="J1065" s="13">
        <f>$B$7*(A1065*S$71+B1065*T$71+C1065*U$71+D1065*V$71)+F1065/100*$B$7*X$71-$C$71</f>
        <v/>
      </c>
      <c r="K1065" s="13">
        <f>$B$7*(A1065*Z$71+B1065*AA$71+C1065*AB$71+D1065*AC$71)+F1065/100*$B$7*AE$71-$C$71</f>
        <v/>
      </c>
      <c r="L1065" s="13">
        <f>$B$7*(A1065*AG$71+B1065*AH$71+C1065*AI$71+D1065*AJ$71)+F1065/100*$B$7*AL$71-$C$71</f>
        <v/>
      </c>
      <c r="M1065" s="13">
        <f>$B$7*(A1065*AN$71+B1065*AO$71+C1065*AP$71+D1065*AQ$71)+F1065/100*$B$7*AS$71-$C$71</f>
        <v/>
      </c>
      <c r="N1065" s="13">
        <f>SUMPRODUCT($H$24:$M$24,H1065:M1065)</f>
        <v/>
      </c>
      <c r="O1065" s="14">
        <f>SQRT(SUMPRODUCT($H$24:$M$24,(H1065:M1065-N1065)^2))</f>
        <v/>
      </c>
      <c r="P1065" s="13">
        <f>MIN(H1065:M1065)</f>
        <v/>
      </c>
      <c r="Q1065" s="13">
        <f>MAX(H1065:M1065)</f>
        <v/>
      </c>
      <c r="R1065" s="27">
        <f>IF(G1065,SUMPRODUCT(($G$76:$G$1505)*($N$76:$N$1505&gt;=N1065)*($O$76:$O$1505&lt;=O1065))=1,FALSE)</f>
        <v/>
      </c>
      <c r="S1065" s="16">
        <f>IF(R1065,ABS((O1065-$AC$76)/MAX(0.0001,$AC$77-$AC$76)-(N1065-$AC$78)/MAX(0.0001,$AC$79-$AC$78)),-1)</f>
        <v/>
      </c>
      <c r="T1065" s="14">
        <f>IF(G1065,O1065,NA())</f>
        <v/>
      </c>
      <c r="U1065" s="13">
        <f>IF(G1065,N1065,NA())</f>
        <v/>
      </c>
      <c r="V1065" s="14">
        <f>IF(R1065,O1065,NA())</f>
        <v/>
      </c>
      <c r="W1065" s="13">
        <f>IF(R1065,N1065,NA())</f>
        <v/>
      </c>
      <c r="X1065" s="27">
        <f>IF(G1065,P1065,"")</f>
        <v/>
      </c>
      <c r="Y1065" s="27">
        <f>IF(G1065,N1065,"")</f>
        <v/>
      </c>
      <c r="Z1065" s="27">
        <f>IF(R1065,O1065,"")</f>
        <v/>
      </c>
      <c r="AA1065" s="27">
        <f>IF(R1065,N1065,"")</f>
        <v/>
      </c>
    </row>
    <row r="1066">
      <c r="A1066" s="31" t="n">
        <v>0.3</v>
      </c>
      <c r="B1066" s="31" t="n">
        <v>0.5</v>
      </c>
      <c r="C1066" s="31" t="n">
        <v>0.2</v>
      </c>
      <c r="D1066" s="31" t="n">
        <v>0</v>
      </c>
      <c r="E1066" s="27" t="inlineStr">
        <is>
          <t>ON 30%/1M 50%/2M 20%</t>
        </is>
      </c>
      <c r="F1066" s="27" t="n">
        <v>0</v>
      </c>
      <c r="G1066" s="27">
        <f>A1066*$B$7&gt;=$B$9</f>
        <v/>
      </c>
      <c r="H1066" s="13">
        <f>$B$7*(A1066*E$71+B1066*F$71+C1066*G$71+D1066*H$71)+F1066/100*$B$7*J$71-$C$71</f>
        <v/>
      </c>
      <c r="I1066" s="13">
        <f>$B$7*(A1066*L$71+B1066*M$71+C1066*N$71+D1066*O$71)+F1066/100*$B$7*Q$71-$C$71</f>
        <v/>
      </c>
      <c r="J1066" s="13">
        <f>$B$7*(A1066*S$71+B1066*T$71+C1066*U$71+D1066*V$71)+F1066/100*$B$7*X$71-$C$71</f>
        <v/>
      </c>
      <c r="K1066" s="13">
        <f>$B$7*(A1066*Z$71+B1066*AA$71+C1066*AB$71+D1066*AC$71)+F1066/100*$B$7*AE$71-$C$71</f>
        <v/>
      </c>
      <c r="L1066" s="13">
        <f>$B$7*(A1066*AG$71+B1066*AH$71+C1066*AI$71+D1066*AJ$71)+F1066/100*$B$7*AL$71-$C$71</f>
        <v/>
      </c>
      <c r="M1066" s="13">
        <f>$B$7*(A1066*AN$71+B1066*AO$71+C1066*AP$71+D1066*AQ$71)+F1066/100*$B$7*AS$71-$C$71</f>
        <v/>
      </c>
      <c r="N1066" s="13">
        <f>SUMPRODUCT($H$24:$M$24,H1066:M1066)</f>
        <v/>
      </c>
      <c r="O1066" s="14">
        <f>SQRT(SUMPRODUCT($H$24:$M$24,(H1066:M1066-N1066)^2))</f>
        <v/>
      </c>
      <c r="P1066" s="13">
        <f>MIN(H1066:M1066)</f>
        <v/>
      </c>
      <c r="Q1066" s="13">
        <f>MAX(H1066:M1066)</f>
        <v/>
      </c>
      <c r="R1066" s="27">
        <f>IF(G1066,SUMPRODUCT(($G$76:$G$1505)*($N$76:$N$1505&gt;=N1066)*($O$76:$O$1505&lt;=O1066))=1,FALSE)</f>
        <v/>
      </c>
      <c r="S1066" s="16">
        <f>IF(R1066,ABS((O1066-$AC$76)/MAX(0.0001,$AC$77-$AC$76)-(N1066-$AC$78)/MAX(0.0001,$AC$79-$AC$78)),-1)</f>
        <v/>
      </c>
      <c r="T1066" s="14">
        <f>IF(G1066,O1066,NA())</f>
        <v/>
      </c>
      <c r="U1066" s="13">
        <f>IF(G1066,N1066,NA())</f>
        <v/>
      </c>
      <c r="V1066" s="14">
        <f>IF(R1066,O1066,NA())</f>
        <v/>
      </c>
      <c r="W1066" s="13">
        <f>IF(R1066,N1066,NA())</f>
        <v/>
      </c>
      <c r="X1066" s="27">
        <f>IF(G1066,P1066,"")</f>
        <v/>
      </c>
      <c r="Y1066" s="27">
        <f>IF(G1066,N1066,"")</f>
        <v/>
      </c>
      <c r="Z1066" s="27">
        <f>IF(R1066,O1066,"")</f>
        <v/>
      </c>
      <c r="AA1066" s="27">
        <f>IF(R1066,N1066,"")</f>
        <v/>
      </c>
    </row>
    <row r="1067">
      <c r="A1067" s="31" t="n">
        <v>0.3</v>
      </c>
      <c r="B1067" s="31" t="n">
        <v>0.5</v>
      </c>
      <c r="C1067" s="31" t="n">
        <v>0.2</v>
      </c>
      <c r="D1067" s="31" t="n">
        <v>0</v>
      </c>
      <c r="E1067" s="27" t="inlineStr">
        <is>
          <t>ON 30%/1M 50%/2M 20%</t>
        </is>
      </c>
      <c r="F1067" s="27" t="n">
        <v>25</v>
      </c>
      <c r="G1067" s="27">
        <f>A1067*$B$7&gt;=$B$9</f>
        <v/>
      </c>
      <c r="H1067" s="13">
        <f>$B$7*(A1067*E$71+B1067*F$71+C1067*G$71+D1067*H$71)+F1067/100*$B$7*J$71-$C$71</f>
        <v/>
      </c>
      <c r="I1067" s="13">
        <f>$B$7*(A1067*L$71+B1067*M$71+C1067*N$71+D1067*O$71)+F1067/100*$B$7*Q$71-$C$71</f>
        <v/>
      </c>
      <c r="J1067" s="13">
        <f>$B$7*(A1067*S$71+B1067*T$71+C1067*U$71+D1067*V$71)+F1067/100*$B$7*X$71-$C$71</f>
        <v/>
      </c>
      <c r="K1067" s="13">
        <f>$B$7*(A1067*Z$71+B1067*AA$71+C1067*AB$71+D1067*AC$71)+F1067/100*$B$7*AE$71-$C$71</f>
        <v/>
      </c>
      <c r="L1067" s="13">
        <f>$B$7*(A1067*AG$71+B1067*AH$71+C1067*AI$71+D1067*AJ$71)+F1067/100*$B$7*AL$71-$C$71</f>
        <v/>
      </c>
      <c r="M1067" s="13">
        <f>$B$7*(A1067*AN$71+B1067*AO$71+C1067*AP$71+D1067*AQ$71)+F1067/100*$B$7*AS$71-$C$71</f>
        <v/>
      </c>
      <c r="N1067" s="13">
        <f>SUMPRODUCT($H$24:$M$24,H1067:M1067)</f>
        <v/>
      </c>
      <c r="O1067" s="14">
        <f>SQRT(SUMPRODUCT($H$24:$M$24,(H1067:M1067-N1067)^2))</f>
        <v/>
      </c>
      <c r="P1067" s="13">
        <f>MIN(H1067:M1067)</f>
        <v/>
      </c>
      <c r="Q1067" s="13">
        <f>MAX(H1067:M1067)</f>
        <v/>
      </c>
      <c r="R1067" s="27">
        <f>IF(G1067,SUMPRODUCT(($G$76:$G$1505)*($N$76:$N$1505&gt;=N1067)*($O$76:$O$1505&lt;=O1067))=1,FALSE)</f>
        <v/>
      </c>
      <c r="S1067" s="16">
        <f>IF(R1067,ABS((O1067-$AC$76)/MAX(0.0001,$AC$77-$AC$76)-(N1067-$AC$78)/MAX(0.0001,$AC$79-$AC$78)),-1)</f>
        <v/>
      </c>
      <c r="T1067" s="14">
        <f>IF(G1067,O1067,NA())</f>
        <v/>
      </c>
      <c r="U1067" s="13">
        <f>IF(G1067,N1067,NA())</f>
        <v/>
      </c>
      <c r="V1067" s="14">
        <f>IF(R1067,O1067,NA())</f>
        <v/>
      </c>
      <c r="W1067" s="13">
        <f>IF(R1067,N1067,NA())</f>
        <v/>
      </c>
      <c r="X1067" s="27">
        <f>IF(G1067,P1067,"")</f>
        <v/>
      </c>
      <c r="Y1067" s="27">
        <f>IF(G1067,N1067,"")</f>
        <v/>
      </c>
      <c r="Z1067" s="27">
        <f>IF(R1067,O1067,"")</f>
        <v/>
      </c>
      <c r="AA1067" s="27">
        <f>IF(R1067,N1067,"")</f>
        <v/>
      </c>
    </row>
    <row r="1068">
      <c r="A1068" s="31" t="n">
        <v>0.3</v>
      </c>
      <c r="B1068" s="31" t="n">
        <v>0.5</v>
      </c>
      <c r="C1068" s="31" t="n">
        <v>0.2</v>
      </c>
      <c r="D1068" s="31" t="n">
        <v>0</v>
      </c>
      <c r="E1068" s="27" t="inlineStr">
        <is>
          <t>ON 30%/1M 50%/2M 20%</t>
        </is>
      </c>
      <c r="F1068" s="27" t="n">
        <v>50</v>
      </c>
      <c r="G1068" s="27">
        <f>A1068*$B$7&gt;=$B$9</f>
        <v/>
      </c>
      <c r="H1068" s="13">
        <f>$B$7*(A1068*E$71+B1068*F$71+C1068*G$71+D1068*H$71)+F1068/100*$B$7*J$71-$C$71</f>
        <v/>
      </c>
      <c r="I1068" s="13">
        <f>$B$7*(A1068*L$71+B1068*M$71+C1068*N$71+D1068*O$71)+F1068/100*$B$7*Q$71-$C$71</f>
        <v/>
      </c>
      <c r="J1068" s="13">
        <f>$B$7*(A1068*S$71+B1068*T$71+C1068*U$71+D1068*V$71)+F1068/100*$B$7*X$71-$C$71</f>
        <v/>
      </c>
      <c r="K1068" s="13">
        <f>$B$7*(A1068*Z$71+B1068*AA$71+C1068*AB$71+D1068*AC$71)+F1068/100*$B$7*AE$71-$C$71</f>
        <v/>
      </c>
      <c r="L1068" s="13">
        <f>$B$7*(A1068*AG$71+B1068*AH$71+C1068*AI$71+D1068*AJ$71)+F1068/100*$B$7*AL$71-$C$71</f>
        <v/>
      </c>
      <c r="M1068" s="13">
        <f>$B$7*(A1068*AN$71+B1068*AO$71+C1068*AP$71+D1068*AQ$71)+F1068/100*$B$7*AS$71-$C$71</f>
        <v/>
      </c>
      <c r="N1068" s="13">
        <f>SUMPRODUCT($H$24:$M$24,H1068:M1068)</f>
        <v/>
      </c>
      <c r="O1068" s="14">
        <f>SQRT(SUMPRODUCT($H$24:$M$24,(H1068:M1068-N1068)^2))</f>
        <v/>
      </c>
      <c r="P1068" s="13">
        <f>MIN(H1068:M1068)</f>
        <v/>
      </c>
      <c r="Q1068" s="13">
        <f>MAX(H1068:M1068)</f>
        <v/>
      </c>
      <c r="R1068" s="27">
        <f>IF(G1068,SUMPRODUCT(($G$76:$G$1505)*($N$76:$N$1505&gt;=N1068)*($O$76:$O$1505&lt;=O1068))=1,FALSE)</f>
        <v/>
      </c>
      <c r="S1068" s="16">
        <f>IF(R1068,ABS((O1068-$AC$76)/MAX(0.0001,$AC$77-$AC$76)-(N1068-$AC$78)/MAX(0.0001,$AC$79-$AC$78)),-1)</f>
        <v/>
      </c>
      <c r="T1068" s="14">
        <f>IF(G1068,O1068,NA())</f>
        <v/>
      </c>
      <c r="U1068" s="13">
        <f>IF(G1068,N1068,NA())</f>
        <v/>
      </c>
      <c r="V1068" s="14">
        <f>IF(R1068,O1068,NA())</f>
        <v/>
      </c>
      <c r="W1068" s="13">
        <f>IF(R1068,N1068,NA())</f>
        <v/>
      </c>
      <c r="X1068" s="27">
        <f>IF(G1068,P1068,"")</f>
        <v/>
      </c>
      <c r="Y1068" s="27">
        <f>IF(G1068,N1068,"")</f>
        <v/>
      </c>
      <c r="Z1068" s="27">
        <f>IF(R1068,O1068,"")</f>
        <v/>
      </c>
      <c r="AA1068" s="27">
        <f>IF(R1068,N1068,"")</f>
        <v/>
      </c>
    </row>
    <row r="1069">
      <c r="A1069" s="31" t="n">
        <v>0.3</v>
      </c>
      <c r="B1069" s="31" t="n">
        <v>0.5</v>
      </c>
      <c r="C1069" s="31" t="n">
        <v>0.2</v>
      </c>
      <c r="D1069" s="31" t="n">
        <v>0</v>
      </c>
      <c r="E1069" s="27" t="inlineStr">
        <is>
          <t>ON 30%/1M 50%/2M 20%</t>
        </is>
      </c>
      <c r="F1069" s="27" t="n">
        <v>75</v>
      </c>
      <c r="G1069" s="27">
        <f>A1069*$B$7&gt;=$B$9</f>
        <v/>
      </c>
      <c r="H1069" s="13">
        <f>$B$7*(A1069*E$71+B1069*F$71+C1069*G$71+D1069*H$71)+F1069/100*$B$7*J$71-$C$71</f>
        <v/>
      </c>
      <c r="I1069" s="13">
        <f>$B$7*(A1069*L$71+B1069*M$71+C1069*N$71+D1069*O$71)+F1069/100*$B$7*Q$71-$C$71</f>
        <v/>
      </c>
      <c r="J1069" s="13">
        <f>$B$7*(A1069*S$71+B1069*T$71+C1069*U$71+D1069*V$71)+F1069/100*$B$7*X$71-$C$71</f>
        <v/>
      </c>
      <c r="K1069" s="13">
        <f>$B$7*(A1069*Z$71+B1069*AA$71+C1069*AB$71+D1069*AC$71)+F1069/100*$B$7*AE$71-$C$71</f>
        <v/>
      </c>
      <c r="L1069" s="13">
        <f>$B$7*(A1069*AG$71+B1069*AH$71+C1069*AI$71+D1069*AJ$71)+F1069/100*$B$7*AL$71-$C$71</f>
        <v/>
      </c>
      <c r="M1069" s="13">
        <f>$B$7*(A1069*AN$71+B1069*AO$71+C1069*AP$71+D1069*AQ$71)+F1069/100*$B$7*AS$71-$C$71</f>
        <v/>
      </c>
      <c r="N1069" s="13">
        <f>SUMPRODUCT($H$24:$M$24,H1069:M1069)</f>
        <v/>
      </c>
      <c r="O1069" s="14">
        <f>SQRT(SUMPRODUCT($H$24:$M$24,(H1069:M1069-N1069)^2))</f>
        <v/>
      </c>
      <c r="P1069" s="13">
        <f>MIN(H1069:M1069)</f>
        <v/>
      </c>
      <c r="Q1069" s="13">
        <f>MAX(H1069:M1069)</f>
        <v/>
      </c>
      <c r="R1069" s="27">
        <f>IF(G1069,SUMPRODUCT(($G$76:$G$1505)*($N$76:$N$1505&gt;=N1069)*($O$76:$O$1505&lt;=O1069))=1,FALSE)</f>
        <v/>
      </c>
      <c r="S1069" s="16">
        <f>IF(R1069,ABS((O1069-$AC$76)/MAX(0.0001,$AC$77-$AC$76)-(N1069-$AC$78)/MAX(0.0001,$AC$79-$AC$78)),-1)</f>
        <v/>
      </c>
      <c r="T1069" s="14">
        <f>IF(G1069,O1069,NA())</f>
        <v/>
      </c>
      <c r="U1069" s="13">
        <f>IF(G1069,N1069,NA())</f>
        <v/>
      </c>
      <c r="V1069" s="14">
        <f>IF(R1069,O1069,NA())</f>
        <v/>
      </c>
      <c r="W1069" s="13">
        <f>IF(R1069,N1069,NA())</f>
        <v/>
      </c>
      <c r="X1069" s="27">
        <f>IF(G1069,P1069,"")</f>
        <v/>
      </c>
      <c r="Y1069" s="27">
        <f>IF(G1069,N1069,"")</f>
        <v/>
      </c>
      <c r="Z1069" s="27">
        <f>IF(R1069,O1069,"")</f>
        <v/>
      </c>
      <c r="AA1069" s="27">
        <f>IF(R1069,N1069,"")</f>
        <v/>
      </c>
    </row>
    <row r="1070">
      <c r="A1070" s="31" t="n">
        <v>0.3</v>
      </c>
      <c r="B1070" s="31" t="n">
        <v>0.5</v>
      </c>
      <c r="C1070" s="31" t="n">
        <v>0.2</v>
      </c>
      <c r="D1070" s="31" t="n">
        <v>0</v>
      </c>
      <c r="E1070" s="27" t="inlineStr">
        <is>
          <t>ON 30%/1M 50%/2M 20%</t>
        </is>
      </c>
      <c r="F1070" s="27" t="n">
        <v>100</v>
      </c>
      <c r="G1070" s="27">
        <f>A1070*$B$7&gt;=$B$9</f>
        <v/>
      </c>
      <c r="H1070" s="13">
        <f>$B$7*(A1070*E$71+B1070*F$71+C1070*G$71+D1070*H$71)+F1070/100*$B$7*J$71-$C$71</f>
        <v/>
      </c>
      <c r="I1070" s="13">
        <f>$B$7*(A1070*L$71+B1070*M$71+C1070*N$71+D1070*O$71)+F1070/100*$B$7*Q$71-$C$71</f>
        <v/>
      </c>
      <c r="J1070" s="13">
        <f>$B$7*(A1070*S$71+B1070*T$71+C1070*U$71+D1070*V$71)+F1070/100*$B$7*X$71-$C$71</f>
        <v/>
      </c>
      <c r="K1070" s="13">
        <f>$B$7*(A1070*Z$71+B1070*AA$71+C1070*AB$71+D1070*AC$71)+F1070/100*$B$7*AE$71-$C$71</f>
        <v/>
      </c>
      <c r="L1070" s="13">
        <f>$B$7*(A1070*AG$71+B1070*AH$71+C1070*AI$71+D1070*AJ$71)+F1070/100*$B$7*AL$71-$C$71</f>
        <v/>
      </c>
      <c r="M1070" s="13">
        <f>$B$7*(A1070*AN$71+B1070*AO$71+C1070*AP$71+D1070*AQ$71)+F1070/100*$B$7*AS$71-$C$71</f>
        <v/>
      </c>
      <c r="N1070" s="13">
        <f>SUMPRODUCT($H$24:$M$24,H1070:M1070)</f>
        <v/>
      </c>
      <c r="O1070" s="14">
        <f>SQRT(SUMPRODUCT($H$24:$M$24,(H1070:M1070-N1070)^2))</f>
        <v/>
      </c>
      <c r="P1070" s="13">
        <f>MIN(H1070:M1070)</f>
        <v/>
      </c>
      <c r="Q1070" s="13">
        <f>MAX(H1070:M1070)</f>
        <v/>
      </c>
      <c r="R1070" s="27">
        <f>IF(G1070,SUMPRODUCT(($G$76:$G$1505)*($N$76:$N$1505&gt;=N1070)*($O$76:$O$1505&lt;=O1070))=1,FALSE)</f>
        <v/>
      </c>
      <c r="S1070" s="16">
        <f>IF(R1070,ABS((O1070-$AC$76)/MAX(0.0001,$AC$77-$AC$76)-(N1070-$AC$78)/MAX(0.0001,$AC$79-$AC$78)),-1)</f>
        <v/>
      </c>
      <c r="T1070" s="14">
        <f>IF(G1070,O1070,NA())</f>
        <v/>
      </c>
      <c r="U1070" s="13">
        <f>IF(G1070,N1070,NA())</f>
        <v/>
      </c>
      <c r="V1070" s="14">
        <f>IF(R1070,O1070,NA())</f>
        <v/>
      </c>
      <c r="W1070" s="13">
        <f>IF(R1070,N1070,NA())</f>
        <v/>
      </c>
      <c r="X1070" s="27">
        <f>IF(G1070,P1070,"")</f>
        <v/>
      </c>
      <c r="Y1070" s="27">
        <f>IF(G1070,N1070,"")</f>
        <v/>
      </c>
      <c r="Z1070" s="27">
        <f>IF(R1070,O1070,"")</f>
        <v/>
      </c>
      <c r="AA1070" s="27">
        <f>IF(R1070,N1070,"")</f>
        <v/>
      </c>
    </row>
    <row r="1071">
      <c r="A1071" s="31" t="n">
        <v>0.3</v>
      </c>
      <c r="B1071" s="31" t="n">
        <v>0.6</v>
      </c>
      <c r="C1071" s="31" t="n">
        <v>0</v>
      </c>
      <c r="D1071" s="31" t="n">
        <v>0.1</v>
      </c>
      <c r="E1071" s="27" t="inlineStr">
        <is>
          <t>ON 30%/1M 60%/3M 10%</t>
        </is>
      </c>
      <c r="F1071" s="27" t="n">
        <v>0</v>
      </c>
      <c r="G1071" s="27">
        <f>A1071*$B$7&gt;=$B$9</f>
        <v/>
      </c>
      <c r="H1071" s="13">
        <f>$B$7*(A1071*E$71+B1071*F$71+C1071*G$71+D1071*H$71)+F1071/100*$B$7*J$71-$C$71</f>
        <v/>
      </c>
      <c r="I1071" s="13">
        <f>$B$7*(A1071*L$71+B1071*M$71+C1071*N$71+D1071*O$71)+F1071/100*$B$7*Q$71-$C$71</f>
        <v/>
      </c>
      <c r="J1071" s="13">
        <f>$B$7*(A1071*S$71+B1071*T$71+C1071*U$71+D1071*V$71)+F1071/100*$B$7*X$71-$C$71</f>
        <v/>
      </c>
      <c r="K1071" s="13">
        <f>$B$7*(A1071*Z$71+B1071*AA$71+C1071*AB$71+D1071*AC$71)+F1071/100*$B$7*AE$71-$C$71</f>
        <v/>
      </c>
      <c r="L1071" s="13">
        <f>$B$7*(A1071*AG$71+B1071*AH$71+C1071*AI$71+D1071*AJ$71)+F1071/100*$B$7*AL$71-$C$71</f>
        <v/>
      </c>
      <c r="M1071" s="13">
        <f>$B$7*(A1071*AN$71+B1071*AO$71+C1071*AP$71+D1071*AQ$71)+F1071/100*$B$7*AS$71-$C$71</f>
        <v/>
      </c>
      <c r="N1071" s="13">
        <f>SUMPRODUCT($H$24:$M$24,H1071:M1071)</f>
        <v/>
      </c>
      <c r="O1071" s="14">
        <f>SQRT(SUMPRODUCT($H$24:$M$24,(H1071:M1071-N1071)^2))</f>
        <v/>
      </c>
      <c r="P1071" s="13">
        <f>MIN(H1071:M1071)</f>
        <v/>
      </c>
      <c r="Q1071" s="13">
        <f>MAX(H1071:M1071)</f>
        <v/>
      </c>
      <c r="R1071" s="27">
        <f>IF(G1071,SUMPRODUCT(($G$76:$G$1505)*($N$76:$N$1505&gt;=N1071)*($O$76:$O$1505&lt;=O1071))=1,FALSE)</f>
        <v/>
      </c>
      <c r="S1071" s="16">
        <f>IF(R1071,ABS((O1071-$AC$76)/MAX(0.0001,$AC$77-$AC$76)-(N1071-$AC$78)/MAX(0.0001,$AC$79-$AC$78)),-1)</f>
        <v/>
      </c>
      <c r="T1071" s="14">
        <f>IF(G1071,O1071,NA())</f>
        <v/>
      </c>
      <c r="U1071" s="13">
        <f>IF(G1071,N1071,NA())</f>
        <v/>
      </c>
      <c r="V1071" s="14">
        <f>IF(R1071,O1071,NA())</f>
        <v/>
      </c>
      <c r="W1071" s="13">
        <f>IF(R1071,N1071,NA())</f>
        <v/>
      </c>
      <c r="X1071" s="27">
        <f>IF(G1071,P1071,"")</f>
        <v/>
      </c>
      <c r="Y1071" s="27">
        <f>IF(G1071,N1071,"")</f>
        <v/>
      </c>
      <c r="Z1071" s="27">
        <f>IF(R1071,O1071,"")</f>
        <v/>
      </c>
      <c r="AA1071" s="27">
        <f>IF(R1071,N1071,"")</f>
        <v/>
      </c>
    </row>
    <row r="1072">
      <c r="A1072" s="31" t="n">
        <v>0.3</v>
      </c>
      <c r="B1072" s="31" t="n">
        <v>0.6</v>
      </c>
      <c r="C1072" s="31" t="n">
        <v>0</v>
      </c>
      <c r="D1072" s="31" t="n">
        <v>0.1</v>
      </c>
      <c r="E1072" s="27" t="inlineStr">
        <is>
          <t>ON 30%/1M 60%/3M 10%</t>
        </is>
      </c>
      <c r="F1072" s="27" t="n">
        <v>25</v>
      </c>
      <c r="G1072" s="27">
        <f>A1072*$B$7&gt;=$B$9</f>
        <v/>
      </c>
      <c r="H1072" s="13">
        <f>$B$7*(A1072*E$71+B1072*F$71+C1072*G$71+D1072*H$71)+F1072/100*$B$7*J$71-$C$71</f>
        <v/>
      </c>
      <c r="I1072" s="13">
        <f>$B$7*(A1072*L$71+B1072*M$71+C1072*N$71+D1072*O$71)+F1072/100*$B$7*Q$71-$C$71</f>
        <v/>
      </c>
      <c r="J1072" s="13">
        <f>$B$7*(A1072*S$71+B1072*T$71+C1072*U$71+D1072*V$71)+F1072/100*$B$7*X$71-$C$71</f>
        <v/>
      </c>
      <c r="K1072" s="13">
        <f>$B$7*(A1072*Z$71+B1072*AA$71+C1072*AB$71+D1072*AC$71)+F1072/100*$B$7*AE$71-$C$71</f>
        <v/>
      </c>
      <c r="L1072" s="13">
        <f>$B$7*(A1072*AG$71+B1072*AH$71+C1072*AI$71+D1072*AJ$71)+F1072/100*$B$7*AL$71-$C$71</f>
        <v/>
      </c>
      <c r="M1072" s="13">
        <f>$B$7*(A1072*AN$71+B1072*AO$71+C1072*AP$71+D1072*AQ$71)+F1072/100*$B$7*AS$71-$C$71</f>
        <v/>
      </c>
      <c r="N1072" s="13">
        <f>SUMPRODUCT($H$24:$M$24,H1072:M1072)</f>
        <v/>
      </c>
      <c r="O1072" s="14">
        <f>SQRT(SUMPRODUCT($H$24:$M$24,(H1072:M1072-N1072)^2))</f>
        <v/>
      </c>
      <c r="P1072" s="13">
        <f>MIN(H1072:M1072)</f>
        <v/>
      </c>
      <c r="Q1072" s="13">
        <f>MAX(H1072:M1072)</f>
        <v/>
      </c>
      <c r="R1072" s="27">
        <f>IF(G1072,SUMPRODUCT(($G$76:$G$1505)*($N$76:$N$1505&gt;=N1072)*($O$76:$O$1505&lt;=O1072))=1,FALSE)</f>
        <v/>
      </c>
      <c r="S1072" s="16">
        <f>IF(R1072,ABS((O1072-$AC$76)/MAX(0.0001,$AC$77-$AC$76)-(N1072-$AC$78)/MAX(0.0001,$AC$79-$AC$78)),-1)</f>
        <v/>
      </c>
      <c r="T1072" s="14">
        <f>IF(G1072,O1072,NA())</f>
        <v/>
      </c>
      <c r="U1072" s="13">
        <f>IF(G1072,N1072,NA())</f>
        <v/>
      </c>
      <c r="V1072" s="14">
        <f>IF(R1072,O1072,NA())</f>
        <v/>
      </c>
      <c r="W1072" s="13">
        <f>IF(R1072,N1072,NA())</f>
        <v/>
      </c>
      <c r="X1072" s="27">
        <f>IF(G1072,P1072,"")</f>
        <v/>
      </c>
      <c r="Y1072" s="27">
        <f>IF(G1072,N1072,"")</f>
        <v/>
      </c>
      <c r="Z1072" s="27">
        <f>IF(R1072,O1072,"")</f>
        <v/>
      </c>
      <c r="AA1072" s="27">
        <f>IF(R1072,N1072,"")</f>
        <v/>
      </c>
    </row>
    <row r="1073">
      <c r="A1073" s="31" t="n">
        <v>0.3</v>
      </c>
      <c r="B1073" s="31" t="n">
        <v>0.6</v>
      </c>
      <c r="C1073" s="31" t="n">
        <v>0</v>
      </c>
      <c r="D1073" s="31" t="n">
        <v>0.1</v>
      </c>
      <c r="E1073" s="27" t="inlineStr">
        <is>
          <t>ON 30%/1M 60%/3M 10%</t>
        </is>
      </c>
      <c r="F1073" s="27" t="n">
        <v>50</v>
      </c>
      <c r="G1073" s="27">
        <f>A1073*$B$7&gt;=$B$9</f>
        <v/>
      </c>
      <c r="H1073" s="13">
        <f>$B$7*(A1073*E$71+B1073*F$71+C1073*G$71+D1073*H$71)+F1073/100*$B$7*J$71-$C$71</f>
        <v/>
      </c>
      <c r="I1073" s="13">
        <f>$B$7*(A1073*L$71+B1073*M$71+C1073*N$71+D1073*O$71)+F1073/100*$B$7*Q$71-$C$71</f>
        <v/>
      </c>
      <c r="J1073" s="13">
        <f>$B$7*(A1073*S$71+B1073*T$71+C1073*U$71+D1073*V$71)+F1073/100*$B$7*X$71-$C$71</f>
        <v/>
      </c>
      <c r="K1073" s="13">
        <f>$B$7*(A1073*Z$71+B1073*AA$71+C1073*AB$71+D1073*AC$71)+F1073/100*$B$7*AE$71-$C$71</f>
        <v/>
      </c>
      <c r="L1073" s="13">
        <f>$B$7*(A1073*AG$71+B1073*AH$71+C1073*AI$71+D1073*AJ$71)+F1073/100*$B$7*AL$71-$C$71</f>
        <v/>
      </c>
      <c r="M1073" s="13">
        <f>$B$7*(A1073*AN$71+B1073*AO$71+C1073*AP$71+D1073*AQ$71)+F1073/100*$B$7*AS$71-$C$71</f>
        <v/>
      </c>
      <c r="N1073" s="13">
        <f>SUMPRODUCT($H$24:$M$24,H1073:M1073)</f>
        <v/>
      </c>
      <c r="O1073" s="14">
        <f>SQRT(SUMPRODUCT($H$24:$M$24,(H1073:M1073-N1073)^2))</f>
        <v/>
      </c>
      <c r="P1073" s="13">
        <f>MIN(H1073:M1073)</f>
        <v/>
      </c>
      <c r="Q1073" s="13">
        <f>MAX(H1073:M1073)</f>
        <v/>
      </c>
      <c r="R1073" s="27">
        <f>IF(G1073,SUMPRODUCT(($G$76:$G$1505)*($N$76:$N$1505&gt;=N1073)*($O$76:$O$1505&lt;=O1073))=1,FALSE)</f>
        <v/>
      </c>
      <c r="S1073" s="16">
        <f>IF(R1073,ABS((O1073-$AC$76)/MAX(0.0001,$AC$77-$AC$76)-(N1073-$AC$78)/MAX(0.0001,$AC$79-$AC$78)),-1)</f>
        <v/>
      </c>
      <c r="T1073" s="14">
        <f>IF(G1073,O1073,NA())</f>
        <v/>
      </c>
      <c r="U1073" s="13">
        <f>IF(G1073,N1073,NA())</f>
        <v/>
      </c>
      <c r="V1073" s="14">
        <f>IF(R1073,O1073,NA())</f>
        <v/>
      </c>
      <c r="W1073" s="13">
        <f>IF(R1073,N1073,NA())</f>
        <v/>
      </c>
      <c r="X1073" s="27">
        <f>IF(G1073,P1073,"")</f>
        <v/>
      </c>
      <c r="Y1073" s="27">
        <f>IF(G1073,N1073,"")</f>
        <v/>
      </c>
      <c r="Z1073" s="27">
        <f>IF(R1073,O1073,"")</f>
        <v/>
      </c>
      <c r="AA1073" s="27">
        <f>IF(R1073,N1073,"")</f>
        <v/>
      </c>
    </row>
    <row r="1074">
      <c r="A1074" s="31" t="n">
        <v>0.3</v>
      </c>
      <c r="B1074" s="31" t="n">
        <v>0.6</v>
      </c>
      <c r="C1074" s="31" t="n">
        <v>0</v>
      </c>
      <c r="D1074" s="31" t="n">
        <v>0.1</v>
      </c>
      <c r="E1074" s="27" t="inlineStr">
        <is>
          <t>ON 30%/1M 60%/3M 10%</t>
        </is>
      </c>
      <c r="F1074" s="27" t="n">
        <v>75</v>
      </c>
      <c r="G1074" s="27">
        <f>A1074*$B$7&gt;=$B$9</f>
        <v/>
      </c>
      <c r="H1074" s="13">
        <f>$B$7*(A1074*E$71+B1074*F$71+C1074*G$71+D1074*H$71)+F1074/100*$B$7*J$71-$C$71</f>
        <v/>
      </c>
      <c r="I1074" s="13">
        <f>$B$7*(A1074*L$71+B1074*M$71+C1074*N$71+D1074*O$71)+F1074/100*$B$7*Q$71-$C$71</f>
        <v/>
      </c>
      <c r="J1074" s="13">
        <f>$B$7*(A1074*S$71+B1074*T$71+C1074*U$71+D1074*V$71)+F1074/100*$B$7*X$71-$C$71</f>
        <v/>
      </c>
      <c r="K1074" s="13">
        <f>$B$7*(A1074*Z$71+B1074*AA$71+C1074*AB$71+D1074*AC$71)+F1074/100*$B$7*AE$71-$C$71</f>
        <v/>
      </c>
      <c r="L1074" s="13">
        <f>$B$7*(A1074*AG$71+B1074*AH$71+C1074*AI$71+D1074*AJ$71)+F1074/100*$B$7*AL$71-$C$71</f>
        <v/>
      </c>
      <c r="M1074" s="13">
        <f>$B$7*(A1074*AN$71+B1074*AO$71+C1074*AP$71+D1074*AQ$71)+F1074/100*$B$7*AS$71-$C$71</f>
        <v/>
      </c>
      <c r="N1074" s="13">
        <f>SUMPRODUCT($H$24:$M$24,H1074:M1074)</f>
        <v/>
      </c>
      <c r="O1074" s="14">
        <f>SQRT(SUMPRODUCT($H$24:$M$24,(H1074:M1074-N1074)^2))</f>
        <v/>
      </c>
      <c r="P1074" s="13">
        <f>MIN(H1074:M1074)</f>
        <v/>
      </c>
      <c r="Q1074" s="13">
        <f>MAX(H1074:M1074)</f>
        <v/>
      </c>
      <c r="R1074" s="27">
        <f>IF(G1074,SUMPRODUCT(($G$76:$G$1505)*($N$76:$N$1505&gt;=N1074)*($O$76:$O$1505&lt;=O1074))=1,FALSE)</f>
        <v/>
      </c>
      <c r="S1074" s="16">
        <f>IF(R1074,ABS((O1074-$AC$76)/MAX(0.0001,$AC$77-$AC$76)-(N1074-$AC$78)/MAX(0.0001,$AC$79-$AC$78)),-1)</f>
        <v/>
      </c>
      <c r="T1074" s="14">
        <f>IF(G1074,O1074,NA())</f>
        <v/>
      </c>
      <c r="U1074" s="13">
        <f>IF(G1074,N1074,NA())</f>
        <v/>
      </c>
      <c r="V1074" s="14">
        <f>IF(R1074,O1074,NA())</f>
        <v/>
      </c>
      <c r="W1074" s="13">
        <f>IF(R1074,N1074,NA())</f>
        <v/>
      </c>
      <c r="X1074" s="27">
        <f>IF(G1074,P1074,"")</f>
        <v/>
      </c>
      <c r="Y1074" s="27">
        <f>IF(G1074,N1074,"")</f>
        <v/>
      </c>
      <c r="Z1074" s="27">
        <f>IF(R1074,O1074,"")</f>
        <v/>
      </c>
      <c r="AA1074" s="27">
        <f>IF(R1074,N1074,"")</f>
        <v/>
      </c>
    </row>
    <row r="1075">
      <c r="A1075" s="31" t="n">
        <v>0.3</v>
      </c>
      <c r="B1075" s="31" t="n">
        <v>0.6</v>
      </c>
      <c r="C1075" s="31" t="n">
        <v>0</v>
      </c>
      <c r="D1075" s="31" t="n">
        <v>0.1</v>
      </c>
      <c r="E1075" s="27" t="inlineStr">
        <is>
          <t>ON 30%/1M 60%/3M 10%</t>
        </is>
      </c>
      <c r="F1075" s="27" t="n">
        <v>100</v>
      </c>
      <c r="G1075" s="27">
        <f>A1075*$B$7&gt;=$B$9</f>
        <v/>
      </c>
      <c r="H1075" s="13">
        <f>$B$7*(A1075*E$71+B1075*F$71+C1075*G$71+D1075*H$71)+F1075/100*$B$7*J$71-$C$71</f>
        <v/>
      </c>
      <c r="I1075" s="13">
        <f>$B$7*(A1075*L$71+B1075*M$71+C1075*N$71+D1075*O$71)+F1075/100*$B$7*Q$71-$C$71</f>
        <v/>
      </c>
      <c r="J1075" s="13">
        <f>$B$7*(A1075*S$71+B1075*T$71+C1075*U$71+D1075*V$71)+F1075/100*$B$7*X$71-$C$71</f>
        <v/>
      </c>
      <c r="K1075" s="13">
        <f>$B$7*(A1075*Z$71+B1075*AA$71+C1075*AB$71+D1075*AC$71)+F1075/100*$B$7*AE$71-$C$71</f>
        <v/>
      </c>
      <c r="L1075" s="13">
        <f>$B$7*(A1075*AG$71+B1075*AH$71+C1075*AI$71+D1075*AJ$71)+F1075/100*$B$7*AL$71-$C$71</f>
        <v/>
      </c>
      <c r="M1075" s="13">
        <f>$B$7*(A1075*AN$71+B1075*AO$71+C1075*AP$71+D1075*AQ$71)+F1075/100*$B$7*AS$71-$C$71</f>
        <v/>
      </c>
      <c r="N1075" s="13">
        <f>SUMPRODUCT($H$24:$M$24,H1075:M1075)</f>
        <v/>
      </c>
      <c r="O1075" s="14">
        <f>SQRT(SUMPRODUCT($H$24:$M$24,(H1075:M1075-N1075)^2))</f>
        <v/>
      </c>
      <c r="P1075" s="13">
        <f>MIN(H1075:M1075)</f>
        <v/>
      </c>
      <c r="Q1075" s="13">
        <f>MAX(H1075:M1075)</f>
        <v/>
      </c>
      <c r="R1075" s="27">
        <f>IF(G1075,SUMPRODUCT(($G$76:$G$1505)*($N$76:$N$1505&gt;=N1075)*($O$76:$O$1505&lt;=O1075))=1,FALSE)</f>
        <v/>
      </c>
      <c r="S1075" s="16">
        <f>IF(R1075,ABS((O1075-$AC$76)/MAX(0.0001,$AC$77-$AC$76)-(N1075-$AC$78)/MAX(0.0001,$AC$79-$AC$78)),-1)</f>
        <v/>
      </c>
      <c r="T1075" s="14">
        <f>IF(G1075,O1075,NA())</f>
        <v/>
      </c>
      <c r="U1075" s="13">
        <f>IF(G1075,N1075,NA())</f>
        <v/>
      </c>
      <c r="V1075" s="14">
        <f>IF(R1075,O1075,NA())</f>
        <v/>
      </c>
      <c r="W1075" s="13">
        <f>IF(R1075,N1075,NA())</f>
        <v/>
      </c>
      <c r="X1075" s="27">
        <f>IF(G1075,P1075,"")</f>
        <v/>
      </c>
      <c r="Y1075" s="27">
        <f>IF(G1075,N1075,"")</f>
        <v/>
      </c>
      <c r="Z1075" s="27">
        <f>IF(R1075,O1075,"")</f>
        <v/>
      </c>
      <c r="AA1075" s="27">
        <f>IF(R1075,N1075,"")</f>
        <v/>
      </c>
    </row>
    <row r="1076">
      <c r="A1076" s="31" t="n">
        <v>0.3</v>
      </c>
      <c r="B1076" s="31" t="n">
        <v>0.6</v>
      </c>
      <c r="C1076" s="31" t="n">
        <v>0.1</v>
      </c>
      <c r="D1076" s="31" t="n">
        <v>0</v>
      </c>
      <c r="E1076" s="27" t="inlineStr">
        <is>
          <t>ON 30%/1M 60%/2M 10%</t>
        </is>
      </c>
      <c r="F1076" s="27" t="n">
        <v>0</v>
      </c>
      <c r="G1076" s="27">
        <f>A1076*$B$7&gt;=$B$9</f>
        <v/>
      </c>
      <c r="H1076" s="13">
        <f>$B$7*(A1076*E$71+B1076*F$71+C1076*G$71+D1076*H$71)+F1076/100*$B$7*J$71-$C$71</f>
        <v/>
      </c>
      <c r="I1076" s="13">
        <f>$B$7*(A1076*L$71+B1076*M$71+C1076*N$71+D1076*O$71)+F1076/100*$B$7*Q$71-$C$71</f>
        <v/>
      </c>
      <c r="J1076" s="13">
        <f>$B$7*(A1076*S$71+B1076*T$71+C1076*U$71+D1076*V$71)+F1076/100*$B$7*X$71-$C$71</f>
        <v/>
      </c>
      <c r="K1076" s="13">
        <f>$B$7*(A1076*Z$71+B1076*AA$71+C1076*AB$71+D1076*AC$71)+F1076/100*$B$7*AE$71-$C$71</f>
        <v/>
      </c>
      <c r="L1076" s="13">
        <f>$B$7*(A1076*AG$71+B1076*AH$71+C1076*AI$71+D1076*AJ$71)+F1076/100*$B$7*AL$71-$C$71</f>
        <v/>
      </c>
      <c r="M1076" s="13">
        <f>$B$7*(A1076*AN$71+B1076*AO$71+C1076*AP$71+D1076*AQ$71)+F1076/100*$B$7*AS$71-$C$71</f>
        <v/>
      </c>
      <c r="N1076" s="13">
        <f>SUMPRODUCT($H$24:$M$24,H1076:M1076)</f>
        <v/>
      </c>
      <c r="O1076" s="14">
        <f>SQRT(SUMPRODUCT($H$24:$M$24,(H1076:M1076-N1076)^2))</f>
        <v/>
      </c>
      <c r="P1076" s="13">
        <f>MIN(H1076:M1076)</f>
        <v/>
      </c>
      <c r="Q1076" s="13">
        <f>MAX(H1076:M1076)</f>
        <v/>
      </c>
      <c r="R1076" s="27">
        <f>IF(G1076,SUMPRODUCT(($G$76:$G$1505)*($N$76:$N$1505&gt;=N1076)*($O$76:$O$1505&lt;=O1076))=1,FALSE)</f>
        <v/>
      </c>
      <c r="S1076" s="16">
        <f>IF(R1076,ABS((O1076-$AC$76)/MAX(0.0001,$AC$77-$AC$76)-(N1076-$AC$78)/MAX(0.0001,$AC$79-$AC$78)),-1)</f>
        <v/>
      </c>
      <c r="T1076" s="14">
        <f>IF(G1076,O1076,NA())</f>
        <v/>
      </c>
      <c r="U1076" s="13">
        <f>IF(G1076,N1076,NA())</f>
        <v/>
      </c>
      <c r="V1076" s="14">
        <f>IF(R1076,O1076,NA())</f>
        <v/>
      </c>
      <c r="W1076" s="13">
        <f>IF(R1076,N1076,NA())</f>
        <v/>
      </c>
      <c r="X1076" s="27">
        <f>IF(G1076,P1076,"")</f>
        <v/>
      </c>
      <c r="Y1076" s="27">
        <f>IF(G1076,N1076,"")</f>
        <v/>
      </c>
      <c r="Z1076" s="27">
        <f>IF(R1076,O1076,"")</f>
        <v/>
      </c>
      <c r="AA1076" s="27">
        <f>IF(R1076,N1076,"")</f>
        <v/>
      </c>
    </row>
    <row r="1077">
      <c r="A1077" s="31" t="n">
        <v>0.3</v>
      </c>
      <c r="B1077" s="31" t="n">
        <v>0.6</v>
      </c>
      <c r="C1077" s="31" t="n">
        <v>0.1</v>
      </c>
      <c r="D1077" s="31" t="n">
        <v>0</v>
      </c>
      <c r="E1077" s="27" t="inlineStr">
        <is>
          <t>ON 30%/1M 60%/2M 10%</t>
        </is>
      </c>
      <c r="F1077" s="27" t="n">
        <v>25</v>
      </c>
      <c r="G1077" s="27">
        <f>A1077*$B$7&gt;=$B$9</f>
        <v/>
      </c>
      <c r="H1077" s="13">
        <f>$B$7*(A1077*E$71+B1077*F$71+C1077*G$71+D1077*H$71)+F1077/100*$B$7*J$71-$C$71</f>
        <v/>
      </c>
      <c r="I1077" s="13">
        <f>$B$7*(A1077*L$71+B1077*M$71+C1077*N$71+D1077*O$71)+F1077/100*$B$7*Q$71-$C$71</f>
        <v/>
      </c>
      <c r="J1077" s="13">
        <f>$B$7*(A1077*S$71+B1077*T$71+C1077*U$71+D1077*V$71)+F1077/100*$B$7*X$71-$C$71</f>
        <v/>
      </c>
      <c r="K1077" s="13">
        <f>$B$7*(A1077*Z$71+B1077*AA$71+C1077*AB$71+D1077*AC$71)+F1077/100*$B$7*AE$71-$C$71</f>
        <v/>
      </c>
      <c r="L1077" s="13">
        <f>$B$7*(A1077*AG$71+B1077*AH$71+C1077*AI$71+D1077*AJ$71)+F1077/100*$B$7*AL$71-$C$71</f>
        <v/>
      </c>
      <c r="M1077" s="13">
        <f>$B$7*(A1077*AN$71+B1077*AO$71+C1077*AP$71+D1077*AQ$71)+F1077/100*$B$7*AS$71-$C$71</f>
        <v/>
      </c>
      <c r="N1077" s="13">
        <f>SUMPRODUCT($H$24:$M$24,H1077:M1077)</f>
        <v/>
      </c>
      <c r="O1077" s="14">
        <f>SQRT(SUMPRODUCT($H$24:$M$24,(H1077:M1077-N1077)^2))</f>
        <v/>
      </c>
      <c r="P1077" s="13">
        <f>MIN(H1077:M1077)</f>
        <v/>
      </c>
      <c r="Q1077" s="13">
        <f>MAX(H1077:M1077)</f>
        <v/>
      </c>
      <c r="R1077" s="27">
        <f>IF(G1077,SUMPRODUCT(($G$76:$G$1505)*($N$76:$N$1505&gt;=N1077)*($O$76:$O$1505&lt;=O1077))=1,FALSE)</f>
        <v/>
      </c>
      <c r="S1077" s="16">
        <f>IF(R1077,ABS((O1077-$AC$76)/MAX(0.0001,$AC$77-$AC$76)-(N1077-$AC$78)/MAX(0.0001,$AC$79-$AC$78)),-1)</f>
        <v/>
      </c>
      <c r="T1077" s="14">
        <f>IF(G1077,O1077,NA())</f>
        <v/>
      </c>
      <c r="U1077" s="13">
        <f>IF(G1077,N1077,NA())</f>
        <v/>
      </c>
      <c r="V1077" s="14">
        <f>IF(R1077,O1077,NA())</f>
        <v/>
      </c>
      <c r="W1077" s="13">
        <f>IF(R1077,N1077,NA())</f>
        <v/>
      </c>
      <c r="X1077" s="27">
        <f>IF(G1077,P1077,"")</f>
        <v/>
      </c>
      <c r="Y1077" s="27">
        <f>IF(G1077,N1077,"")</f>
        <v/>
      </c>
      <c r="Z1077" s="27">
        <f>IF(R1077,O1077,"")</f>
        <v/>
      </c>
      <c r="AA1077" s="27">
        <f>IF(R1077,N1077,"")</f>
        <v/>
      </c>
    </row>
    <row r="1078">
      <c r="A1078" s="31" t="n">
        <v>0.3</v>
      </c>
      <c r="B1078" s="31" t="n">
        <v>0.6</v>
      </c>
      <c r="C1078" s="31" t="n">
        <v>0.1</v>
      </c>
      <c r="D1078" s="31" t="n">
        <v>0</v>
      </c>
      <c r="E1078" s="27" t="inlineStr">
        <is>
          <t>ON 30%/1M 60%/2M 10%</t>
        </is>
      </c>
      <c r="F1078" s="27" t="n">
        <v>50</v>
      </c>
      <c r="G1078" s="27">
        <f>A1078*$B$7&gt;=$B$9</f>
        <v/>
      </c>
      <c r="H1078" s="13">
        <f>$B$7*(A1078*E$71+B1078*F$71+C1078*G$71+D1078*H$71)+F1078/100*$B$7*J$71-$C$71</f>
        <v/>
      </c>
      <c r="I1078" s="13">
        <f>$B$7*(A1078*L$71+B1078*M$71+C1078*N$71+D1078*O$71)+F1078/100*$B$7*Q$71-$C$71</f>
        <v/>
      </c>
      <c r="J1078" s="13">
        <f>$B$7*(A1078*S$71+B1078*T$71+C1078*U$71+D1078*V$71)+F1078/100*$B$7*X$71-$C$71</f>
        <v/>
      </c>
      <c r="K1078" s="13">
        <f>$B$7*(A1078*Z$71+B1078*AA$71+C1078*AB$71+D1078*AC$71)+F1078/100*$B$7*AE$71-$C$71</f>
        <v/>
      </c>
      <c r="L1078" s="13">
        <f>$B$7*(A1078*AG$71+B1078*AH$71+C1078*AI$71+D1078*AJ$71)+F1078/100*$B$7*AL$71-$C$71</f>
        <v/>
      </c>
      <c r="M1078" s="13">
        <f>$B$7*(A1078*AN$71+B1078*AO$71+C1078*AP$71+D1078*AQ$71)+F1078/100*$B$7*AS$71-$C$71</f>
        <v/>
      </c>
      <c r="N1078" s="13">
        <f>SUMPRODUCT($H$24:$M$24,H1078:M1078)</f>
        <v/>
      </c>
      <c r="O1078" s="14">
        <f>SQRT(SUMPRODUCT($H$24:$M$24,(H1078:M1078-N1078)^2))</f>
        <v/>
      </c>
      <c r="P1078" s="13">
        <f>MIN(H1078:M1078)</f>
        <v/>
      </c>
      <c r="Q1078" s="13">
        <f>MAX(H1078:M1078)</f>
        <v/>
      </c>
      <c r="R1078" s="27">
        <f>IF(G1078,SUMPRODUCT(($G$76:$G$1505)*($N$76:$N$1505&gt;=N1078)*($O$76:$O$1505&lt;=O1078))=1,FALSE)</f>
        <v/>
      </c>
      <c r="S1078" s="16">
        <f>IF(R1078,ABS((O1078-$AC$76)/MAX(0.0001,$AC$77-$AC$76)-(N1078-$AC$78)/MAX(0.0001,$AC$79-$AC$78)),-1)</f>
        <v/>
      </c>
      <c r="T1078" s="14">
        <f>IF(G1078,O1078,NA())</f>
        <v/>
      </c>
      <c r="U1078" s="13">
        <f>IF(G1078,N1078,NA())</f>
        <v/>
      </c>
      <c r="V1078" s="14">
        <f>IF(R1078,O1078,NA())</f>
        <v/>
      </c>
      <c r="W1078" s="13">
        <f>IF(R1078,N1078,NA())</f>
        <v/>
      </c>
      <c r="X1078" s="27">
        <f>IF(G1078,P1078,"")</f>
        <v/>
      </c>
      <c r="Y1078" s="27">
        <f>IF(G1078,N1078,"")</f>
        <v/>
      </c>
      <c r="Z1078" s="27">
        <f>IF(R1078,O1078,"")</f>
        <v/>
      </c>
      <c r="AA1078" s="27">
        <f>IF(R1078,N1078,"")</f>
        <v/>
      </c>
    </row>
    <row r="1079">
      <c r="A1079" s="31" t="n">
        <v>0.3</v>
      </c>
      <c r="B1079" s="31" t="n">
        <v>0.6</v>
      </c>
      <c r="C1079" s="31" t="n">
        <v>0.1</v>
      </c>
      <c r="D1079" s="31" t="n">
        <v>0</v>
      </c>
      <c r="E1079" s="27" t="inlineStr">
        <is>
          <t>ON 30%/1M 60%/2M 10%</t>
        </is>
      </c>
      <c r="F1079" s="27" t="n">
        <v>75</v>
      </c>
      <c r="G1079" s="27">
        <f>A1079*$B$7&gt;=$B$9</f>
        <v/>
      </c>
      <c r="H1079" s="13">
        <f>$B$7*(A1079*E$71+B1079*F$71+C1079*G$71+D1079*H$71)+F1079/100*$B$7*J$71-$C$71</f>
        <v/>
      </c>
      <c r="I1079" s="13">
        <f>$B$7*(A1079*L$71+B1079*M$71+C1079*N$71+D1079*O$71)+F1079/100*$B$7*Q$71-$C$71</f>
        <v/>
      </c>
      <c r="J1079" s="13">
        <f>$B$7*(A1079*S$71+B1079*T$71+C1079*U$71+D1079*V$71)+F1079/100*$B$7*X$71-$C$71</f>
        <v/>
      </c>
      <c r="K1079" s="13">
        <f>$B$7*(A1079*Z$71+B1079*AA$71+C1079*AB$71+D1079*AC$71)+F1079/100*$B$7*AE$71-$C$71</f>
        <v/>
      </c>
      <c r="L1079" s="13">
        <f>$B$7*(A1079*AG$71+B1079*AH$71+C1079*AI$71+D1079*AJ$71)+F1079/100*$B$7*AL$71-$C$71</f>
        <v/>
      </c>
      <c r="M1079" s="13">
        <f>$B$7*(A1079*AN$71+B1079*AO$71+C1079*AP$71+D1079*AQ$71)+F1079/100*$B$7*AS$71-$C$71</f>
        <v/>
      </c>
      <c r="N1079" s="13">
        <f>SUMPRODUCT($H$24:$M$24,H1079:M1079)</f>
        <v/>
      </c>
      <c r="O1079" s="14">
        <f>SQRT(SUMPRODUCT($H$24:$M$24,(H1079:M1079-N1079)^2))</f>
        <v/>
      </c>
      <c r="P1079" s="13">
        <f>MIN(H1079:M1079)</f>
        <v/>
      </c>
      <c r="Q1079" s="13">
        <f>MAX(H1079:M1079)</f>
        <v/>
      </c>
      <c r="R1079" s="27">
        <f>IF(G1079,SUMPRODUCT(($G$76:$G$1505)*($N$76:$N$1505&gt;=N1079)*($O$76:$O$1505&lt;=O1079))=1,FALSE)</f>
        <v/>
      </c>
      <c r="S1079" s="16">
        <f>IF(R1079,ABS((O1079-$AC$76)/MAX(0.0001,$AC$77-$AC$76)-(N1079-$AC$78)/MAX(0.0001,$AC$79-$AC$78)),-1)</f>
        <v/>
      </c>
      <c r="T1079" s="14">
        <f>IF(G1079,O1079,NA())</f>
        <v/>
      </c>
      <c r="U1079" s="13">
        <f>IF(G1079,N1079,NA())</f>
        <v/>
      </c>
      <c r="V1079" s="14">
        <f>IF(R1079,O1079,NA())</f>
        <v/>
      </c>
      <c r="W1079" s="13">
        <f>IF(R1079,N1079,NA())</f>
        <v/>
      </c>
      <c r="X1079" s="27">
        <f>IF(G1079,P1079,"")</f>
        <v/>
      </c>
      <c r="Y1079" s="27">
        <f>IF(G1079,N1079,"")</f>
        <v/>
      </c>
      <c r="Z1079" s="27">
        <f>IF(R1079,O1079,"")</f>
        <v/>
      </c>
      <c r="AA1079" s="27">
        <f>IF(R1079,N1079,"")</f>
        <v/>
      </c>
    </row>
    <row r="1080">
      <c r="A1080" s="31" t="n">
        <v>0.3</v>
      </c>
      <c r="B1080" s="31" t="n">
        <v>0.6</v>
      </c>
      <c r="C1080" s="31" t="n">
        <v>0.1</v>
      </c>
      <c r="D1080" s="31" t="n">
        <v>0</v>
      </c>
      <c r="E1080" s="27" t="inlineStr">
        <is>
          <t>ON 30%/1M 60%/2M 10%</t>
        </is>
      </c>
      <c r="F1080" s="27" t="n">
        <v>100</v>
      </c>
      <c r="G1080" s="27">
        <f>A1080*$B$7&gt;=$B$9</f>
        <v/>
      </c>
      <c r="H1080" s="13">
        <f>$B$7*(A1080*E$71+B1080*F$71+C1080*G$71+D1080*H$71)+F1080/100*$B$7*J$71-$C$71</f>
        <v/>
      </c>
      <c r="I1080" s="13">
        <f>$B$7*(A1080*L$71+B1080*M$71+C1080*N$71+D1080*O$71)+F1080/100*$B$7*Q$71-$C$71</f>
        <v/>
      </c>
      <c r="J1080" s="13">
        <f>$B$7*(A1080*S$71+B1080*T$71+C1080*U$71+D1080*V$71)+F1080/100*$B$7*X$71-$C$71</f>
        <v/>
      </c>
      <c r="K1080" s="13">
        <f>$B$7*(A1080*Z$71+B1080*AA$71+C1080*AB$71+D1080*AC$71)+F1080/100*$B$7*AE$71-$C$71</f>
        <v/>
      </c>
      <c r="L1080" s="13">
        <f>$B$7*(A1080*AG$71+B1080*AH$71+C1080*AI$71+D1080*AJ$71)+F1080/100*$B$7*AL$71-$C$71</f>
        <v/>
      </c>
      <c r="M1080" s="13">
        <f>$B$7*(A1080*AN$71+B1080*AO$71+C1080*AP$71+D1080*AQ$71)+F1080/100*$B$7*AS$71-$C$71</f>
        <v/>
      </c>
      <c r="N1080" s="13">
        <f>SUMPRODUCT($H$24:$M$24,H1080:M1080)</f>
        <v/>
      </c>
      <c r="O1080" s="14">
        <f>SQRT(SUMPRODUCT($H$24:$M$24,(H1080:M1080-N1080)^2))</f>
        <v/>
      </c>
      <c r="P1080" s="13">
        <f>MIN(H1080:M1080)</f>
        <v/>
      </c>
      <c r="Q1080" s="13">
        <f>MAX(H1080:M1080)</f>
        <v/>
      </c>
      <c r="R1080" s="27">
        <f>IF(G1080,SUMPRODUCT(($G$76:$G$1505)*($N$76:$N$1505&gt;=N1080)*($O$76:$O$1505&lt;=O1080))=1,FALSE)</f>
        <v/>
      </c>
      <c r="S1080" s="16">
        <f>IF(R1080,ABS((O1080-$AC$76)/MAX(0.0001,$AC$77-$AC$76)-(N1080-$AC$78)/MAX(0.0001,$AC$79-$AC$78)),-1)</f>
        <v/>
      </c>
      <c r="T1080" s="14">
        <f>IF(G1080,O1080,NA())</f>
        <v/>
      </c>
      <c r="U1080" s="13">
        <f>IF(G1080,N1080,NA())</f>
        <v/>
      </c>
      <c r="V1080" s="14">
        <f>IF(R1080,O1080,NA())</f>
        <v/>
      </c>
      <c r="W1080" s="13">
        <f>IF(R1080,N1080,NA())</f>
        <v/>
      </c>
      <c r="X1080" s="27">
        <f>IF(G1080,P1080,"")</f>
        <v/>
      </c>
      <c r="Y1080" s="27">
        <f>IF(G1080,N1080,"")</f>
        <v/>
      </c>
      <c r="Z1080" s="27">
        <f>IF(R1080,O1080,"")</f>
        <v/>
      </c>
      <c r="AA1080" s="27">
        <f>IF(R1080,N1080,"")</f>
        <v/>
      </c>
    </row>
    <row r="1081">
      <c r="A1081" s="31" t="n">
        <v>0.3</v>
      </c>
      <c r="B1081" s="31" t="n">
        <v>0.7</v>
      </c>
      <c r="C1081" s="31" t="n">
        <v>0</v>
      </c>
      <c r="D1081" s="31" t="n">
        <v>0</v>
      </c>
      <c r="E1081" s="27" t="inlineStr">
        <is>
          <t>ON 30%/1M 70%</t>
        </is>
      </c>
      <c r="F1081" s="27" t="n">
        <v>0</v>
      </c>
      <c r="G1081" s="27">
        <f>A1081*$B$7&gt;=$B$9</f>
        <v/>
      </c>
      <c r="H1081" s="13">
        <f>$B$7*(A1081*E$71+B1081*F$71+C1081*G$71+D1081*H$71)+F1081/100*$B$7*J$71-$C$71</f>
        <v/>
      </c>
      <c r="I1081" s="13">
        <f>$B$7*(A1081*L$71+B1081*M$71+C1081*N$71+D1081*O$71)+F1081/100*$B$7*Q$71-$C$71</f>
        <v/>
      </c>
      <c r="J1081" s="13">
        <f>$B$7*(A1081*S$71+B1081*T$71+C1081*U$71+D1081*V$71)+F1081/100*$B$7*X$71-$C$71</f>
        <v/>
      </c>
      <c r="K1081" s="13">
        <f>$B$7*(A1081*Z$71+B1081*AA$71+C1081*AB$71+D1081*AC$71)+F1081/100*$B$7*AE$71-$C$71</f>
        <v/>
      </c>
      <c r="L1081" s="13">
        <f>$B$7*(A1081*AG$71+B1081*AH$71+C1081*AI$71+D1081*AJ$71)+F1081/100*$B$7*AL$71-$C$71</f>
        <v/>
      </c>
      <c r="M1081" s="13">
        <f>$B$7*(A1081*AN$71+B1081*AO$71+C1081*AP$71+D1081*AQ$71)+F1081/100*$B$7*AS$71-$C$71</f>
        <v/>
      </c>
      <c r="N1081" s="13">
        <f>SUMPRODUCT($H$24:$M$24,H1081:M1081)</f>
        <v/>
      </c>
      <c r="O1081" s="14">
        <f>SQRT(SUMPRODUCT($H$24:$M$24,(H1081:M1081-N1081)^2))</f>
        <v/>
      </c>
      <c r="P1081" s="13">
        <f>MIN(H1081:M1081)</f>
        <v/>
      </c>
      <c r="Q1081" s="13">
        <f>MAX(H1081:M1081)</f>
        <v/>
      </c>
      <c r="R1081" s="27">
        <f>IF(G1081,SUMPRODUCT(($G$76:$G$1505)*($N$76:$N$1505&gt;=N1081)*($O$76:$O$1505&lt;=O1081))=1,FALSE)</f>
        <v/>
      </c>
      <c r="S1081" s="16">
        <f>IF(R1081,ABS((O1081-$AC$76)/MAX(0.0001,$AC$77-$AC$76)-(N1081-$AC$78)/MAX(0.0001,$AC$79-$AC$78)),-1)</f>
        <v/>
      </c>
      <c r="T1081" s="14">
        <f>IF(G1081,O1081,NA())</f>
        <v/>
      </c>
      <c r="U1081" s="13">
        <f>IF(G1081,N1081,NA())</f>
        <v/>
      </c>
      <c r="V1081" s="14">
        <f>IF(R1081,O1081,NA())</f>
        <v/>
      </c>
      <c r="W1081" s="13">
        <f>IF(R1081,N1081,NA())</f>
        <v/>
      </c>
      <c r="X1081" s="27">
        <f>IF(G1081,P1081,"")</f>
        <v/>
      </c>
      <c r="Y1081" s="27">
        <f>IF(G1081,N1081,"")</f>
        <v/>
      </c>
      <c r="Z1081" s="27">
        <f>IF(R1081,O1081,"")</f>
        <v/>
      </c>
      <c r="AA1081" s="27">
        <f>IF(R1081,N1081,"")</f>
        <v/>
      </c>
    </row>
    <row r="1082">
      <c r="A1082" s="31" t="n">
        <v>0.3</v>
      </c>
      <c r="B1082" s="31" t="n">
        <v>0.7</v>
      </c>
      <c r="C1082" s="31" t="n">
        <v>0</v>
      </c>
      <c r="D1082" s="31" t="n">
        <v>0</v>
      </c>
      <c r="E1082" s="27" t="inlineStr">
        <is>
          <t>ON 30%/1M 70%</t>
        </is>
      </c>
      <c r="F1082" s="27" t="n">
        <v>25</v>
      </c>
      <c r="G1082" s="27">
        <f>A1082*$B$7&gt;=$B$9</f>
        <v/>
      </c>
      <c r="H1082" s="13">
        <f>$B$7*(A1082*E$71+B1082*F$71+C1082*G$71+D1082*H$71)+F1082/100*$B$7*J$71-$C$71</f>
        <v/>
      </c>
      <c r="I1082" s="13">
        <f>$B$7*(A1082*L$71+B1082*M$71+C1082*N$71+D1082*O$71)+F1082/100*$B$7*Q$71-$C$71</f>
        <v/>
      </c>
      <c r="J1082" s="13">
        <f>$B$7*(A1082*S$71+B1082*T$71+C1082*U$71+D1082*V$71)+F1082/100*$B$7*X$71-$C$71</f>
        <v/>
      </c>
      <c r="K1082" s="13">
        <f>$B$7*(A1082*Z$71+B1082*AA$71+C1082*AB$71+D1082*AC$71)+F1082/100*$B$7*AE$71-$C$71</f>
        <v/>
      </c>
      <c r="L1082" s="13">
        <f>$B$7*(A1082*AG$71+B1082*AH$71+C1082*AI$71+D1082*AJ$71)+F1082/100*$B$7*AL$71-$C$71</f>
        <v/>
      </c>
      <c r="M1082" s="13">
        <f>$B$7*(A1082*AN$71+B1082*AO$71+C1082*AP$71+D1082*AQ$71)+F1082/100*$B$7*AS$71-$C$71</f>
        <v/>
      </c>
      <c r="N1082" s="13">
        <f>SUMPRODUCT($H$24:$M$24,H1082:M1082)</f>
        <v/>
      </c>
      <c r="O1082" s="14">
        <f>SQRT(SUMPRODUCT($H$24:$M$24,(H1082:M1082-N1082)^2))</f>
        <v/>
      </c>
      <c r="P1082" s="13">
        <f>MIN(H1082:M1082)</f>
        <v/>
      </c>
      <c r="Q1082" s="13">
        <f>MAX(H1082:M1082)</f>
        <v/>
      </c>
      <c r="R1082" s="27">
        <f>IF(G1082,SUMPRODUCT(($G$76:$G$1505)*($N$76:$N$1505&gt;=N1082)*($O$76:$O$1505&lt;=O1082))=1,FALSE)</f>
        <v/>
      </c>
      <c r="S1082" s="16">
        <f>IF(R1082,ABS((O1082-$AC$76)/MAX(0.0001,$AC$77-$AC$76)-(N1082-$AC$78)/MAX(0.0001,$AC$79-$AC$78)),-1)</f>
        <v/>
      </c>
      <c r="T1082" s="14">
        <f>IF(G1082,O1082,NA())</f>
        <v/>
      </c>
      <c r="U1082" s="13">
        <f>IF(G1082,N1082,NA())</f>
        <v/>
      </c>
      <c r="V1082" s="14">
        <f>IF(R1082,O1082,NA())</f>
        <v/>
      </c>
      <c r="W1082" s="13">
        <f>IF(R1082,N1082,NA())</f>
        <v/>
      </c>
      <c r="X1082" s="27">
        <f>IF(G1082,P1082,"")</f>
        <v/>
      </c>
      <c r="Y1082" s="27">
        <f>IF(G1082,N1082,"")</f>
        <v/>
      </c>
      <c r="Z1082" s="27">
        <f>IF(R1082,O1082,"")</f>
        <v/>
      </c>
      <c r="AA1082" s="27">
        <f>IF(R1082,N1082,"")</f>
        <v/>
      </c>
    </row>
    <row r="1083">
      <c r="A1083" s="31" t="n">
        <v>0.3</v>
      </c>
      <c r="B1083" s="31" t="n">
        <v>0.7</v>
      </c>
      <c r="C1083" s="31" t="n">
        <v>0</v>
      </c>
      <c r="D1083" s="31" t="n">
        <v>0</v>
      </c>
      <c r="E1083" s="27" t="inlineStr">
        <is>
          <t>ON 30%/1M 70%</t>
        </is>
      </c>
      <c r="F1083" s="27" t="n">
        <v>50</v>
      </c>
      <c r="G1083" s="27">
        <f>A1083*$B$7&gt;=$B$9</f>
        <v/>
      </c>
      <c r="H1083" s="13">
        <f>$B$7*(A1083*E$71+B1083*F$71+C1083*G$71+D1083*H$71)+F1083/100*$B$7*J$71-$C$71</f>
        <v/>
      </c>
      <c r="I1083" s="13">
        <f>$B$7*(A1083*L$71+B1083*M$71+C1083*N$71+D1083*O$71)+F1083/100*$B$7*Q$71-$C$71</f>
        <v/>
      </c>
      <c r="J1083" s="13">
        <f>$B$7*(A1083*S$71+B1083*T$71+C1083*U$71+D1083*V$71)+F1083/100*$B$7*X$71-$C$71</f>
        <v/>
      </c>
      <c r="K1083" s="13">
        <f>$B$7*(A1083*Z$71+B1083*AA$71+C1083*AB$71+D1083*AC$71)+F1083/100*$B$7*AE$71-$C$71</f>
        <v/>
      </c>
      <c r="L1083" s="13">
        <f>$B$7*(A1083*AG$71+B1083*AH$71+C1083*AI$71+D1083*AJ$71)+F1083/100*$B$7*AL$71-$C$71</f>
        <v/>
      </c>
      <c r="M1083" s="13">
        <f>$B$7*(A1083*AN$71+B1083*AO$71+C1083*AP$71+D1083*AQ$71)+F1083/100*$B$7*AS$71-$C$71</f>
        <v/>
      </c>
      <c r="N1083" s="13">
        <f>SUMPRODUCT($H$24:$M$24,H1083:M1083)</f>
        <v/>
      </c>
      <c r="O1083" s="14">
        <f>SQRT(SUMPRODUCT($H$24:$M$24,(H1083:M1083-N1083)^2))</f>
        <v/>
      </c>
      <c r="P1083" s="13">
        <f>MIN(H1083:M1083)</f>
        <v/>
      </c>
      <c r="Q1083" s="13">
        <f>MAX(H1083:M1083)</f>
        <v/>
      </c>
      <c r="R1083" s="27">
        <f>IF(G1083,SUMPRODUCT(($G$76:$G$1505)*($N$76:$N$1505&gt;=N1083)*($O$76:$O$1505&lt;=O1083))=1,FALSE)</f>
        <v/>
      </c>
      <c r="S1083" s="16">
        <f>IF(R1083,ABS((O1083-$AC$76)/MAX(0.0001,$AC$77-$AC$76)-(N1083-$AC$78)/MAX(0.0001,$AC$79-$AC$78)),-1)</f>
        <v/>
      </c>
      <c r="T1083" s="14">
        <f>IF(G1083,O1083,NA())</f>
        <v/>
      </c>
      <c r="U1083" s="13">
        <f>IF(G1083,N1083,NA())</f>
        <v/>
      </c>
      <c r="V1083" s="14">
        <f>IF(R1083,O1083,NA())</f>
        <v/>
      </c>
      <c r="W1083" s="13">
        <f>IF(R1083,N1083,NA())</f>
        <v/>
      </c>
      <c r="X1083" s="27">
        <f>IF(G1083,P1083,"")</f>
        <v/>
      </c>
      <c r="Y1083" s="27">
        <f>IF(G1083,N1083,"")</f>
        <v/>
      </c>
      <c r="Z1083" s="27">
        <f>IF(R1083,O1083,"")</f>
        <v/>
      </c>
      <c r="AA1083" s="27">
        <f>IF(R1083,N1083,"")</f>
        <v/>
      </c>
    </row>
    <row r="1084">
      <c r="A1084" s="31" t="n">
        <v>0.3</v>
      </c>
      <c r="B1084" s="31" t="n">
        <v>0.7</v>
      </c>
      <c r="C1084" s="31" t="n">
        <v>0</v>
      </c>
      <c r="D1084" s="31" t="n">
        <v>0</v>
      </c>
      <c r="E1084" s="27" t="inlineStr">
        <is>
          <t>ON 30%/1M 70%</t>
        </is>
      </c>
      <c r="F1084" s="27" t="n">
        <v>75</v>
      </c>
      <c r="G1084" s="27">
        <f>A1084*$B$7&gt;=$B$9</f>
        <v/>
      </c>
      <c r="H1084" s="13">
        <f>$B$7*(A1084*E$71+B1084*F$71+C1084*G$71+D1084*H$71)+F1084/100*$B$7*J$71-$C$71</f>
        <v/>
      </c>
      <c r="I1084" s="13">
        <f>$B$7*(A1084*L$71+B1084*M$71+C1084*N$71+D1084*O$71)+F1084/100*$B$7*Q$71-$C$71</f>
        <v/>
      </c>
      <c r="J1084" s="13">
        <f>$B$7*(A1084*S$71+B1084*T$71+C1084*U$71+D1084*V$71)+F1084/100*$B$7*X$71-$C$71</f>
        <v/>
      </c>
      <c r="K1084" s="13">
        <f>$B$7*(A1084*Z$71+B1084*AA$71+C1084*AB$71+D1084*AC$71)+F1084/100*$B$7*AE$71-$C$71</f>
        <v/>
      </c>
      <c r="L1084" s="13">
        <f>$B$7*(A1084*AG$71+B1084*AH$71+C1084*AI$71+D1084*AJ$71)+F1084/100*$B$7*AL$71-$C$71</f>
        <v/>
      </c>
      <c r="M1084" s="13">
        <f>$B$7*(A1084*AN$71+B1084*AO$71+C1084*AP$71+D1084*AQ$71)+F1084/100*$B$7*AS$71-$C$71</f>
        <v/>
      </c>
      <c r="N1084" s="13">
        <f>SUMPRODUCT($H$24:$M$24,H1084:M1084)</f>
        <v/>
      </c>
      <c r="O1084" s="14">
        <f>SQRT(SUMPRODUCT($H$24:$M$24,(H1084:M1084-N1084)^2))</f>
        <v/>
      </c>
      <c r="P1084" s="13">
        <f>MIN(H1084:M1084)</f>
        <v/>
      </c>
      <c r="Q1084" s="13">
        <f>MAX(H1084:M1084)</f>
        <v/>
      </c>
      <c r="R1084" s="27">
        <f>IF(G1084,SUMPRODUCT(($G$76:$G$1505)*($N$76:$N$1505&gt;=N1084)*($O$76:$O$1505&lt;=O1084))=1,FALSE)</f>
        <v/>
      </c>
      <c r="S1084" s="16">
        <f>IF(R1084,ABS((O1084-$AC$76)/MAX(0.0001,$AC$77-$AC$76)-(N1084-$AC$78)/MAX(0.0001,$AC$79-$AC$78)),-1)</f>
        <v/>
      </c>
      <c r="T1084" s="14">
        <f>IF(G1084,O1084,NA())</f>
        <v/>
      </c>
      <c r="U1084" s="13">
        <f>IF(G1084,N1084,NA())</f>
        <v/>
      </c>
      <c r="V1084" s="14">
        <f>IF(R1084,O1084,NA())</f>
        <v/>
      </c>
      <c r="W1084" s="13">
        <f>IF(R1084,N1084,NA())</f>
        <v/>
      </c>
      <c r="X1084" s="27">
        <f>IF(G1084,P1084,"")</f>
        <v/>
      </c>
      <c r="Y1084" s="27">
        <f>IF(G1084,N1084,"")</f>
        <v/>
      </c>
      <c r="Z1084" s="27">
        <f>IF(R1084,O1084,"")</f>
        <v/>
      </c>
      <c r="AA1084" s="27">
        <f>IF(R1084,N1084,"")</f>
        <v/>
      </c>
    </row>
    <row r="1085">
      <c r="A1085" s="31" t="n">
        <v>0.3</v>
      </c>
      <c r="B1085" s="31" t="n">
        <v>0.7</v>
      </c>
      <c r="C1085" s="31" t="n">
        <v>0</v>
      </c>
      <c r="D1085" s="31" t="n">
        <v>0</v>
      </c>
      <c r="E1085" s="27" t="inlineStr">
        <is>
          <t>ON 30%/1M 70%</t>
        </is>
      </c>
      <c r="F1085" s="27" t="n">
        <v>100</v>
      </c>
      <c r="G1085" s="27">
        <f>A1085*$B$7&gt;=$B$9</f>
        <v/>
      </c>
      <c r="H1085" s="13">
        <f>$B$7*(A1085*E$71+B1085*F$71+C1085*G$71+D1085*H$71)+F1085/100*$B$7*J$71-$C$71</f>
        <v/>
      </c>
      <c r="I1085" s="13">
        <f>$B$7*(A1085*L$71+B1085*M$71+C1085*N$71+D1085*O$71)+F1085/100*$B$7*Q$71-$C$71</f>
        <v/>
      </c>
      <c r="J1085" s="13">
        <f>$B$7*(A1085*S$71+B1085*T$71+C1085*U$71+D1085*V$71)+F1085/100*$B$7*X$71-$C$71</f>
        <v/>
      </c>
      <c r="K1085" s="13">
        <f>$B$7*(A1085*Z$71+B1085*AA$71+C1085*AB$71+D1085*AC$71)+F1085/100*$B$7*AE$71-$C$71</f>
        <v/>
      </c>
      <c r="L1085" s="13">
        <f>$B$7*(A1085*AG$71+B1085*AH$71+C1085*AI$71+D1085*AJ$71)+F1085/100*$B$7*AL$71-$C$71</f>
        <v/>
      </c>
      <c r="M1085" s="13">
        <f>$B$7*(A1085*AN$71+B1085*AO$71+C1085*AP$71+D1085*AQ$71)+F1085/100*$B$7*AS$71-$C$71</f>
        <v/>
      </c>
      <c r="N1085" s="13">
        <f>SUMPRODUCT($H$24:$M$24,H1085:M1085)</f>
        <v/>
      </c>
      <c r="O1085" s="14">
        <f>SQRT(SUMPRODUCT($H$24:$M$24,(H1085:M1085-N1085)^2))</f>
        <v/>
      </c>
      <c r="P1085" s="13">
        <f>MIN(H1085:M1085)</f>
        <v/>
      </c>
      <c r="Q1085" s="13">
        <f>MAX(H1085:M1085)</f>
        <v/>
      </c>
      <c r="R1085" s="27">
        <f>IF(G1085,SUMPRODUCT(($G$76:$G$1505)*($N$76:$N$1505&gt;=N1085)*($O$76:$O$1505&lt;=O1085))=1,FALSE)</f>
        <v/>
      </c>
      <c r="S1085" s="16">
        <f>IF(R1085,ABS((O1085-$AC$76)/MAX(0.0001,$AC$77-$AC$76)-(N1085-$AC$78)/MAX(0.0001,$AC$79-$AC$78)),-1)</f>
        <v/>
      </c>
      <c r="T1085" s="14">
        <f>IF(G1085,O1085,NA())</f>
        <v/>
      </c>
      <c r="U1085" s="13">
        <f>IF(G1085,N1085,NA())</f>
        <v/>
      </c>
      <c r="V1085" s="14">
        <f>IF(R1085,O1085,NA())</f>
        <v/>
      </c>
      <c r="W1085" s="13">
        <f>IF(R1085,N1085,NA())</f>
        <v/>
      </c>
      <c r="X1085" s="27">
        <f>IF(G1085,P1085,"")</f>
        <v/>
      </c>
      <c r="Y1085" s="27">
        <f>IF(G1085,N1085,"")</f>
        <v/>
      </c>
      <c r="Z1085" s="27">
        <f>IF(R1085,O1085,"")</f>
        <v/>
      </c>
      <c r="AA1085" s="27">
        <f>IF(R1085,N1085,"")</f>
        <v/>
      </c>
    </row>
    <row r="1086">
      <c r="A1086" s="31" t="n">
        <v>0.4</v>
      </c>
      <c r="B1086" s="31" t="n">
        <v>0</v>
      </c>
      <c r="C1086" s="31" t="n">
        <v>0</v>
      </c>
      <c r="D1086" s="31" t="n">
        <v>0.6</v>
      </c>
      <c r="E1086" s="27" t="inlineStr">
        <is>
          <t>ON 40%/3M 60%</t>
        </is>
      </c>
      <c r="F1086" s="27" t="n">
        <v>0</v>
      </c>
      <c r="G1086" s="27">
        <f>A1086*$B$7&gt;=$B$9</f>
        <v/>
      </c>
      <c r="H1086" s="13">
        <f>$B$7*(A1086*E$71+B1086*F$71+C1086*G$71+D1086*H$71)+F1086/100*$B$7*J$71-$C$71</f>
        <v/>
      </c>
      <c r="I1086" s="13">
        <f>$B$7*(A1086*L$71+B1086*M$71+C1086*N$71+D1086*O$71)+F1086/100*$B$7*Q$71-$C$71</f>
        <v/>
      </c>
      <c r="J1086" s="13">
        <f>$B$7*(A1086*S$71+B1086*T$71+C1086*U$71+D1086*V$71)+F1086/100*$B$7*X$71-$C$71</f>
        <v/>
      </c>
      <c r="K1086" s="13">
        <f>$B$7*(A1086*Z$71+B1086*AA$71+C1086*AB$71+D1086*AC$71)+F1086/100*$B$7*AE$71-$C$71</f>
        <v/>
      </c>
      <c r="L1086" s="13">
        <f>$B$7*(A1086*AG$71+B1086*AH$71+C1086*AI$71+D1086*AJ$71)+F1086/100*$B$7*AL$71-$C$71</f>
        <v/>
      </c>
      <c r="M1086" s="13">
        <f>$B$7*(A1086*AN$71+B1086*AO$71+C1086*AP$71+D1086*AQ$71)+F1086/100*$B$7*AS$71-$C$71</f>
        <v/>
      </c>
      <c r="N1086" s="13">
        <f>SUMPRODUCT($H$24:$M$24,H1086:M1086)</f>
        <v/>
      </c>
      <c r="O1086" s="14">
        <f>SQRT(SUMPRODUCT($H$24:$M$24,(H1086:M1086-N1086)^2))</f>
        <v/>
      </c>
      <c r="P1086" s="13">
        <f>MIN(H1086:M1086)</f>
        <v/>
      </c>
      <c r="Q1086" s="13">
        <f>MAX(H1086:M1086)</f>
        <v/>
      </c>
      <c r="R1086" s="27">
        <f>IF(G1086,SUMPRODUCT(($G$76:$G$1505)*($N$76:$N$1505&gt;=N1086)*($O$76:$O$1505&lt;=O1086))=1,FALSE)</f>
        <v/>
      </c>
      <c r="S1086" s="16">
        <f>IF(R1086,ABS((O1086-$AC$76)/MAX(0.0001,$AC$77-$AC$76)-(N1086-$AC$78)/MAX(0.0001,$AC$79-$AC$78)),-1)</f>
        <v/>
      </c>
      <c r="T1086" s="14">
        <f>IF(G1086,O1086,NA())</f>
        <v/>
      </c>
      <c r="U1086" s="13">
        <f>IF(G1086,N1086,NA())</f>
        <v/>
      </c>
      <c r="V1086" s="14">
        <f>IF(R1086,O1086,NA())</f>
        <v/>
      </c>
      <c r="W1086" s="13">
        <f>IF(R1086,N1086,NA())</f>
        <v/>
      </c>
      <c r="X1086" s="27">
        <f>IF(G1086,P1086,"")</f>
        <v/>
      </c>
      <c r="Y1086" s="27">
        <f>IF(G1086,N1086,"")</f>
        <v/>
      </c>
      <c r="Z1086" s="27">
        <f>IF(R1086,O1086,"")</f>
        <v/>
      </c>
      <c r="AA1086" s="27">
        <f>IF(R1086,N1086,"")</f>
        <v/>
      </c>
    </row>
    <row r="1087">
      <c r="A1087" s="31" t="n">
        <v>0.4</v>
      </c>
      <c r="B1087" s="31" t="n">
        <v>0</v>
      </c>
      <c r="C1087" s="31" t="n">
        <v>0</v>
      </c>
      <c r="D1087" s="31" t="n">
        <v>0.6</v>
      </c>
      <c r="E1087" s="27" t="inlineStr">
        <is>
          <t>ON 40%/3M 60%</t>
        </is>
      </c>
      <c r="F1087" s="27" t="n">
        <v>25</v>
      </c>
      <c r="G1087" s="27">
        <f>A1087*$B$7&gt;=$B$9</f>
        <v/>
      </c>
      <c r="H1087" s="13">
        <f>$B$7*(A1087*E$71+B1087*F$71+C1087*G$71+D1087*H$71)+F1087/100*$B$7*J$71-$C$71</f>
        <v/>
      </c>
      <c r="I1087" s="13">
        <f>$B$7*(A1087*L$71+B1087*M$71+C1087*N$71+D1087*O$71)+F1087/100*$B$7*Q$71-$C$71</f>
        <v/>
      </c>
      <c r="J1087" s="13">
        <f>$B$7*(A1087*S$71+B1087*T$71+C1087*U$71+D1087*V$71)+F1087/100*$B$7*X$71-$C$71</f>
        <v/>
      </c>
      <c r="K1087" s="13">
        <f>$B$7*(A1087*Z$71+B1087*AA$71+C1087*AB$71+D1087*AC$71)+F1087/100*$B$7*AE$71-$C$71</f>
        <v/>
      </c>
      <c r="L1087" s="13">
        <f>$B$7*(A1087*AG$71+B1087*AH$71+C1087*AI$71+D1087*AJ$71)+F1087/100*$B$7*AL$71-$C$71</f>
        <v/>
      </c>
      <c r="M1087" s="13">
        <f>$B$7*(A1087*AN$71+B1087*AO$71+C1087*AP$71+D1087*AQ$71)+F1087/100*$B$7*AS$71-$C$71</f>
        <v/>
      </c>
      <c r="N1087" s="13">
        <f>SUMPRODUCT($H$24:$M$24,H1087:M1087)</f>
        <v/>
      </c>
      <c r="O1087" s="14">
        <f>SQRT(SUMPRODUCT($H$24:$M$24,(H1087:M1087-N1087)^2))</f>
        <v/>
      </c>
      <c r="P1087" s="13">
        <f>MIN(H1087:M1087)</f>
        <v/>
      </c>
      <c r="Q1087" s="13">
        <f>MAX(H1087:M1087)</f>
        <v/>
      </c>
      <c r="R1087" s="27">
        <f>IF(G1087,SUMPRODUCT(($G$76:$G$1505)*($N$76:$N$1505&gt;=N1087)*($O$76:$O$1505&lt;=O1087))=1,FALSE)</f>
        <v/>
      </c>
      <c r="S1087" s="16">
        <f>IF(R1087,ABS((O1087-$AC$76)/MAX(0.0001,$AC$77-$AC$76)-(N1087-$AC$78)/MAX(0.0001,$AC$79-$AC$78)),-1)</f>
        <v/>
      </c>
      <c r="T1087" s="14">
        <f>IF(G1087,O1087,NA())</f>
        <v/>
      </c>
      <c r="U1087" s="13">
        <f>IF(G1087,N1087,NA())</f>
        <v/>
      </c>
      <c r="V1087" s="14">
        <f>IF(R1087,O1087,NA())</f>
        <v/>
      </c>
      <c r="W1087" s="13">
        <f>IF(R1087,N1087,NA())</f>
        <v/>
      </c>
      <c r="X1087" s="27">
        <f>IF(G1087,P1087,"")</f>
        <v/>
      </c>
      <c r="Y1087" s="27">
        <f>IF(G1087,N1087,"")</f>
        <v/>
      </c>
      <c r="Z1087" s="27">
        <f>IF(R1087,O1087,"")</f>
        <v/>
      </c>
      <c r="AA1087" s="27">
        <f>IF(R1087,N1087,"")</f>
        <v/>
      </c>
    </row>
    <row r="1088">
      <c r="A1088" s="31" t="n">
        <v>0.4</v>
      </c>
      <c r="B1088" s="31" t="n">
        <v>0</v>
      </c>
      <c r="C1088" s="31" t="n">
        <v>0</v>
      </c>
      <c r="D1088" s="31" t="n">
        <v>0.6</v>
      </c>
      <c r="E1088" s="27" t="inlineStr">
        <is>
          <t>ON 40%/3M 60%</t>
        </is>
      </c>
      <c r="F1088" s="27" t="n">
        <v>50</v>
      </c>
      <c r="G1088" s="27">
        <f>A1088*$B$7&gt;=$B$9</f>
        <v/>
      </c>
      <c r="H1088" s="13">
        <f>$B$7*(A1088*E$71+B1088*F$71+C1088*G$71+D1088*H$71)+F1088/100*$B$7*J$71-$C$71</f>
        <v/>
      </c>
      <c r="I1088" s="13">
        <f>$B$7*(A1088*L$71+B1088*M$71+C1088*N$71+D1088*O$71)+F1088/100*$B$7*Q$71-$C$71</f>
        <v/>
      </c>
      <c r="J1088" s="13">
        <f>$B$7*(A1088*S$71+B1088*T$71+C1088*U$71+D1088*V$71)+F1088/100*$B$7*X$71-$C$71</f>
        <v/>
      </c>
      <c r="K1088" s="13">
        <f>$B$7*(A1088*Z$71+B1088*AA$71+C1088*AB$71+D1088*AC$71)+F1088/100*$B$7*AE$71-$C$71</f>
        <v/>
      </c>
      <c r="L1088" s="13">
        <f>$B$7*(A1088*AG$71+B1088*AH$71+C1088*AI$71+D1088*AJ$71)+F1088/100*$B$7*AL$71-$C$71</f>
        <v/>
      </c>
      <c r="M1088" s="13">
        <f>$B$7*(A1088*AN$71+B1088*AO$71+C1088*AP$71+D1088*AQ$71)+F1088/100*$B$7*AS$71-$C$71</f>
        <v/>
      </c>
      <c r="N1088" s="13">
        <f>SUMPRODUCT($H$24:$M$24,H1088:M1088)</f>
        <v/>
      </c>
      <c r="O1088" s="14">
        <f>SQRT(SUMPRODUCT($H$24:$M$24,(H1088:M1088-N1088)^2))</f>
        <v/>
      </c>
      <c r="P1088" s="13">
        <f>MIN(H1088:M1088)</f>
        <v/>
      </c>
      <c r="Q1088" s="13">
        <f>MAX(H1088:M1088)</f>
        <v/>
      </c>
      <c r="R1088" s="27">
        <f>IF(G1088,SUMPRODUCT(($G$76:$G$1505)*($N$76:$N$1505&gt;=N1088)*($O$76:$O$1505&lt;=O1088))=1,FALSE)</f>
        <v/>
      </c>
      <c r="S1088" s="16">
        <f>IF(R1088,ABS((O1088-$AC$76)/MAX(0.0001,$AC$77-$AC$76)-(N1088-$AC$78)/MAX(0.0001,$AC$79-$AC$78)),-1)</f>
        <v/>
      </c>
      <c r="T1088" s="14">
        <f>IF(G1088,O1088,NA())</f>
        <v/>
      </c>
      <c r="U1088" s="13">
        <f>IF(G1088,N1088,NA())</f>
        <v/>
      </c>
      <c r="V1088" s="14">
        <f>IF(R1088,O1088,NA())</f>
        <v/>
      </c>
      <c r="W1088" s="13">
        <f>IF(R1088,N1088,NA())</f>
        <v/>
      </c>
      <c r="X1088" s="27">
        <f>IF(G1088,P1088,"")</f>
        <v/>
      </c>
      <c r="Y1088" s="27">
        <f>IF(G1088,N1088,"")</f>
        <v/>
      </c>
      <c r="Z1088" s="27">
        <f>IF(R1088,O1088,"")</f>
        <v/>
      </c>
      <c r="AA1088" s="27">
        <f>IF(R1088,N1088,"")</f>
        <v/>
      </c>
    </row>
    <row r="1089">
      <c r="A1089" s="31" t="n">
        <v>0.4</v>
      </c>
      <c r="B1089" s="31" t="n">
        <v>0</v>
      </c>
      <c r="C1089" s="31" t="n">
        <v>0</v>
      </c>
      <c r="D1089" s="31" t="n">
        <v>0.6</v>
      </c>
      <c r="E1089" s="27" t="inlineStr">
        <is>
          <t>ON 40%/3M 60%</t>
        </is>
      </c>
      <c r="F1089" s="27" t="n">
        <v>75</v>
      </c>
      <c r="G1089" s="27">
        <f>A1089*$B$7&gt;=$B$9</f>
        <v/>
      </c>
      <c r="H1089" s="13">
        <f>$B$7*(A1089*E$71+B1089*F$71+C1089*G$71+D1089*H$71)+F1089/100*$B$7*J$71-$C$71</f>
        <v/>
      </c>
      <c r="I1089" s="13">
        <f>$B$7*(A1089*L$71+B1089*M$71+C1089*N$71+D1089*O$71)+F1089/100*$B$7*Q$71-$C$71</f>
        <v/>
      </c>
      <c r="J1089" s="13">
        <f>$B$7*(A1089*S$71+B1089*T$71+C1089*U$71+D1089*V$71)+F1089/100*$B$7*X$71-$C$71</f>
        <v/>
      </c>
      <c r="K1089" s="13">
        <f>$B$7*(A1089*Z$71+B1089*AA$71+C1089*AB$71+D1089*AC$71)+F1089/100*$B$7*AE$71-$C$71</f>
        <v/>
      </c>
      <c r="L1089" s="13">
        <f>$B$7*(A1089*AG$71+B1089*AH$71+C1089*AI$71+D1089*AJ$71)+F1089/100*$B$7*AL$71-$C$71</f>
        <v/>
      </c>
      <c r="M1089" s="13">
        <f>$B$7*(A1089*AN$71+B1089*AO$71+C1089*AP$71+D1089*AQ$71)+F1089/100*$B$7*AS$71-$C$71</f>
        <v/>
      </c>
      <c r="N1089" s="13">
        <f>SUMPRODUCT($H$24:$M$24,H1089:M1089)</f>
        <v/>
      </c>
      <c r="O1089" s="14">
        <f>SQRT(SUMPRODUCT($H$24:$M$24,(H1089:M1089-N1089)^2))</f>
        <v/>
      </c>
      <c r="P1089" s="13">
        <f>MIN(H1089:M1089)</f>
        <v/>
      </c>
      <c r="Q1089" s="13">
        <f>MAX(H1089:M1089)</f>
        <v/>
      </c>
      <c r="R1089" s="27">
        <f>IF(G1089,SUMPRODUCT(($G$76:$G$1505)*($N$76:$N$1505&gt;=N1089)*($O$76:$O$1505&lt;=O1089))=1,FALSE)</f>
        <v/>
      </c>
      <c r="S1089" s="16">
        <f>IF(R1089,ABS((O1089-$AC$76)/MAX(0.0001,$AC$77-$AC$76)-(N1089-$AC$78)/MAX(0.0001,$AC$79-$AC$78)),-1)</f>
        <v/>
      </c>
      <c r="T1089" s="14">
        <f>IF(G1089,O1089,NA())</f>
        <v/>
      </c>
      <c r="U1089" s="13">
        <f>IF(G1089,N1089,NA())</f>
        <v/>
      </c>
      <c r="V1089" s="14">
        <f>IF(R1089,O1089,NA())</f>
        <v/>
      </c>
      <c r="W1089" s="13">
        <f>IF(R1089,N1089,NA())</f>
        <v/>
      </c>
      <c r="X1089" s="27">
        <f>IF(G1089,P1089,"")</f>
        <v/>
      </c>
      <c r="Y1089" s="27">
        <f>IF(G1089,N1089,"")</f>
        <v/>
      </c>
      <c r="Z1089" s="27">
        <f>IF(R1089,O1089,"")</f>
        <v/>
      </c>
      <c r="AA1089" s="27">
        <f>IF(R1089,N1089,"")</f>
        <v/>
      </c>
    </row>
    <row r="1090">
      <c r="A1090" s="31" t="n">
        <v>0.4</v>
      </c>
      <c r="B1090" s="31" t="n">
        <v>0</v>
      </c>
      <c r="C1090" s="31" t="n">
        <v>0</v>
      </c>
      <c r="D1090" s="31" t="n">
        <v>0.6</v>
      </c>
      <c r="E1090" s="27" t="inlineStr">
        <is>
          <t>ON 40%/3M 60%</t>
        </is>
      </c>
      <c r="F1090" s="27" t="n">
        <v>100</v>
      </c>
      <c r="G1090" s="27">
        <f>A1090*$B$7&gt;=$B$9</f>
        <v/>
      </c>
      <c r="H1090" s="13">
        <f>$B$7*(A1090*E$71+B1090*F$71+C1090*G$71+D1090*H$71)+F1090/100*$B$7*J$71-$C$71</f>
        <v/>
      </c>
      <c r="I1090" s="13">
        <f>$B$7*(A1090*L$71+B1090*M$71+C1090*N$71+D1090*O$71)+F1090/100*$B$7*Q$71-$C$71</f>
        <v/>
      </c>
      <c r="J1090" s="13">
        <f>$B$7*(A1090*S$71+B1090*T$71+C1090*U$71+D1090*V$71)+F1090/100*$B$7*X$71-$C$71</f>
        <v/>
      </c>
      <c r="K1090" s="13">
        <f>$B$7*(A1090*Z$71+B1090*AA$71+C1090*AB$71+D1090*AC$71)+F1090/100*$B$7*AE$71-$C$71</f>
        <v/>
      </c>
      <c r="L1090" s="13">
        <f>$B$7*(A1090*AG$71+B1090*AH$71+C1090*AI$71+D1090*AJ$71)+F1090/100*$B$7*AL$71-$C$71</f>
        <v/>
      </c>
      <c r="M1090" s="13">
        <f>$B$7*(A1090*AN$71+B1090*AO$71+C1090*AP$71+D1090*AQ$71)+F1090/100*$B$7*AS$71-$C$71</f>
        <v/>
      </c>
      <c r="N1090" s="13">
        <f>SUMPRODUCT($H$24:$M$24,H1090:M1090)</f>
        <v/>
      </c>
      <c r="O1090" s="14">
        <f>SQRT(SUMPRODUCT($H$24:$M$24,(H1090:M1090-N1090)^2))</f>
        <v/>
      </c>
      <c r="P1090" s="13">
        <f>MIN(H1090:M1090)</f>
        <v/>
      </c>
      <c r="Q1090" s="13">
        <f>MAX(H1090:M1090)</f>
        <v/>
      </c>
      <c r="R1090" s="27">
        <f>IF(G1090,SUMPRODUCT(($G$76:$G$1505)*($N$76:$N$1505&gt;=N1090)*($O$76:$O$1505&lt;=O1090))=1,FALSE)</f>
        <v/>
      </c>
      <c r="S1090" s="16">
        <f>IF(R1090,ABS((O1090-$AC$76)/MAX(0.0001,$AC$77-$AC$76)-(N1090-$AC$78)/MAX(0.0001,$AC$79-$AC$78)),-1)</f>
        <v/>
      </c>
      <c r="T1090" s="14">
        <f>IF(G1090,O1090,NA())</f>
        <v/>
      </c>
      <c r="U1090" s="13">
        <f>IF(G1090,N1090,NA())</f>
        <v/>
      </c>
      <c r="V1090" s="14">
        <f>IF(R1090,O1090,NA())</f>
        <v/>
      </c>
      <c r="W1090" s="13">
        <f>IF(R1090,N1090,NA())</f>
        <v/>
      </c>
      <c r="X1090" s="27">
        <f>IF(G1090,P1090,"")</f>
        <v/>
      </c>
      <c r="Y1090" s="27">
        <f>IF(G1090,N1090,"")</f>
        <v/>
      </c>
      <c r="Z1090" s="27">
        <f>IF(R1090,O1090,"")</f>
        <v/>
      </c>
      <c r="AA1090" s="27">
        <f>IF(R1090,N1090,"")</f>
        <v/>
      </c>
    </row>
    <row r="1091">
      <c r="A1091" s="31" t="n">
        <v>0.4</v>
      </c>
      <c r="B1091" s="31" t="n">
        <v>0</v>
      </c>
      <c r="C1091" s="31" t="n">
        <v>0.1</v>
      </c>
      <c r="D1091" s="31" t="n">
        <v>0.5</v>
      </c>
      <c r="E1091" s="27" t="inlineStr">
        <is>
          <t>ON 40%/2M 10%/3M 50%</t>
        </is>
      </c>
      <c r="F1091" s="27" t="n">
        <v>0</v>
      </c>
      <c r="G1091" s="27">
        <f>A1091*$B$7&gt;=$B$9</f>
        <v/>
      </c>
      <c r="H1091" s="13">
        <f>$B$7*(A1091*E$71+B1091*F$71+C1091*G$71+D1091*H$71)+F1091/100*$B$7*J$71-$C$71</f>
        <v/>
      </c>
      <c r="I1091" s="13">
        <f>$B$7*(A1091*L$71+B1091*M$71+C1091*N$71+D1091*O$71)+F1091/100*$B$7*Q$71-$C$71</f>
        <v/>
      </c>
      <c r="J1091" s="13">
        <f>$B$7*(A1091*S$71+B1091*T$71+C1091*U$71+D1091*V$71)+F1091/100*$B$7*X$71-$C$71</f>
        <v/>
      </c>
      <c r="K1091" s="13">
        <f>$B$7*(A1091*Z$71+B1091*AA$71+C1091*AB$71+D1091*AC$71)+F1091/100*$B$7*AE$71-$C$71</f>
        <v/>
      </c>
      <c r="L1091" s="13">
        <f>$B$7*(A1091*AG$71+B1091*AH$71+C1091*AI$71+D1091*AJ$71)+F1091/100*$B$7*AL$71-$C$71</f>
        <v/>
      </c>
      <c r="M1091" s="13">
        <f>$B$7*(A1091*AN$71+B1091*AO$71+C1091*AP$71+D1091*AQ$71)+F1091/100*$B$7*AS$71-$C$71</f>
        <v/>
      </c>
      <c r="N1091" s="13">
        <f>SUMPRODUCT($H$24:$M$24,H1091:M1091)</f>
        <v/>
      </c>
      <c r="O1091" s="14">
        <f>SQRT(SUMPRODUCT($H$24:$M$24,(H1091:M1091-N1091)^2))</f>
        <v/>
      </c>
      <c r="P1091" s="13">
        <f>MIN(H1091:M1091)</f>
        <v/>
      </c>
      <c r="Q1091" s="13">
        <f>MAX(H1091:M1091)</f>
        <v/>
      </c>
      <c r="R1091" s="27">
        <f>IF(G1091,SUMPRODUCT(($G$76:$G$1505)*($N$76:$N$1505&gt;=N1091)*($O$76:$O$1505&lt;=O1091))=1,FALSE)</f>
        <v/>
      </c>
      <c r="S1091" s="16">
        <f>IF(R1091,ABS((O1091-$AC$76)/MAX(0.0001,$AC$77-$AC$76)-(N1091-$AC$78)/MAX(0.0001,$AC$79-$AC$78)),-1)</f>
        <v/>
      </c>
      <c r="T1091" s="14">
        <f>IF(G1091,O1091,NA())</f>
        <v/>
      </c>
      <c r="U1091" s="13">
        <f>IF(G1091,N1091,NA())</f>
        <v/>
      </c>
      <c r="V1091" s="14">
        <f>IF(R1091,O1091,NA())</f>
        <v/>
      </c>
      <c r="W1091" s="13">
        <f>IF(R1091,N1091,NA())</f>
        <v/>
      </c>
      <c r="X1091" s="27">
        <f>IF(G1091,P1091,"")</f>
        <v/>
      </c>
      <c r="Y1091" s="27">
        <f>IF(G1091,N1091,"")</f>
        <v/>
      </c>
      <c r="Z1091" s="27">
        <f>IF(R1091,O1091,"")</f>
        <v/>
      </c>
      <c r="AA1091" s="27">
        <f>IF(R1091,N1091,"")</f>
        <v/>
      </c>
    </row>
    <row r="1092">
      <c r="A1092" s="31" t="n">
        <v>0.4</v>
      </c>
      <c r="B1092" s="31" t="n">
        <v>0</v>
      </c>
      <c r="C1092" s="31" t="n">
        <v>0.1</v>
      </c>
      <c r="D1092" s="31" t="n">
        <v>0.5</v>
      </c>
      <c r="E1092" s="27" t="inlineStr">
        <is>
          <t>ON 40%/2M 10%/3M 50%</t>
        </is>
      </c>
      <c r="F1092" s="27" t="n">
        <v>25</v>
      </c>
      <c r="G1092" s="27">
        <f>A1092*$B$7&gt;=$B$9</f>
        <v/>
      </c>
      <c r="H1092" s="13">
        <f>$B$7*(A1092*E$71+B1092*F$71+C1092*G$71+D1092*H$71)+F1092/100*$B$7*J$71-$C$71</f>
        <v/>
      </c>
      <c r="I1092" s="13">
        <f>$B$7*(A1092*L$71+B1092*M$71+C1092*N$71+D1092*O$71)+F1092/100*$B$7*Q$71-$C$71</f>
        <v/>
      </c>
      <c r="J1092" s="13">
        <f>$B$7*(A1092*S$71+B1092*T$71+C1092*U$71+D1092*V$71)+F1092/100*$B$7*X$71-$C$71</f>
        <v/>
      </c>
      <c r="K1092" s="13">
        <f>$B$7*(A1092*Z$71+B1092*AA$71+C1092*AB$71+D1092*AC$71)+F1092/100*$B$7*AE$71-$C$71</f>
        <v/>
      </c>
      <c r="L1092" s="13">
        <f>$B$7*(A1092*AG$71+B1092*AH$71+C1092*AI$71+D1092*AJ$71)+F1092/100*$B$7*AL$71-$C$71</f>
        <v/>
      </c>
      <c r="M1092" s="13">
        <f>$B$7*(A1092*AN$71+B1092*AO$71+C1092*AP$71+D1092*AQ$71)+F1092/100*$B$7*AS$71-$C$71</f>
        <v/>
      </c>
      <c r="N1092" s="13">
        <f>SUMPRODUCT($H$24:$M$24,H1092:M1092)</f>
        <v/>
      </c>
      <c r="O1092" s="14">
        <f>SQRT(SUMPRODUCT($H$24:$M$24,(H1092:M1092-N1092)^2))</f>
        <v/>
      </c>
      <c r="P1092" s="13">
        <f>MIN(H1092:M1092)</f>
        <v/>
      </c>
      <c r="Q1092" s="13">
        <f>MAX(H1092:M1092)</f>
        <v/>
      </c>
      <c r="R1092" s="27">
        <f>IF(G1092,SUMPRODUCT(($G$76:$G$1505)*($N$76:$N$1505&gt;=N1092)*($O$76:$O$1505&lt;=O1092))=1,FALSE)</f>
        <v/>
      </c>
      <c r="S1092" s="16">
        <f>IF(R1092,ABS((O1092-$AC$76)/MAX(0.0001,$AC$77-$AC$76)-(N1092-$AC$78)/MAX(0.0001,$AC$79-$AC$78)),-1)</f>
        <v/>
      </c>
      <c r="T1092" s="14">
        <f>IF(G1092,O1092,NA())</f>
        <v/>
      </c>
      <c r="U1092" s="13">
        <f>IF(G1092,N1092,NA())</f>
        <v/>
      </c>
      <c r="V1092" s="14">
        <f>IF(R1092,O1092,NA())</f>
        <v/>
      </c>
      <c r="W1092" s="13">
        <f>IF(R1092,N1092,NA())</f>
        <v/>
      </c>
      <c r="X1092" s="27">
        <f>IF(G1092,P1092,"")</f>
        <v/>
      </c>
      <c r="Y1092" s="27">
        <f>IF(G1092,N1092,"")</f>
        <v/>
      </c>
      <c r="Z1092" s="27">
        <f>IF(R1092,O1092,"")</f>
        <v/>
      </c>
      <c r="AA1092" s="27">
        <f>IF(R1092,N1092,"")</f>
        <v/>
      </c>
    </row>
    <row r="1093">
      <c r="A1093" s="31" t="n">
        <v>0.4</v>
      </c>
      <c r="B1093" s="31" t="n">
        <v>0</v>
      </c>
      <c r="C1093" s="31" t="n">
        <v>0.1</v>
      </c>
      <c r="D1093" s="31" t="n">
        <v>0.5</v>
      </c>
      <c r="E1093" s="27" t="inlineStr">
        <is>
          <t>ON 40%/2M 10%/3M 50%</t>
        </is>
      </c>
      <c r="F1093" s="27" t="n">
        <v>50</v>
      </c>
      <c r="G1093" s="27">
        <f>A1093*$B$7&gt;=$B$9</f>
        <v/>
      </c>
      <c r="H1093" s="13">
        <f>$B$7*(A1093*E$71+B1093*F$71+C1093*G$71+D1093*H$71)+F1093/100*$B$7*J$71-$C$71</f>
        <v/>
      </c>
      <c r="I1093" s="13">
        <f>$B$7*(A1093*L$71+B1093*M$71+C1093*N$71+D1093*O$71)+F1093/100*$B$7*Q$71-$C$71</f>
        <v/>
      </c>
      <c r="J1093" s="13">
        <f>$B$7*(A1093*S$71+B1093*T$71+C1093*U$71+D1093*V$71)+F1093/100*$B$7*X$71-$C$71</f>
        <v/>
      </c>
      <c r="K1093" s="13">
        <f>$B$7*(A1093*Z$71+B1093*AA$71+C1093*AB$71+D1093*AC$71)+F1093/100*$B$7*AE$71-$C$71</f>
        <v/>
      </c>
      <c r="L1093" s="13">
        <f>$B$7*(A1093*AG$71+B1093*AH$71+C1093*AI$71+D1093*AJ$71)+F1093/100*$B$7*AL$71-$C$71</f>
        <v/>
      </c>
      <c r="M1093" s="13">
        <f>$B$7*(A1093*AN$71+B1093*AO$71+C1093*AP$71+D1093*AQ$71)+F1093/100*$B$7*AS$71-$C$71</f>
        <v/>
      </c>
      <c r="N1093" s="13">
        <f>SUMPRODUCT($H$24:$M$24,H1093:M1093)</f>
        <v/>
      </c>
      <c r="O1093" s="14">
        <f>SQRT(SUMPRODUCT($H$24:$M$24,(H1093:M1093-N1093)^2))</f>
        <v/>
      </c>
      <c r="P1093" s="13">
        <f>MIN(H1093:M1093)</f>
        <v/>
      </c>
      <c r="Q1093" s="13">
        <f>MAX(H1093:M1093)</f>
        <v/>
      </c>
      <c r="R1093" s="27">
        <f>IF(G1093,SUMPRODUCT(($G$76:$G$1505)*($N$76:$N$1505&gt;=N1093)*($O$76:$O$1505&lt;=O1093))=1,FALSE)</f>
        <v/>
      </c>
      <c r="S1093" s="16">
        <f>IF(R1093,ABS((O1093-$AC$76)/MAX(0.0001,$AC$77-$AC$76)-(N1093-$AC$78)/MAX(0.0001,$AC$79-$AC$78)),-1)</f>
        <v/>
      </c>
      <c r="T1093" s="14">
        <f>IF(G1093,O1093,NA())</f>
        <v/>
      </c>
      <c r="U1093" s="13">
        <f>IF(G1093,N1093,NA())</f>
        <v/>
      </c>
      <c r="V1093" s="14">
        <f>IF(R1093,O1093,NA())</f>
        <v/>
      </c>
      <c r="W1093" s="13">
        <f>IF(R1093,N1093,NA())</f>
        <v/>
      </c>
      <c r="X1093" s="27">
        <f>IF(G1093,P1093,"")</f>
        <v/>
      </c>
      <c r="Y1093" s="27">
        <f>IF(G1093,N1093,"")</f>
        <v/>
      </c>
      <c r="Z1093" s="27">
        <f>IF(R1093,O1093,"")</f>
        <v/>
      </c>
      <c r="AA1093" s="27">
        <f>IF(R1093,N1093,"")</f>
        <v/>
      </c>
    </row>
    <row r="1094">
      <c r="A1094" s="31" t="n">
        <v>0.4</v>
      </c>
      <c r="B1094" s="31" t="n">
        <v>0</v>
      </c>
      <c r="C1094" s="31" t="n">
        <v>0.1</v>
      </c>
      <c r="D1094" s="31" t="n">
        <v>0.5</v>
      </c>
      <c r="E1094" s="27" t="inlineStr">
        <is>
          <t>ON 40%/2M 10%/3M 50%</t>
        </is>
      </c>
      <c r="F1094" s="27" t="n">
        <v>75</v>
      </c>
      <c r="G1094" s="27">
        <f>A1094*$B$7&gt;=$B$9</f>
        <v/>
      </c>
      <c r="H1094" s="13">
        <f>$B$7*(A1094*E$71+B1094*F$71+C1094*G$71+D1094*H$71)+F1094/100*$B$7*J$71-$C$71</f>
        <v/>
      </c>
      <c r="I1094" s="13">
        <f>$B$7*(A1094*L$71+B1094*M$71+C1094*N$71+D1094*O$71)+F1094/100*$B$7*Q$71-$C$71</f>
        <v/>
      </c>
      <c r="J1094" s="13">
        <f>$B$7*(A1094*S$71+B1094*T$71+C1094*U$71+D1094*V$71)+F1094/100*$B$7*X$71-$C$71</f>
        <v/>
      </c>
      <c r="K1094" s="13">
        <f>$B$7*(A1094*Z$71+B1094*AA$71+C1094*AB$71+D1094*AC$71)+F1094/100*$B$7*AE$71-$C$71</f>
        <v/>
      </c>
      <c r="L1094" s="13">
        <f>$B$7*(A1094*AG$71+B1094*AH$71+C1094*AI$71+D1094*AJ$71)+F1094/100*$B$7*AL$71-$C$71</f>
        <v/>
      </c>
      <c r="M1094" s="13">
        <f>$B$7*(A1094*AN$71+B1094*AO$71+C1094*AP$71+D1094*AQ$71)+F1094/100*$B$7*AS$71-$C$71</f>
        <v/>
      </c>
      <c r="N1094" s="13">
        <f>SUMPRODUCT($H$24:$M$24,H1094:M1094)</f>
        <v/>
      </c>
      <c r="O1094" s="14">
        <f>SQRT(SUMPRODUCT($H$24:$M$24,(H1094:M1094-N1094)^2))</f>
        <v/>
      </c>
      <c r="P1094" s="13">
        <f>MIN(H1094:M1094)</f>
        <v/>
      </c>
      <c r="Q1094" s="13">
        <f>MAX(H1094:M1094)</f>
        <v/>
      </c>
      <c r="R1094" s="27">
        <f>IF(G1094,SUMPRODUCT(($G$76:$G$1505)*($N$76:$N$1505&gt;=N1094)*($O$76:$O$1505&lt;=O1094))=1,FALSE)</f>
        <v/>
      </c>
      <c r="S1094" s="16">
        <f>IF(R1094,ABS((O1094-$AC$76)/MAX(0.0001,$AC$77-$AC$76)-(N1094-$AC$78)/MAX(0.0001,$AC$79-$AC$78)),-1)</f>
        <v/>
      </c>
      <c r="T1094" s="14">
        <f>IF(G1094,O1094,NA())</f>
        <v/>
      </c>
      <c r="U1094" s="13">
        <f>IF(G1094,N1094,NA())</f>
        <v/>
      </c>
      <c r="V1094" s="14">
        <f>IF(R1094,O1094,NA())</f>
        <v/>
      </c>
      <c r="W1094" s="13">
        <f>IF(R1094,N1094,NA())</f>
        <v/>
      </c>
      <c r="X1094" s="27">
        <f>IF(G1094,P1094,"")</f>
        <v/>
      </c>
      <c r="Y1094" s="27">
        <f>IF(G1094,N1094,"")</f>
        <v/>
      </c>
      <c r="Z1094" s="27">
        <f>IF(R1094,O1094,"")</f>
        <v/>
      </c>
      <c r="AA1094" s="27">
        <f>IF(R1094,N1094,"")</f>
        <v/>
      </c>
    </row>
    <row r="1095">
      <c r="A1095" s="31" t="n">
        <v>0.4</v>
      </c>
      <c r="B1095" s="31" t="n">
        <v>0</v>
      </c>
      <c r="C1095" s="31" t="n">
        <v>0.1</v>
      </c>
      <c r="D1095" s="31" t="n">
        <v>0.5</v>
      </c>
      <c r="E1095" s="27" t="inlineStr">
        <is>
          <t>ON 40%/2M 10%/3M 50%</t>
        </is>
      </c>
      <c r="F1095" s="27" t="n">
        <v>100</v>
      </c>
      <c r="G1095" s="27">
        <f>A1095*$B$7&gt;=$B$9</f>
        <v/>
      </c>
      <c r="H1095" s="13">
        <f>$B$7*(A1095*E$71+B1095*F$71+C1095*G$71+D1095*H$71)+F1095/100*$B$7*J$71-$C$71</f>
        <v/>
      </c>
      <c r="I1095" s="13">
        <f>$B$7*(A1095*L$71+B1095*M$71+C1095*N$71+D1095*O$71)+F1095/100*$B$7*Q$71-$C$71</f>
        <v/>
      </c>
      <c r="J1095" s="13">
        <f>$B$7*(A1095*S$71+B1095*T$71+C1095*U$71+D1095*V$71)+F1095/100*$B$7*X$71-$C$71</f>
        <v/>
      </c>
      <c r="K1095" s="13">
        <f>$B$7*(A1095*Z$71+B1095*AA$71+C1095*AB$71+D1095*AC$71)+F1095/100*$B$7*AE$71-$C$71</f>
        <v/>
      </c>
      <c r="L1095" s="13">
        <f>$B$7*(A1095*AG$71+B1095*AH$71+C1095*AI$71+D1095*AJ$71)+F1095/100*$B$7*AL$71-$C$71</f>
        <v/>
      </c>
      <c r="M1095" s="13">
        <f>$B$7*(A1095*AN$71+B1095*AO$71+C1095*AP$71+D1095*AQ$71)+F1095/100*$B$7*AS$71-$C$71</f>
        <v/>
      </c>
      <c r="N1095" s="13">
        <f>SUMPRODUCT($H$24:$M$24,H1095:M1095)</f>
        <v/>
      </c>
      <c r="O1095" s="14">
        <f>SQRT(SUMPRODUCT($H$24:$M$24,(H1095:M1095-N1095)^2))</f>
        <v/>
      </c>
      <c r="P1095" s="13">
        <f>MIN(H1095:M1095)</f>
        <v/>
      </c>
      <c r="Q1095" s="13">
        <f>MAX(H1095:M1095)</f>
        <v/>
      </c>
      <c r="R1095" s="27">
        <f>IF(G1095,SUMPRODUCT(($G$76:$G$1505)*($N$76:$N$1505&gt;=N1095)*($O$76:$O$1505&lt;=O1095))=1,FALSE)</f>
        <v/>
      </c>
      <c r="S1095" s="16">
        <f>IF(R1095,ABS((O1095-$AC$76)/MAX(0.0001,$AC$77-$AC$76)-(N1095-$AC$78)/MAX(0.0001,$AC$79-$AC$78)),-1)</f>
        <v/>
      </c>
      <c r="T1095" s="14">
        <f>IF(G1095,O1095,NA())</f>
        <v/>
      </c>
      <c r="U1095" s="13">
        <f>IF(G1095,N1095,NA())</f>
        <v/>
      </c>
      <c r="V1095" s="14">
        <f>IF(R1095,O1095,NA())</f>
        <v/>
      </c>
      <c r="W1095" s="13">
        <f>IF(R1095,N1095,NA())</f>
        <v/>
      </c>
      <c r="X1095" s="27">
        <f>IF(G1095,P1095,"")</f>
        <v/>
      </c>
      <c r="Y1095" s="27">
        <f>IF(G1095,N1095,"")</f>
        <v/>
      </c>
      <c r="Z1095" s="27">
        <f>IF(R1095,O1095,"")</f>
        <v/>
      </c>
      <c r="AA1095" s="27">
        <f>IF(R1095,N1095,"")</f>
        <v/>
      </c>
    </row>
    <row r="1096">
      <c r="A1096" s="31" t="n">
        <v>0.4</v>
      </c>
      <c r="B1096" s="31" t="n">
        <v>0</v>
      </c>
      <c r="C1096" s="31" t="n">
        <v>0.2</v>
      </c>
      <c r="D1096" s="31" t="n">
        <v>0.4</v>
      </c>
      <c r="E1096" s="27" t="inlineStr">
        <is>
          <t>ON 40%/2M 20%/3M 40%</t>
        </is>
      </c>
      <c r="F1096" s="27" t="n">
        <v>0</v>
      </c>
      <c r="G1096" s="27">
        <f>A1096*$B$7&gt;=$B$9</f>
        <v/>
      </c>
      <c r="H1096" s="13">
        <f>$B$7*(A1096*E$71+B1096*F$71+C1096*G$71+D1096*H$71)+F1096/100*$B$7*J$71-$C$71</f>
        <v/>
      </c>
      <c r="I1096" s="13">
        <f>$B$7*(A1096*L$71+B1096*M$71+C1096*N$71+D1096*O$71)+F1096/100*$B$7*Q$71-$C$71</f>
        <v/>
      </c>
      <c r="J1096" s="13">
        <f>$B$7*(A1096*S$71+B1096*T$71+C1096*U$71+D1096*V$71)+F1096/100*$B$7*X$71-$C$71</f>
        <v/>
      </c>
      <c r="K1096" s="13">
        <f>$B$7*(A1096*Z$71+B1096*AA$71+C1096*AB$71+D1096*AC$71)+F1096/100*$B$7*AE$71-$C$71</f>
        <v/>
      </c>
      <c r="L1096" s="13">
        <f>$B$7*(A1096*AG$71+B1096*AH$71+C1096*AI$71+D1096*AJ$71)+F1096/100*$B$7*AL$71-$C$71</f>
        <v/>
      </c>
      <c r="M1096" s="13">
        <f>$B$7*(A1096*AN$71+B1096*AO$71+C1096*AP$71+D1096*AQ$71)+F1096/100*$B$7*AS$71-$C$71</f>
        <v/>
      </c>
      <c r="N1096" s="13">
        <f>SUMPRODUCT($H$24:$M$24,H1096:M1096)</f>
        <v/>
      </c>
      <c r="O1096" s="14">
        <f>SQRT(SUMPRODUCT($H$24:$M$24,(H1096:M1096-N1096)^2))</f>
        <v/>
      </c>
      <c r="P1096" s="13">
        <f>MIN(H1096:M1096)</f>
        <v/>
      </c>
      <c r="Q1096" s="13">
        <f>MAX(H1096:M1096)</f>
        <v/>
      </c>
      <c r="R1096" s="27">
        <f>IF(G1096,SUMPRODUCT(($G$76:$G$1505)*($N$76:$N$1505&gt;=N1096)*($O$76:$O$1505&lt;=O1096))=1,FALSE)</f>
        <v/>
      </c>
      <c r="S1096" s="16">
        <f>IF(R1096,ABS((O1096-$AC$76)/MAX(0.0001,$AC$77-$AC$76)-(N1096-$AC$78)/MAX(0.0001,$AC$79-$AC$78)),-1)</f>
        <v/>
      </c>
      <c r="T1096" s="14">
        <f>IF(G1096,O1096,NA())</f>
        <v/>
      </c>
      <c r="U1096" s="13">
        <f>IF(G1096,N1096,NA())</f>
        <v/>
      </c>
      <c r="V1096" s="14">
        <f>IF(R1096,O1096,NA())</f>
        <v/>
      </c>
      <c r="W1096" s="13">
        <f>IF(R1096,N1096,NA())</f>
        <v/>
      </c>
      <c r="X1096" s="27">
        <f>IF(G1096,P1096,"")</f>
        <v/>
      </c>
      <c r="Y1096" s="27">
        <f>IF(G1096,N1096,"")</f>
        <v/>
      </c>
      <c r="Z1096" s="27">
        <f>IF(R1096,O1096,"")</f>
        <v/>
      </c>
      <c r="AA1096" s="27">
        <f>IF(R1096,N1096,"")</f>
        <v/>
      </c>
    </row>
    <row r="1097">
      <c r="A1097" s="31" t="n">
        <v>0.4</v>
      </c>
      <c r="B1097" s="31" t="n">
        <v>0</v>
      </c>
      <c r="C1097" s="31" t="n">
        <v>0.2</v>
      </c>
      <c r="D1097" s="31" t="n">
        <v>0.4</v>
      </c>
      <c r="E1097" s="27" t="inlineStr">
        <is>
          <t>ON 40%/2M 20%/3M 40%</t>
        </is>
      </c>
      <c r="F1097" s="27" t="n">
        <v>25</v>
      </c>
      <c r="G1097" s="27">
        <f>A1097*$B$7&gt;=$B$9</f>
        <v/>
      </c>
      <c r="H1097" s="13">
        <f>$B$7*(A1097*E$71+B1097*F$71+C1097*G$71+D1097*H$71)+F1097/100*$B$7*J$71-$C$71</f>
        <v/>
      </c>
      <c r="I1097" s="13">
        <f>$B$7*(A1097*L$71+B1097*M$71+C1097*N$71+D1097*O$71)+F1097/100*$B$7*Q$71-$C$71</f>
        <v/>
      </c>
      <c r="J1097" s="13">
        <f>$B$7*(A1097*S$71+B1097*T$71+C1097*U$71+D1097*V$71)+F1097/100*$B$7*X$71-$C$71</f>
        <v/>
      </c>
      <c r="K1097" s="13">
        <f>$B$7*(A1097*Z$71+B1097*AA$71+C1097*AB$71+D1097*AC$71)+F1097/100*$B$7*AE$71-$C$71</f>
        <v/>
      </c>
      <c r="L1097" s="13">
        <f>$B$7*(A1097*AG$71+B1097*AH$71+C1097*AI$71+D1097*AJ$71)+F1097/100*$B$7*AL$71-$C$71</f>
        <v/>
      </c>
      <c r="M1097" s="13">
        <f>$B$7*(A1097*AN$71+B1097*AO$71+C1097*AP$71+D1097*AQ$71)+F1097/100*$B$7*AS$71-$C$71</f>
        <v/>
      </c>
      <c r="N1097" s="13">
        <f>SUMPRODUCT($H$24:$M$24,H1097:M1097)</f>
        <v/>
      </c>
      <c r="O1097" s="14">
        <f>SQRT(SUMPRODUCT($H$24:$M$24,(H1097:M1097-N1097)^2))</f>
        <v/>
      </c>
      <c r="P1097" s="13">
        <f>MIN(H1097:M1097)</f>
        <v/>
      </c>
      <c r="Q1097" s="13">
        <f>MAX(H1097:M1097)</f>
        <v/>
      </c>
      <c r="R1097" s="27">
        <f>IF(G1097,SUMPRODUCT(($G$76:$G$1505)*($N$76:$N$1505&gt;=N1097)*($O$76:$O$1505&lt;=O1097))=1,FALSE)</f>
        <v/>
      </c>
      <c r="S1097" s="16">
        <f>IF(R1097,ABS((O1097-$AC$76)/MAX(0.0001,$AC$77-$AC$76)-(N1097-$AC$78)/MAX(0.0001,$AC$79-$AC$78)),-1)</f>
        <v/>
      </c>
      <c r="T1097" s="14">
        <f>IF(G1097,O1097,NA())</f>
        <v/>
      </c>
      <c r="U1097" s="13">
        <f>IF(G1097,N1097,NA())</f>
        <v/>
      </c>
      <c r="V1097" s="14">
        <f>IF(R1097,O1097,NA())</f>
        <v/>
      </c>
      <c r="W1097" s="13">
        <f>IF(R1097,N1097,NA())</f>
        <v/>
      </c>
      <c r="X1097" s="27">
        <f>IF(G1097,P1097,"")</f>
        <v/>
      </c>
      <c r="Y1097" s="27">
        <f>IF(G1097,N1097,"")</f>
        <v/>
      </c>
      <c r="Z1097" s="27">
        <f>IF(R1097,O1097,"")</f>
        <v/>
      </c>
      <c r="AA1097" s="27">
        <f>IF(R1097,N1097,"")</f>
        <v/>
      </c>
    </row>
    <row r="1098">
      <c r="A1098" s="31" t="n">
        <v>0.4</v>
      </c>
      <c r="B1098" s="31" t="n">
        <v>0</v>
      </c>
      <c r="C1098" s="31" t="n">
        <v>0.2</v>
      </c>
      <c r="D1098" s="31" t="n">
        <v>0.4</v>
      </c>
      <c r="E1098" s="27" t="inlineStr">
        <is>
          <t>ON 40%/2M 20%/3M 40%</t>
        </is>
      </c>
      <c r="F1098" s="27" t="n">
        <v>50</v>
      </c>
      <c r="G1098" s="27">
        <f>A1098*$B$7&gt;=$B$9</f>
        <v/>
      </c>
      <c r="H1098" s="13">
        <f>$B$7*(A1098*E$71+B1098*F$71+C1098*G$71+D1098*H$71)+F1098/100*$B$7*J$71-$C$71</f>
        <v/>
      </c>
      <c r="I1098" s="13">
        <f>$B$7*(A1098*L$71+B1098*M$71+C1098*N$71+D1098*O$71)+F1098/100*$B$7*Q$71-$C$71</f>
        <v/>
      </c>
      <c r="J1098" s="13">
        <f>$B$7*(A1098*S$71+B1098*T$71+C1098*U$71+D1098*V$71)+F1098/100*$B$7*X$71-$C$71</f>
        <v/>
      </c>
      <c r="K1098" s="13">
        <f>$B$7*(A1098*Z$71+B1098*AA$71+C1098*AB$71+D1098*AC$71)+F1098/100*$B$7*AE$71-$C$71</f>
        <v/>
      </c>
      <c r="L1098" s="13">
        <f>$B$7*(A1098*AG$71+B1098*AH$71+C1098*AI$71+D1098*AJ$71)+F1098/100*$B$7*AL$71-$C$71</f>
        <v/>
      </c>
      <c r="M1098" s="13">
        <f>$B$7*(A1098*AN$71+B1098*AO$71+C1098*AP$71+D1098*AQ$71)+F1098/100*$B$7*AS$71-$C$71</f>
        <v/>
      </c>
      <c r="N1098" s="13">
        <f>SUMPRODUCT($H$24:$M$24,H1098:M1098)</f>
        <v/>
      </c>
      <c r="O1098" s="14">
        <f>SQRT(SUMPRODUCT($H$24:$M$24,(H1098:M1098-N1098)^2))</f>
        <v/>
      </c>
      <c r="P1098" s="13">
        <f>MIN(H1098:M1098)</f>
        <v/>
      </c>
      <c r="Q1098" s="13">
        <f>MAX(H1098:M1098)</f>
        <v/>
      </c>
      <c r="R1098" s="27">
        <f>IF(G1098,SUMPRODUCT(($G$76:$G$1505)*($N$76:$N$1505&gt;=N1098)*($O$76:$O$1505&lt;=O1098))=1,FALSE)</f>
        <v/>
      </c>
      <c r="S1098" s="16">
        <f>IF(R1098,ABS((O1098-$AC$76)/MAX(0.0001,$AC$77-$AC$76)-(N1098-$AC$78)/MAX(0.0001,$AC$79-$AC$78)),-1)</f>
        <v/>
      </c>
      <c r="T1098" s="14">
        <f>IF(G1098,O1098,NA())</f>
        <v/>
      </c>
      <c r="U1098" s="13">
        <f>IF(G1098,N1098,NA())</f>
        <v/>
      </c>
      <c r="V1098" s="14">
        <f>IF(R1098,O1098,NA())</f>
        <v/>
      </c>
      <c r="W1098" s="13">
        <f>IF(R1098,N1098,NA())</f>
        <v/>
      </c>
      <c r="X1098" s="27">
        <f>IF(G1098,P1098,"")</f>
        <v/>
      </c>
      <c r="Y1098" s="27">
        <f>IF(G1098,N1098,"")</f>
        <v/>
      </c>
      <c r="Z1098" s="27">
        <f>IF(R1098,O1098,"")</f>
        <v/>
      </c>
      <c r="AA1098" s="27">
        <f>IF(R1098,N1098,"")</f>
        <v/>
      </c>
    </row>
    <row r="1099">
      <c r="A1099" s="31" t="n">
        <v>0.4</v>
      </c>
      <c r="B1099" s="31" t="n">
        <v>0</v>
      </c>
      <c r="C1099" s="31" t="n">
        <v>0.2</v>
      </c>
      <c r="D1099" s="31" t="n">
        <v>0.4</v>
      </c>
      <c r="E1099" s="27" t="inlineStr">
        <is>
          <t>ON 40%/2M 20%/3M 40%</t>
        </is>
      </c>
      <c r="F1099" s="27" t="n">
        <v>75</v>
      </c>
      <c r="G1099" s="27">
        <f>A1099*$B$7&gt;=$B$9</f>
        <v/>
      </c>
      <c r="H1099" s="13">
        <f>$B$7*(A1099*E$71+B1099*F$71+C1099*G$71+D1099*H$71)+F1099/100*$B$7*J$71-$C$71</f>
        <v/>
      </c>
      <c r="I1099" s="13">
        <f>$B$7*(A1099*L$71+B1099*M$71+C1099*N$71+D1099*O$71)+F1099/100*$B$7*Q$71-$C$71</f>
        <v/>
      </c>
      <c r="J1099" s="13">
        <f>$B$7*(A1099*S$71+B1099*T$71+C1099*U$71+D1099*V$71)+F1099/100*$B$7*X$71-$C$71</f>
        <v/>
      </c>
      <c r="K1099" s="13">
        <f>$B$7*(A1099*Z$71+B1099*AA$71+C1099*AB$71+D1099*AC$71)+F1099/100*$B$7*AE$71-$C$71</f>
        <v/>
      </c>
      <c r="L1099" s="13">
        <f>$B$7*(A1099*AG$71+B1099*AH$71+C1099*AI$71+D1099*AJ$71)+F1099/100*$B$7*AL$71-$C$71</f>
        <v/>
      </c>
      <c r="M1099" s="13">
        <f>$B$7*(A1099*AN$71+B1099*AO$71+C1099*AP$71+D1099*AQ$71)+F1099/100*$B$7*AS$71-$C$71</f>
        <v/>
      </c>
      <c r="N1099" s="13">
        <f>SUMPRODUCT($H$24:$M$24,H1099:M1099)</f>
        <v/>
      </c>
      <c r="O1099" s="14">
        <f>SQRT(SUMPRODUCT($H$24:$M$24,(H1099:M1099-N1099)^2))</f>
        <v/>
      </c>
      <c r="P1099" s="13">
        <f>MIN(H1099:M1099)</f>
        <v/>
      </c>
      <c r="Q1099" s="13">
        <f>MAX(H1099:M1099)</f>
        <v/>
      </c>
      <c r="R1099" s="27">
        <f>IF(G1099,SUMPRODUCT(($G$76:$G$1505)*($N$76:$N$1505&gt;=N1099)*($O$76:$O$1505&lt;=O1099))=1,FALSE)</f>
        <v/>
      </c>
      <c r="S1099" s="16">
        <f>IF(R1099,ABS((O1099-$AC$76)/MAX(0.0001,$AC$77-$AC$76)-(N1099-$AC$78)/MAX(0.0001,$AC$79-$AC$78)),-1)</f>
        <v/>
      </c>
      <c r="T1099" s="14">
        <f>IF(G1099,O1099,NA())</f>
        <v/>
      </c>
      <c r="U1099" s="13">
        <f>IF(G1099,N1099,NA())</f>
        <v/>
      </c>
      <c r="V1099" s="14">
        <f>IF(R1099,O1099,NA())</f>
        <v/>
      </c>
      <c r="W1099" s="13">
        <f>IF(R1099,N1099,NA())</f>
        <v/>
      </c>
      <c r="X1099" s="27">
        <f>IF(G1099,P1099,"")</f>
        <v/>
      </c>
      <c r="Y1099" s="27">
        <f>IF(G1099,N1099,"")</f>
        <v/>
      </c>
      <c r="Z1099" s="27">
        <f>IF(R1099,O1099,"")</f>
        <v/>
      </c>
      <c r="AA1099" s="27">
        <f>IF(R1099,N1099,"")</f>
        <v/>
      </c>
    </row>
    <row r="1100">
      <c r="A1100" s="31" t="n">
        <v>0.4</v>
      </c>
      <c r="B1100" s="31" t="n">
        <v>0</v>
      </c>
      <c r="C1100" s="31" t="n">
        <v>0.2</v>
      </c>
      <c r="D1100" s="31" t="n">
        <v>0.4</v>
      </c>
      <c r="E1100" s="27" t="inlineStr">
        <is>
          <t>ON 40%/2M 20%/3M 40%</t>
        </is>
      </c>
      <c r="F1100" s="27" t="n">
        <v>100</v>
      </c>
      <c r="G1100" s="27">
        <f>A1100*$B$7&gt;=$B$9</f>
        <v/>
      </c>
      <c r="H1100" s="13">
        <f>$B$7*(A1100*E$71+B1100*F$71+C1100*G$71+D1100*H$71)+F1100/100*$B$7*J$71-$C$71</f>
        <v/>
      </c>
      <c r="I1100" s="13">
        <f>$B$7*(A1100*L$71+B1100*M$71+C1100*N$71+D1100*O$71)+F1100/100*$B$7*Q$71-$C$71</f>
        <v/>
      </c>
      <c r="J1100" s="13">
        <f>$B$7*(A1100*S$71+B1100*T$71+C1100*U$71+D1100*V$71)+F1100/100*$B$7*X$71-$C$71</f>
        <v/>
      </c>
      <c r="K1100" s="13">
        <f>$B$7*(A1100*Z$71+B1100*AA$71+C1100*AB$71+D1100*AC$71)+F1100/100*$B$7*AE$71-$C$71</f>
        <v/>
      </c>
      <c r="L1100" s="13">
        <f>$B$7*(A1100*AG$71+B1100*AH$71+C1100*AI$71+D1100*AJ$71)+F1100/100*$B$7*AL$71-$C$71</f>
        <v/>
      </c>
      <c r="M1100" s="13">
        <f>$B$7*(A1100*AN$71+B1100*AO$71+C1100*AP$71+D1100*AQ$71)+F1100/100*$B$7*AS$71-$C$71</f>
        <v/>
      </c>
      <c r="N1100" s="13">
        <f>SUMPRODUCT($H$24:$M$24,H1100:M1100)</f>
        <v/>
      </c>
      <c r="O1100" s="14">
        <f>SQRT(SUMPRODUCT($H$24:$M$24,(H1100:M1100-N1100)^2))</f>
        <v/>
      </c>
      <c r="P1100" s="13">
        <f>MIN(H1100:M1100)</f>
        <v/>
      </c>
      <c r="Q1100" s="13">
        <f>MAX(H1100:M1100)</f>
        <v/>
      </c>
      <c r="R1100" s="27">
        <f>IF(G1100,SUMPRODUCT(($G$76:$G$1505)*($N$76:$N$1505&gt;=N1100)*($O$76:$O$1505&lt;=O1100))=1,FALSE)</f>
        <v/>
      </c>
      <c r="S1100" s="16">
        <f>IF(R1100,ABS((O1100-$AC$76)/MAX(0.0001,$AC$77-$AC$76)-(N1100-$AC$78)/MAX(0.0001,$AC$79-$AC$78)),-1)</f>
        <v/>
      </c>
      <c r="T1100" s="14">
        <f>IF(G1100,O1100,NA())</f>
        <v/>
      </c>
      <c r="U1100" s="13">
        <f>IF(G1100,N1100,NA())</f>
        <v/>
      </c>
      <c r="V1100" s="14">
        <f>IF(R1100,O1100,NA())</f>
        <v/>
      </c>
      <c r="W1100" s="13">
        <f>IF(R1100,N1100,NA())</f>
        <v/>
      </c>
      <c r="X1100" s="27">
        <f>IF(G1100,P1100,"")</f>
        <v/>
      </c>
      <c r="Y1100" s="27">
        <f>IF(G1100,N1100,"")</f>
        <v/>
      </c>
      <c r="Z1100" s="27">
        <f>IF(R1100,O1100,"")</f>
        <v/>
      </c>
      <c r="AA1100" s="27">
        <f>IF(R1100,N1100,"")</f>
        <v/>
      </c>
    </row>
    <row r="1101">
      <c r="A1101" s="31" t="n">
        <v>0.4</v>
      </c>
      <c r="B1101" s="31" t="n">
        <v>0</v>
      </c>
      <c r="C1101" s="31" t="n">
        <v>0.3</v>
      </c>
      <c r="D1101" s="31" t="n">
        <v>0.3</v>
      </c>
      <c r="E1101" s="27" t="inlineStr">
        <is>
          <t>ON 40%/2M 30%/3M 30%</t>
        </is>
      </c>
      <c r="F1101" s="27" t="n">
        <v>0</v>
      </c>
      <c r="G1101" s="27">
        <f>A1101*$B$7&gt;=$B$9</f>
        <v/>
      </c>
      <c r="H1101" s="13">
        <f>$B$7*(A1101*E$71+B1101*F$71+C1101*G$71+D1101*H$71)+F1101/100*$B$7*J$71-$C$71</f>
        <v/>
      </c>
      <c r="I1101" s="13">
        <f>$B$7*(A1101*L$71+B1101*M$71+C1101*N$71+D1101*O$71)+F1101/100*$B$7*Q$71-$C$71</f>
        <v/>
      </c>
      <c r="J1101" s="13">
        <f>$B$7*(A1101*S$71+B1101*T$71+C1101*U$71+D1101*V$71)+F1101/100*$B$7*X$71-$C$71</f>
        <v/>
      </c>
      <c r="K1101" s="13">
        <f>$B$7*(A1101*Z$71+B1101*AA$71+C1101*AB$71+D1101*AC$71)+F1101/100*$B$7*AE$71-$C$71</f>
        <v/>
      </c>
      <c r="L1101" s="13">
        <f>$B$7*(A1101*AG$71+B1101*AH$71+C1101*AI$71+D1101*AJ$71)+F1101/100*$B$7*AL$71-$C$71</f>
        <v/>
      </c>
      <c r="M1101" s="13">
        <f>$B$7*(A1101*AN$71+B1101*AO$71+C1101*AP$71+D1101*AQ$71)+F1101/100*$B$7*AS$71-$C$71</f>
        <v/>
      </c>
      <c r="N1101" s="13">
        <f>SUMPRODUCT($H$24:$M$24,H1101:M1101)</f>
        <v/>
      </c>
      <c r="O1101" s="14">
        <f>SQRT(SUMPRODUCT($H$24:$M$24,(H1101:M1101-N1101)^2))</f>
        <v/>
      </c>
      <c r="P1101" s="13">
        <f>MIN(H1101:M1101)</f>
        <v/>
      </c>
      <c r="Q1101" s="13">
        <f>MAX(H1101:M1101)</f>
        <v/>
      </c>
      <c r="R1101" s="27">
        <f>IF(G1101,SUMPRODUCT(($G$76:$G$1505)*($N$76:$N$1505&gt;=N1101)*($O$76:$O$1505&lt;=O1101))=1,FALSE)</f>
        <v/>
      </c>
      <c r="S1101" s="16">
        <f>IF(R1101,ABS((O1101-$AC$76)/MAX(0.0001,$AC$77-$AC$76)-(N1101-$AC$78)/MAX(0.0001,$AC$79-$AC$78)),-1)</f>
        <v/>
      </c>
      <c r="T1101" s="14">
        <f>IF(G1101,O1101,NA())</f>
        <v/>
      </c>
      <c r="U1101" s="13">
        <f>IF(G1101,N1101,NA())</f>
        <v/>
      </c>
      <c r="V1101" s="14">
        <f>IF(R1101,O1101,NA())</f>
        <v/>
      </c>
      <c r="W1101" s="13">
        <f>IF(R1101,N1101,NA())</f>
        <v/>
      </c>
      <c r="X1101" s="27">
        <f>IF(G1101,P1101,"")</f>
        <v/>
      </c>
      <c r="Y1101" s="27">
        <f>IF(G1101,N1101,"")</f>
        <v/>
      </c>
      <c r="Z1101" s="27">
        <f>IF(R1101,O1101,"")</f>
        <v/>
      </c>
      <c r="AA1101" s="27">
        <f>IF(R1101,N1101,"")</f>
        <v/>
      </c>
    </row>
    <row r="1102">
      <c r="A1102" s="31" t="n">
        <v>0.4</v>
      </c>
      <c r="B1102" s="31" t="n">
        <v>0</v>
      </c>
      <c r="C1102" s="31" t="n">
        <v>0.3</v>
      </c>
      <c r="D1102" s="31" t="n">
        <v>0.3</v>
      </c>
      <c r="E1102" s="27" t="inlineStr">
        <is>
          <t>ON 40%/2M 30%/3M 30%</t>
        </is>
      </c>
      <c r="F1102" s="27" t="n">
        <v>25</v>
      </c>
      <c r="G1102" s="27">
        <f>A1102*$B$7&gt;=$B$9</f>
        <v/>
      </c>
      <c r="H1102" s="13">
        <f>$B$7*(A1102*E$71+B1102*F$71+C1102*G$71+D1102*H$71)+F1102/100*$B$7*J$71-$C$71</f>
        <v/>
      </c>
      <c r="I1102" s="13">
        <f>$B$7*(A1102*L$71+B1102*M$71+C1102*N$71+D1102*O$71)+F1102/100*$B$7*Q$71-$C$71</f>
        <v/>
      </c>
      <c r="J1102" s="13">
        <f>$B$7*(A1102*S$71+B1102*T$71+C1102*U$71+D1102*V$71)+F1102/100*$B$7*X$71-$C$71</f>
        <v/>
      </c>
      <c r="K1102" s="13">
        <f>$B$7*(A1102*Z$71+B1102*AA$71+C1102*AB$71+D1102*AC$71)+F1102/100*$B$7*AE$71-$C$71</f>
        <v/>
      </c>
      <c r="L1102" s="13">
        <f>$B$7*(A1102*AG$71+B1102*AH$71+C1102*AI$71+D1102*AJ$71)+F1102/100*$B$7*AL$71-$C$71</f>
        <v/>
      </c>
      <c r="M1102" s="13">
        <f>$B$7*(A1102*AN$71+B1102*AO$71+C1102*AP$71+D1102*AQ$71)+F1102/100*$B$7*AS$71-$C$71</f>
        <v/>
      </c>
      <c r="N1102" s="13">
        <f>SUMPRODUCT($H$24:$M$24,H1102:M1102)</f>
        <v/>
      </c>
      <c r="O1102" s="14">
        <f>SQRT(SUMPRODUCT($H$24:$M$24,(H1102:M1102-N1102)^2))</f>
        <v/>
      </c>
      <c r="P1102" s="13">
        <f>MIN(H1102:M1102)</f>
        <v/>
      </c>
      <c r="Q1102" s="13">
        <f>MAX(H1102:M1102)</f>
        <v/>
      </c>
      <c r="R1102" s="27">
        <f>IF(G1102,SUMPRODUCT(($G$76:$G$1505)*($N$76:$N$1505&gt;=N1102)*($O$76:$O$1505&lt;=O1102))=1,FALSE)</f>
        <v/>
      </c>
      <c r="S1102" s="16">
        <f>IF(R1102,ABS((O1102-$AC$76)/MAX(0.0001,$AC$77-$AC$76)-(N1102-$AC$78)/MAX(0.0001,$AC$79-$AC$78)),-1)</f>
        <v/>
      </c>
      <c r="T1102" s="14">
        <f>IF(G1102,O1102,NA())</f>
        <v/>
      </c>
      <c r="U1102" s="13">
        <f>IF(G1102,N1102,NA())</f>
        <v/>
      </c>
      <c r="V1102" s="14">
        <f>IF(R1102,O1102,NA())</f>
        <v/>
      </c>
      <c r="W1102" s="13">
        <f>IF(R1102,N1102,NA())</f>
        <v/>
      </c>
      <c r="X1102" s="27">
        <f>IF(G1102,P1102,"")</f>
        <v/>
      </c>
      <c r="Y1102" s="27">
        <f>IF(G1102,N1102,"")</f>
        <v/>
      </c>
      <c r="Z1102" s="27">
        <f>IF(R1102,O1102,"")</f>
        <v/>
      </c>
      <c r="AA1102" s="27">
        <f>IF(R1102,N1102,"")</f>
        <v/>
      </c>
    </row>
    <row r="1103">
      <c r="A1103" s="31" t="n">
        <v>0.4</v>
      </c>
      <c r="B1103" s="31" t="n">
        <v>0</v>
      </c>
      <c r="C1103" s="31" t="n">
        <v>0.3</v>
      </c>
      <c r="D1103" s="31" t="n">
        <v>0.3</v>
      </c>
      <c r="E1103" s="27" t="inlineStr">
        <is>
          <t>ON 40%/2M 30%/3M 30%</t>
        </is>
      </c>
      <c r="F1103" s="27" t="n">
        <v>50</v>
      </c>
      <c r="G1103" s="27">
        <f>A1103*$B$7&gt;=$B$9</f>
        <v/>
      </c>
      <c r="H1103" s="13">
        <f>$B$7*(A1103*E$71+B1103*F$71+C1103*G$71+D1103*H$71)+F1103/100*$B$7*J$71-$C$71</f>
        <v/>
      </c>
      <c r="I1103" s="13">
        <f>$B$7*(A1103*L$71+B1103*M$71+C1103*N$71+D1103*O$71)+F1103/100*$B$7*Q$71-$C$71</f>
        <v/>
      </c>
      <c r="J1103" s="13">
        <f>$B$7*(A1103*S$71+B1103*T$71+C1103*U$71+D1103*V$71)+F1103/100*$B$7*X$71-$C$71</f>
        <v/>
      </c>
      <c r="K1103" s="13">
        <f>$B$7*(A1103*Z$71+B1103*AA$71+C1103*AB$71+D1103*AC$71)+F1103/100*$B$7*AE$71-$C$71</f>
        <v/>
      </c>
      <c r="L1103" s="13">
        <f>$B$7*(A1103*AG$71+B1103*AH$71+C1103*AI$71+D1103*AJ$71)+F1103/100*$B$7*AL$71-$C$71</f>
        <v/>
      </c>
      <c r="M1103" s="13">
        <f>$B$7*(A1103*AN$71+B1103*AO$71+C1103*AP$71+D1103*AQ$71)+F1103/100*$B$7*AS$71-$C$71</f>
        <v/>
      </c>
      <c r="N1103" s="13">
        <f>SUMPRODUCT($H$24:$M$24,H1103:M1103)</f>
        <v/>
      </c>
      <c r="O1103" s="14">
        <f>SQRT(SUMPRODUCT($H$24:$M$24,(H1103:M1103-N1103)^2))</f>
        <v/>
      </c>
      <c r="P1103" s="13">
        <f>MIN(H1103:M1103)</f>
        <v/>
      </c>
      <c r="Q1103" s="13">
        <f>MAX(H1103:M1103)</f>
        <v/>
      </c>
      <c r="R1103" s="27">
        <f>IF(G1103,SUMPRODUCT(($G$76:$G$1505)*($N$76:$N$1505&gt;=N1103)*($O$76:$O$1505&lt;=O1103))=1,FALSE)</f>
        <v/>
      </c>
      <c r="S1103" s="16">
        <f>IF(R1103,ABS((O1103-$AC$76)/MAX(0.0001,$AC$77-$AC$76)-(N1103-$AC$78)/MAX(0.0001,$AC$79-$AC$78)),-1)</f>
        <v/>
      </c>
      <c r="T1103" s="14">
        <f>IF(G1103,O1103,NA())</f>
        <v/>
      </c>
      <c r="U1103" s="13">
        <f>IF(G1103,N1103,NA())</f>
        <v/>
      </c>
      <c r="V1103" s="14">
        <f>IF(R1103,O1103,NA())</f>
        <v/>
      </c>
      <c r="W1103" s="13">
        <f>IF(R1103,N1103,NA())</f>
        <v/>
      </c>
      <c r="X1103" s="27">
        <f>IF(G1103,P1103,"")</f>
        <v/>
      </c>
      <c r="Y1103" s="27">
        <f>IF(G1103,N1103,"")</f>
        <v/>
      </c>
      <c r="Z1103" s="27">
        <f>IF(R1103,O1103,"")</f>
        <v/>
      </c>
      <c r="AA1103" s="27">
        <f>IF(R1103,N1103,"")</f>
        <v/>
      </c>
    </row>
    <row r="1104">
      <c r="A1104" s="31" t="n">
        <v>0.4</v>
      </c>
      <c r="B1104" s="31" t="n">
        <v>0</v>
      </c>
      <c r="C1104" s="31" t="n">
        <v>0.3</v>
      </c>
      <c r="D1104" s="31" t="n">
        <v>0.3</v>
      </c>
      <c r="E1104" s="27" t="inlineStr">
        <is>
          <t>ON 40%/2M 30%/3M 30%</t>
        </is>
      </c>
      <c r="F1104" s="27" t="n">
        <v>75</v>
      </c>
      <c r="G1104" s="27">
        <f>A1104*$B$7&gt;=$B$9</f>
        <v/>
      </c>
      <c r="H1104" s="13">
        <f>$B$7*(A1104*E$71+B1104*F$71+C1104*G$71+D1104*H$71)+F1104/100*$B$7*J$71-$C$71</f>
        <v/>
      </c>
      <c r="I1104" s="13">
        <f>$B$7*(A1104*L$71+B1104*M$71+C1104*N$71+D1104*O$71)+F1104/100*$B$7*Q$71-$C$71</f>
        <v/>
      </c>
      <c r="J1104" s="13">
        <f>$B$7*(A1104*S$71+B1104*T$71+C1104*U$71+D1104*V$71)+F1104/100*$B$7*X$71-$C$71</f>
        <v/>
      </c>
      <c r="K1104" s="13">
        <f>$B$7*(A1104*Z$71+B1104*AA$71+C1104*AB$71+D1104*AC$71)+F1104/100*$B$7*AE$71-$C$71</f>
        <v/>
      </c>
      <c r="L1104" s="13">
        <f>$B$7*(A1104*AG$71+B1104*AH$71+C1104*AI$71+D1104*AJ$71)+F1104/100*$B$7*AL$71-$C$71</f>
        <v/>
      </c>
      <c r="M1104" s="13">
        <f>$B$7*(A1104*AN$71+B1104*AO$71+C1104*AP$71+D1104*AQ$71)+F1104/100*$B$7*AS$71-$C$71</f>
        <v/>
      </c>
      <c r="N1104" s="13">
        <f>SUMPRODUCT($H$24:$M$24,H1104:M1104)</f>
        <v/>
      </c>
      <c r="O1104" s="14">
        <f>SQRT(SUMPRODUCT($H$24:$M$24,(H1104:M1104-N1104)^2))</f>
        <v/>
      </c>
      <c r="P1104" s="13">
        <f>MIN(H1104:M1104)</f>
        <v/>
      </c>
      <c r="Q1104" s="13">
        <f>MAX(H1104:M1104)</f>
        <v/>
      </c>
      <c r="R1104" s="27">
        <f>IF(G1104,SUMPRODUCT(($G$76:$G$1505)*($N$76:$N$1505&gt;=N1104)*($O$76:$O$1505&lt;=O1104))=1,FALSE)</f>
        <v/>
      </c>
      <c r="S1104" s="16">
        <f>IF(R1104,ABS((O1104-$AC$76)/MAX(0.0001,$AC$77-$AC$76)-(N1104-$AC$78)/MAX(0.0001,$AC$79-$AC$78)),-1)</f>
        <v/>
      </c>
      <c r="T1104" s="14">
        <f>IF(G1104,O1104,NA())</f>
        <v/>
      </c>
      <c r="U1104" s="13">
        <f>IF(G1104,N1104,NA())</f>
        <v/>
      </c>
      <c r="V1104" s="14">
        <f>IF(R1104,O1104,NA())</f>
        <v/>
      </c>
      <c r="W1104" s="13">
        <f>IF(R1104,N1104,NA())</f>
        <v/>
      </c>
      <c r="X1104" s="27">
        <f>IF(G1104,P1104,"")</f>
        <v/>
      </c>
      <c r="Y1104" s="27">
        <f>IF(G1104,N1104,"")</f>
        <v/>
      </c>
      <c r="Z1104" s="27">
        <f>IF(R1104,O1104,"")</f>
        <v/>
      </c>
      <c r="AA1104" s="27">
        <f>IF(R1104,N1104,"")</f>
        <v/>
      </c>
    </row>
    <row r="1105">
      <c r="A1105" s="31" t="n">
        <v>0.4</v>
      </c>
      <c r="B1105" s="31" t="n">
        <v>0</v>
      </c>
      <c r="C1105" s="31" t="n">
        <v>0.3</v>
      </c>
      <c r="D1105" s="31" t="n">
        <v>0.3</v>
      </c>
      <c r="E1105" s="27" t="inlineStr">
        <is>
          <t>ON 40%/2M 30%/3M 30%</t>
        </is>
      </c>
      <c r="F1105" s="27" t="n">
        <v>100</v>
      </c>
      <c r="G1105" s="27">
        <f>A1105*$B$7&gt;=$B$9</f>
        <v/>
      </c>
      <c r="H1105" s="13">
        <f>$B$7*(A1105*E$71+B1105*F$71+C1105*G$71+D1105*H$71)+F1105/100*$B$7*J$71-$C$71</f>
        <v/>
      </c>
      <c r="I1105" s="13">
        <f>$B$7*(A1105*L$71+B1105*M$71+C1105*N$71+D1105*O$71)+F1105/100*$B$7*Q$71-$C$71</f>
        <v/>
      </c>
      <c r="J1105" s="13">
        <f>$B$7*(A1105*S$71+B1105*T$71+C1105*U$71+D1105*V$71)+F1105/100*$B$7*X$71-$C$71</f>
        <v/>
      </c>
      <c r="K1105" s="13">
        <f>$B$7*(A1105*Z$71+B1105*AA$71+C1105*AB$71+D1105*AC$71)+F1105/100*$B$7*AE$71-$C$71</f>
        <v/>
      </c>
      <c r="L1105" s="13">
        <f>$B$7*(A1105*AG$71+B1105*AH$71+C1105*AI$71+D1105*AJ$71)+F1105/100*$B$7*AL$71-$C$71</f>
        <v/>
      </c>
      <c r="M1105" s="13">
        <f>$B$7*(A1105*AN$71+B1105*AO$71+C1105*AP$71+D1105*AQ$71)+F1105/100*$B$7*AS$71-$C$71</f>
        <v/>
      </c>
      <c r="N1105" s="13">
        <f>SUMPRODUCT($H$24:$M$24,H1105:M1105)</f>
        <v/>
      </c>
      <c r="O1105" s="14">
        <f>SQRT(SUMPRODUCT($H$24:$M$24,(H1105:M1105-N1105)^2))</f>
        <v/>
      </c>
      <c r="P1105" s="13">
        <f>MIN(H1105:M1105)</f>
        <v/>
      </c>
      <c r="Q1105" s="13">
        <f>MAX(H1105:M1105)</f>
        <v/>
      </c>
      <c r="R1105" s="27">
        <f>IF(G1105,SUMPRODUCT(($G$76:$G$1505)*($N$76:$N$1505&gt;=N1105)*($O$76:$O$1505&lt;=O1105))=1,FALSE)</f>
        <v/>
      </c>
      <c r="S1105" s="16">
        <f>IF(R1105,ABS((O1105-$AC$76)/MAX(0.0001,$AC$77-$AC$76)-(N1105-$AC$78)/MAX(0.0001,$AC$79-$AC$78)),-1)</f>
        <v/>
      </c>
      <c r="T1105" s="14">
        <f>IF(G1105,O1105,NA())</f>
        <v/>
      </c>
      <c r="U1105" s="13">
        <f>IF(G1105,N1105,NA())</f>
        <v/>
      </c>
      <c r="V1105" s="14">
        <f>IF(R1105,O1105,NA())</f>
        <v/>
      </c>
      <c r="W1105" s="13">
        <f>IF(R1105,N1105,NA())</f>
        <v/>
      </c>
      <c r="X1105" s="27">
        <f>IF(G1105,P1105,"")</f>
        <v/>
      </c>
      <c r="Y1105" s="27">
        <f>IF(G1105,N1105,"")</f>
        <v/>
      </c>
      <c r="Z1105" s="27">
        <f>IF(R1105,O1105,"")</f>
        <v/>
      </c>
      <c r="AA1105" s="27">
        <f>IF(R1105,N1105,"")</f>
        <v/>
      </c>
    </row>
    <row r="1106">
      <c r="A1106" s="31" t="n">
        <v>0.4</v>
      </c>
      <c r="B1106" s="31" t="n">
        <v>0</v>
      </c>
      <c r="C1106" s="31" t="n">
        <v>0.4</v>
      </c>
      <c r="D1106" s="31" t="n">
        <v>0.2</v>
      </c>
      <c r="E1106" s="27" t="inlineStr">
        <is>
          <t>ON 40%/2M 40%/3M 20%</t>
        </is>
      </c>
      <c r="F1106" s="27" t="n">
        <v>0</v>
      </c>
      <c r="G1106" s="27">
        <f>A1106*$B$7&gt;=$B$9</f>
        <v/>
      </c>
      <c r="H1106" s="13">
        <f>$B$7*(A1106*E$71+B1106*F$71+C1106*G$71+D1106*H$71)+F1106/100*$B$7*J$71-$C$71</f>
        <v/>
      </c>
      <c r="I1106" s="13">
        <f>$B$7*(A1106*L$71+B1106*M$71+C1106*N$71+D1106*O$71)+F1106/100*$B$7*Q$71-$C$71</f>
        <v/>
      </c>
      <c r="J1106" s="13">
        <f>$B$7*(A1106*S$71+B1106*T$71+C1106*U$71+D1106*V$71)+F1106/100*$B$7*X$71-$C$71</f>
        <v/>
      </c>
      <c r="K1106" s="13">
        <f>$B$7*(A1106*Z$71+B1106*AA$71+C1106*AB$71+D1106*AC$71)+F1106/100*$B$7*AE$71-$C$71</f>
        <v/>
      </c>
      <c r="L1106" s="13">
        <f>$B$7*(A1106*AG$71+B1106*AH$71+C1106*AI$71+D1106*AJ$71)+F1106/100*$B$7*AL$71-$C$71</f>
        <v/>
      </c>
      <c r="M1106" s="13">
        <f>$B$7*(A1106*AN$71+B1106*AO$71+C1106*AP$71+D1106*AQ$71)+F1106/100*$B$7*AS$71-$C$71</f>
        <v/>
      </c>
      <c r="N1106" s="13">
        <f>SUMPRODUCT($H$24:$M$24,H1106:M1106)</f>
        <v/>
      </c>
      <c r="O1106" s="14">
        <f>SQRT(SUMPRODUCT($H$24:$M$24,(H1106:M1106-N1106)^2))</f>
        <v/>
      </c>
      <c r="P1106" s="13">
        <f>MIN(H1106:M1106)</f>
        <v/>
      </c>
      <c r="Q1106" s="13">
        <f>MAX(H1106:M1106)</f>
        <v/>
      </c>
      <c r="R1106" s="27">
        <f>IF(G1106,SUMPRODUCT(($G$76:$G$1505)*($N$76:$N$1505&gt;=N1106)*($O$76:$O$1505&lt;=O1106))=1,FALSE)</f>
        <v/>
      </c>
      <c r="S1106" s="16">
        <f>IF(R1106,ABS((O1106-$AC$76)/MAX(0.0001,$AC$77-$AC$76)-(N1106-$AC$78)/MAX(0.0001,$AC$79-$AC$78)),-1)</f>
        <v/>
      </c>
      <c r="T1106" s="14">
        <f>IF(G1106,O1106,NA())</f>
        <v/>
      </c>
      <c r="U1106" s="13">
        <f>IF(G1106,N1106,NA())</f>
        <v/>
      </c>
      <c r="V1106" s="14">
        <f>IF(R1106,O1106,NA())</f>
        <v/>
      </c>
      <c r="W1106" s="13">
        <f>IF(R1106,N1106,NA())</f>
        <v/>
      </c>
      <c r="X1106" s="27">
        <f>IF(G1106,P1106,"")</f>
        <v/>
      </c>
      <c r="Y1106" s="27">
        <f>IF(G1106,N1106,"")</f>
        <v/>
      </c>
      <c r="Z1106" s="27">
        <f>IF(R1106,O1106,"")</f>
        <v/>
      </c>
      <c r="AA1106" s="27">
        <f>IF(R1106,N1106,"")</f>
        <v/>
      </c>
    </row>
    <row r="1107">
      <c r="A1107" s="31" t="n">
        <v>0.4</v>
      </c>
      <c r="B1107" s="31" t="n">
        <v>0</v>
      </c>
      <c r="C1107" s="31" t="n">
        <v>0.4</v>
      </c>
      <c r="D1107" s="31" t="n">
        <v>0.2</v>
      </c>
      <c r="E1107" s="27" t="inlineStr">
        <is>
          <t>ON 40%/2M 40%/3M 20%</t>
        </is>
      </c>
      <c r="F1107" s="27" t="n">
        <v>25</v>
      </c>
      <c r="G1107" s="27">
        <f>A1107*$B$7&gt;=$B$9</f>
        <v/>
      </c>
      <c r="H1107" s="13">
        <f>$B$7*(A1107*E$71+B1107*F$71+C1107*G$71+D1107*H$71)+F1107/100*$B$7*J$71-$C$71</f>
        <v/>
      </c>
      <c r="I1107" s="13">
        <f>$B$7*(A1107*L$71+B1107*M$71+C1107*N$71+D1107*O$71)+F1107/100*$B$7*Q$71-$C$71</f>
        <v/>
      </c>
      <c r="J1107" s="13">
        <f>$B$7*(A1107*S$71+B1107*T$71+C1107*U$71+D1107*V$71)+F1107/100*$B$7*X$71-$C$71</f>
        <v/>
      </c>
      <c r="K1107" s="13">
        <f>$B$7*(A1107*Z$71+B1107*AA$71+C1107*AB$71+D1107*AC$71)+F1107/100*$B$7*AE$71-$C$71</f>
        <v/>
      </c>
      <c r="L1107" s="13">
        <f>$B$7*(A1107*AG$71+B1107*AH$71+C1107*AI$71+D1107*AJ$71)+F1107/100*$B$7*AL$71-$C$71</f>
        <v/>
      </c>
      <c r="M1107" s="13">
        <f>$B$7*(A1107*AN$71+B1107*AO$71+C1107*AP$71+D1107*AQ$71)+F1107/100*$B$7*AS$71-$C$71</f>
        <v/>
      </c>
      <c r="N1107" s="13">
        <f>SUMPRODUCT($H$24:$M$24,H1107:M1107)</f>
        <v/>
      </c>
      <c r="O1107" s="14">
        <f>SQRT(SUMPRODUCT($H$24:$M$24,(H1107:M1107-N1107)^2))</f>
        <v/>
      </c>
      <c r="P1107" s="13">
        <f>MIN(H1107:M1107)</f>
        <v/>
      </c>
      <c r="Q1107" s="13">
        <f>MAX(H1107:M1107)</f>
        <v/>
      </c>
      <c r="R1107" s="27">
        <f>IF(G1107,SUMPRODUCT(($G$76:$G$1505)*($N$76:$N$1505&gt;=N1107)*($O$76:$O$1505&lt;=O1107))=1,FALSE)</f>
        <v/>
      </c>
      <c r="S1107" s="16">
        <f>IF(R1107,ABS((O1107-$AC$76)/MAX(0.0001,$AC$77-$AC$76)-(N1107-$AC$78)/MAX(0.0001,$AC$79-$AC$78)),-1)</f>
        <v/>
      </c>
      <c r="T1107" s="14">
        <f>IF(G1107,O1107,NA())</f>
        <v/>
      </c>
      <c r="U1107" s="13">
        <f>IF(G1107,N1107,NA())</f>
        <v/>
      </c>
      <c r="V1107" s="14">
        <f>IF(R1107,O1107,NA())</f>
        <v/>
      </c>
      <c r="W1107" s="13">
        <f>IF(R1107,N1107,NA())</f>
        <v/>
      </c>
      <c r="X1107" s="27">
        <f>IF(G1107,P1107,"")</f>
        <v/>
      </c>
      <c r="Y1107" s="27">
        <f>IF(G1107,N1107,"")</f>
        <v/>
      </c>
      <c r="Z1107" s="27">
        <f>IF(R1107,O1107,"")</f>
        <v/>
      </c>
      <c r="AA1107" s="27">
        <f>IF(R1107,N1107,"")</f>
        <v/>
      </c>
    </row>
    <row r="1108">
      <c r="A1108" s="31" t="n">
        <v>0.4</v>
      </c>
      <c r="B1108" s="31" t="n">
        <v>0</v>
      </c>
      <c r="C1108" s="31" t="n">
        <v>0.4</v>
      </c>
      <c r="D1108" s="31" t="n">
        <v>0.2</v>
      </c>
      <c r="E1108" s="27" t="inlineStr">
        <is>
          <t>ON 40%/2M 40%/3M 20%</t>
        </is>
      </c>
      <c r="F1108" s="27" t="n">
        <v>50</v>
      </c>
      <c r="G1108" s="27">
        <f>A1108*$B$7&gt;=$B$9</f>
        <v/>
      </c>
      <c r="H1108" s="13">
        <f>$B$7*(A1108*E$71+B1108*F$71+C1108*G$71+D1108*H$71)+F1108/100*$B$7*J$71-$C$71</f>
        <v/>
      </c>
      <c r="I1108" s="13">
        <f>$B$7*(A1108*L$71+B1108*M$71+C1108*N$71+D1108*O$71)+F1108/100*$B$7*Q$71-$C$71</f>
        <v/>
      </c>
      <c r="J1108" s="13">
        <f>$B$7*(A1108*S$71+B1108*T$71+C1108*U$71+D1108*V$71)+F1108/100*$B$7*X$71-$C$71</f>
        <v/>
      </c>
      <c r="K1108" s="13">
        <f>$B$7*(A1108*Z$71+B1108*AA$71+C1108*AB$71+D1108*AC$71)+F1108/100*$B$7*AE$71-$C$71</f>
        <v/>
      </c>
      <c r="L1108" s="13">
        <f>$B$7*(A1108*AG$71+B1108*AH$71+C1108*AI$71+D1108*AJ$71)+F1108/100*$B$7*AL$71-$C$71</f>
        <v/>
      </c>
      <c r="M1108" s="13">
        <f>$B$7*(A1108*AN$71+B1108*AO$71+C1108*AP$71+D1108*AQ$71)+F1108/100*$B$7*AS$71-$C$71</f>
        <v/>
      </c>
      <c r="N1108" s="13">
        <f>SUMPRODUCT($H$24:$M$24,H1108:M1108)</f>
        <v/>
      </c>
      <c r="O1108" s="14">
        <f>SQRT(SUMPRODUCT($H$24:$M$24,(H1108:M1108-N1108)^2))</f>
        <v/>
      </c>
      <c r="P1108" s="13">
        <f>MIN(H1108:M1108)</f>
        <v/>
      </c>
      <c r="Q1108" s="13">
        <f>MAX(H1108:M1108)</f>
        <v/>
      </c>
      <c r="R1108" s="27">
        <f>IF(G1108,SUMPRODUCT(($G$76:$G$1505)*($N$76:$N$1505&gt;=N1108)*($O$76:$O$1505&lt;=O1108))=1,FALSE)</f>
        <v/>
      </c>
      <c r="S1108" s="16">
        <f>IF(R1108,ABS((O1108-$AC$76)/MAX(0.0001,$AC$77-$AC$76)-(N1108-$AC$78)/MAX(0.0001,$AC$79-$AC$78)),-1)</f>
        <v/>
      </c>
      <c r="T1108" s="14">
        <f>IF(G1108,O1108,NA())</f>
        <v/>
      </c>
      <c r="U1108" s="13">
        <f>IF(G1108,N1108,NA())</f>
        <v/>
      </c>
      <c r="V1108" s="14">
        <f>IF(R1108,O1108,NA())</f>
        <v/>
      </c>
      <c r="W1108" s="13">
        <f>IF(R1108,N1108,NA())</f>
        <v/>
      </c>
      <c r="X1108" s="27">
        <f>IF(G1108,P1108,"")</f>
        <v/>
      </c>
      <c r="Y1108" s="27">
        <f>IF(G1108,N1108,"")</f>
        <v/>
      </c>
      <c r="Z1108" s="27">
        <f>IF(R1108,O1108,"")</f>
        <v/>
      </c>
      <c r="AA1108" s="27">
        <f>IF(R1108,N1108,"")</f>
        <v/>
      </c>
    </row>
    <row r="1109">
      <c r="A1109" s="31" t="n">
        <v>0.4</v>
      </c>
      <c r="B1109" s="31" t="n">
        <v>0</v>
      </c>
      <c r="C1109" s="31" t="n">
        <v>0.4</v>
      </c>
      <c r="D1109" s="31" t="n">
        <v>0.2</v>
      </c>
      <c r="E1109" s="27" t="inlineStr">
        <is>
          <t>ON 40%/2M 40%/3M 20%</t>
        </is>
      </c>
      <c r="F1109" s="27" t="n">
        <v>75</v>
      </c>
      <c r="G1109" s="27">
        <f>A1109*$B$7&gt;=$B$9</f>
        <v/>
      </c>
      <c r="H1109" s="13">
        <f>$B$7*(A1109*E$71+B1109*F$71+C1109*G$71+D1109*H$71)+F1109/100*$B$7*J$71-$C$71</f>
        <v/>
      </c>
      <c r="I1109" s="13">
        <f>$B$7*(A1109*L$71+B1109*M$71+C1109*N$71+D1109*O$71)+F1109/100*$B$7*Q$71-$C$71</f>
        <v/>
      </c>
      <c r="J1109" s="13">
        <f>$B$7*(A1109*S$71+B1109*T$71+C1109*U$71+D1109*V$71)+F1109/100*$B$7*X$71-$C$71</f>
        <v/>
      </c>
      <c r="K1109" s="13">
        <f>$B$7*(A1109*Z$71+B1109*AA$71+C1109*AB$71+D1109*AC$71)+F1109/100*$B$7*AE$71-$C$71</f>
        <v/>
      </c>
      <c r="L1109" s="13">
        <f>$B$7*(A1109*AG$71+B1109*AH$71+C1109*AI$71+D1109*AJ$71)+F1109/100*$B$7*AL$71-$C$71</f>
        <v/>
      </c>
      <c r="M1109" s="13">
        <f>$B$7*(A1109*AN$71+B1109*AO$71+C1109*AP$71+D1109*AQ$71)+F1109/100*$B$7*AS$71-$C$71</f>
        <v/>
      </c>
      <c r="N1109" s="13">
        <f>SUMPRODUCT($H$24:$M$24,H1109:M1109)</f>
        <v/>
      </c>
      <c r="O1109" s="14">
        <f>SQRT(SUMPRODUCT($H$24:$M$24,(H1109:M1109-N1109)^2))</f>
        <v/>
      </c>
      <c r="P1109" s="13">
        <f>MIN(H1109:M1109)</f>
        <v/>
      </c>
      <c r="Q1109" s="13">
        <f>MAX(H1109:M1109)</f>
        <v/>
      </c>
      <c r="R1109" s="27">
        <f>IF(G1109,SUMPRODUCT(($G$76:$G$1505)*($N$76:$N$1505&gt;=N1109)*($O$76:$O$1505&lt;=O1109))=1,FALSE)</f>
        <v/>
      </c>
      <c r="S1109" s="16">
        <f>IF(R1109,ABS((O1109-$AC$76)/MAX(0.0001,$AC$77-$AC$76)-(N1109-$AC$78)/MAX(0.0001,$AC$79-$AC$78)),-1)</f>
        <v/>
      </c>
      <c r="T1109" s="14">
        <f>IF(G1109,O1109,NA())</f>
        <v/>
      </c>
      <c r="U1109" s="13">
        <f>IF(G1109,N1109,NA())</f>
        <v/>
      </c>
      <c r="V1109" s="14">
        <f>IF(R1109,O1109,NA())</f>
        <v/>
      </c>
      <c r="W1109" s="13">
        <f>IF(R1109,N1109,NA())</f>
        <v/>
      </c>
      <c r="X1109" s="27">
        <f>IF(G1109,P1109,"")</f>
        <v/>
      </c>
      <c r="Y1109" s="27">
        <f>IF(G1109,N1109,"")</f>
        <v/>
      </c>
      <c r="Z1109" s="27">
        <f>IF(R1109,O1109,"")</f>
        <v/>
      </c>
      <c r="AA1109" s="27">
        <f>IF(R1109,N1109,"")</f>
        <v/>
      </c>
    </row>
    <row r="1110">
      <c r="A1110" s="31" t="n">
        <v>0.4</v>
      </c>
      <c r="B1110" s="31" t="n">
        <v>0</v>
      </c>
      <c r="C1110" s="31" t="n">
        <v>0.4</v>
      </c>
      <c r="D1110" s="31" t="n">
        <v>0.2</v>
      </c>
      <c r="E1110" s="27" t="inlineStr">
        <is>
          <t>ON 40%/2M 40%/3M 20%</t>
        </is>
      </c>
      <c r="F1110" s="27" t="n">
        <v>100</v>
      </c>
      <c r="G1110" s="27">
        <f>A1110*$B$7&gt;=$B$9</f>
        <v/>
      </c>
      <c r="H1110" s="13">
        <f>$B$7*(A1110*E$71+B1110*F$71+C1110*G$71+D1110*H$71)+F1110/100*$B$7*J$71-$C$71</f>
        <v/>
      </c>
      <c r="I1110" s="13">
        <f>$B$7*(A1110*L$71+B1110*M$71+C1110*N$71+D1110*O$71)+F1110/100*$B$7*Q$71-$C$71</f>
        <v/>
      </c>
      <c r="J1110" s="13">
        <f>$B$7*(A1110*S$71+B1110*T$71+C1110*U$71+D1110*V$71)+F1110/100*$B$7*X$71-$C$71</f>
        <v/>
      </c>
      <c r="K1110" s="13">
        <f>$B$7*(A1110*Z$71+B1110*AA$71+C1110*AB$71+D1110*AC$71)+F1110/100*$B$7*AE$71-$C$71</f>
        <v/>
      </c>
      <c r="L1110" s="13">
        <f>$B$7*(A1110*AG$71+B1110*AH$71+C1110*AI$71+D1110*AJ$71)+F1110/100*$B$7*AL$71-$C$71</f>
        <v/>
      </c>
      <c r="M1110" s="13">
        <f>$B$7*(A1110*AN$71+B1110*AO$71+C1110*AP$71+D1110*AQ$71)+F1110/100*$B$7*AS$71-$C$71</f>
        <v/>
      </c>
      <c r="N1110" s="13">
        <f>SUMPRODUCT($H$24:$M$24,H1110:M1110)</f>
        <v/>
      </c>
      <c r="O1110" s="14">
        <f>SQRT(SUMPRODUCT($H$24:$M$24,(H1110:M1110-N1110)^2))</f>
        <v/>
      </c>
      <c r="P1110" s="13">
        <f>MIN(H1110:M1110)</f>
        <v/>
      </c>
      <c r="Q1110" s="13">
        <f>MAX(H1110:M1110)</f>
        <v/>
      </c>
      <c r="R1110" s="27">
        <f>IF(G1110,SUMPRODUCT(($G$76:$G$1505)*($N$76:$N$1505&gt;=N1110)*($O$76:$O$1505&lt;=O1110))=1,FALSE)</f>
        <v/>
      </c>
      <c r="S1110" s="16">
        <f>IF(R1110,ABS((O1110-$AC$76)/MAX(0.0001,$AC$77-$AC$76)-(N1110-$AC$78)/MAX(0.0001,$AC$79-$AC$78)),-1)</f>
        <v/>
      </c>
      <c r="T1110" s="14">
        <f>IF(G1110,O1110,NA())</f>
        <v/>
      </c>
      <c r="U1110" s="13">
        <f>IF(G1110,N1110,NA())</f>
        <v/>
      </c>
      <c r="V1110" s="14">
        <f>IF(R1110,O1110,NA())</f>
        <v/>
      </c>
      <c r="W1110" s="13">
        <f>IF(R1110,N1110,NA())</f>
        <v/>
      </c>
      <c r="X1110" s="27">
        <f>IF(G1110,P1110,"")</f>
        <v/>
      </c>
      <c r="Y1110" s="27">
        <f>IF(G1110,N1110,"")</f>
        <v/>
      </c>
      <c r="Z1110" s="27">
        <f>IF(R1110,O1110,"")</f>
        <v/>
      </c>
      <c r="AA1110" s="27">
        <f>IF(R1110,N1110,"")</f>
        <v/>
      </c>
    </row>
    <row r="1111">
      <c r="A1111" s="31" t="n">
        <v>0.4</v>
      </c>
      <c r="B1111" s="31" t="n">
        <v>0</v>
      </c>
      <c r="C1111" s="31" t="n">
        <v>0.5</v>
      </c>
      <c r="D1111" s="31" t="n">
        <v>0.1</v>
      </c>
      <c r="E1111" s="27" t="inlineStr">
        <is>
          <t>ON 40%/2M 50%/3M 10%</t>
        </is>
      </c>
      <c r="F1111" s="27" t="n">
        <v>0</v>
      </c>
      <c r="G1111" s="27">
        <f>A1111*$B$7&gt;=$B$9</f>
        <v/>
      </c>
      <c r="H1111" s="13">
        <f>$B$7*(A1111*E$71+B1111*F$71+C1111*G$71+D1111*H$71)+F1111/100*$B$7*J$71-$C$71</f>
        <v/>
      </c>
      <c r="I1111" s="13">
        <f>$B$7*(A1111*L$71+B1111*M$71+C1111*N$71+D1111*O$71)+F1111/100*$B$7*Q$71-$C$71</f>
        <v/>
      </c>
      <c r="J1111" s="13">
        <f>$B$7*(A1111*S$71+B1111*T$71+C1111*U$71+D1111*V$71)+F1111/100*$B$7*X$71-$C$71</f>
        <v/>
      </c>
      <c r="K1111" s="13">
        <f>$B$7*(A1111*Z$71+B1111*AA$71+C1111*AB$71+D1111*AC$71)+F1111/100*$B$7*AE$71-$C$71</f>
        <v/>
      </c>
      <c r="L1111" s="13">
        <f>$B$7*(A1111*AG$71+B1111*AH$71+C1111*AI$71+D1111*AJ$71)+F1111/100*$B$7*AL$71-$C$71</f>
        <v/>
      </c>
      <c r="M1111" s="13">
        <f>$B$7*(A1111*AN$71+B1111*AO$71+C1111*AP$71+D1111*AQ$71)+F1111/100*$B$7*AS$71-$C$71</f>
        <v/>
      </c>
      <c r="N1111" s="13">
        <f>SUMPRODUCT($H$24:$M$24,H1111:M1111)</f>
        <v/>
      </c>
      <c r="O1111" s="14">
        <f>SQRT(SUMPRODUCT($H$24:$M$24,(H1111:M1111-N1111)^2))</f>
        <v/>
      </c>
      <c r="P1111" s="13">
        <f>MIN(H1111:M1111)</f>
        <v/>
      </c>
      <c r="Q1111" s="13">
        <f>MAX(H1111:M1111)</f>
        <v/>
      </c>
      <c r="R1111" s="27">
        <f>IF(G1111,SUMPRODUCT(($G$76:$G$1505)*($N$76:$N$1505&gt;=N1111)*($O$76:$O$1505&lt;=O1111))=1,FALSE)</f>
        <v/>
      </c>
      <c r="S1111" s="16">
        <f>IF(R1111,ABS((O1111-$AC$76)/MAX(0.0001,$AC$77-$AC$76)-(N1111-$AC$78)/MAX(0.0001,$AC$79-$AC$78)),-1)</f>
        <v/>
      </c>
      <c r="T1111" s="14">
        <f>IF(G1111,O1111,NA())</f>
        <v/>
      </c>
      <c r="U1111" s="13">
        <f>IF(G1111,N1111,NA())</f>
        <v/>
      </c>
      <c r="V1111" s="14">
        <f>IF(R1111,O1111,NA())</f>
        <v/>
      </c>
      <c r="W1111" s="13">
        <f>IF(R1111,N1111,NA())</f>
        <v/>
      </c>
      <c r="X1111" s="27">
        <f>IF(G1111,P1111,"")</f>
        <v/>
      </c>
      <c r="Y1111" s="27">
        <f>IF(G1111,N1111,"")</f>
        <v/>
      </c>
      <c r="Z1111" s="27">
        <f>IF(R1111,O1111,"")</f>
        <v/>
      </c>
      <c r="AA1111" s="27">
        <f>IF(R1111,N1111,"")</f>
        <v/>
      </c>
    </row>
    <row r="1112">
      <c r="A1112" s="31" t="n">
        <v>0.4</v>
      </c>
      <c r="B1112" s="31" t="n">
        <v>0</v>
      </c>
      <c r="C1112" s="31" t="n">
        <v>0.5</v>
      </c>
      <c r="D1112" s="31" t="n">
        <v>0.1</v>
      </c>
      <c r="E1112" s="27" t="inlineStr">
        <is>
          <t>ON 40%/2M 50%/3M 10%</t>
        </is>
      </c>
      <c r="F1112" s="27" t="n">
        <v>25</v>
      </c>
      <c r="G1112" s="27">
        <f>A1112*$B$7&gt;=$B$9</f>
        <v/>
      </c>
      <c r="H1112" s="13">
        <f>$B$7*(A1112*E$71+B1112*F$71+C1112*G$71+D1112*H$71)+F1112/100*$B$7*J$71-$C$71</f>
        <v/>
      </c>
      <c r="I1112" s="13">
        <f>$B$7*(A1112*L$71+B1112*M$71+C1112*N$71+D1112*O$71)+F1112/100*$B$7*Q$71-$C$71</f>
        <v/>
      </c>
      <c r="J1112" s="13">
        <f>$B$7*(A1112*S$71+B1112*T$71+C1112*U$71+D1112*V$71)+F1112/100*$B$7*X$71-$C$71</f>
        <v/>
      </c>
      <c r="K1112" s="13">
        <f>$B$7*(A1112*Z$71+B1112*AA$71+C1112*AB$71+D1112*AC$71)+F1112/100*$B$7*AE$71-$C$71</f>
        <v/>
      </c>
      <c r="L1112" s="13">
        <f>$B$7*(A1112*AG$71+B1112*AH$71+C1112*AI$71+D1112*AJ$71)+F1112/100*$B$7*AL$71-$C$71</f>
        <v/>
      </c>
      <c r="M1112" s="13">
        <f>$B$7*(A1112*AN$71+B1112*AO$71+C1112*AP$71+D1112*AQ$71)+F1112/100*$B$7*AS$71-$C$71</f>
        <v/>
      </c>
      <c r="N1112" s="13">
        <f>SUMPRODUCT($H$24:$M$24,H1112:M1112)</f>
        <v/>
      </c>
      <c r="O1112" s="14">
        <f>SQRT(SUMPRODUCT($H$24:$M$24,(H1112:M1112-N1112)^2))</f>
        <v/>
      </c>
      <c r="P1112" s="13">
        <f>MIN(H1112:M1112)</f>
        <v/>
      </c>
      <c r="Q1112" s="13">
        <f>MAX(H1112:M1112)</f>
        <v/>
      </c>
      <c r="R1112" s="27">
        <f>IF(G1112,SUMPRODUCT(($G$76:$G$1505)*($N$76:$N$1505&gt;=N1112)*($O$76:$O$1505&lt;=O1112))=1,FALSE)</f>
        <v/>
      </c>
      <c r="S1112" s="16">
        <f>IF(R1112,ABS((O1112-$AC$76)/MAX(0.0001,$AC$77-$AC$76)-(N1112-$AC$78)/MAX(0.0001,$AC$79-$AC$78)),-1)</f>
        <v/>
      </c>
      <c r="T1112" s="14">
        <f>IF(G1112,O1112,NA())</f>
        <v/>
      </c>
      <c r="U1112" s="13">
        <f>IF(G1112,N1112,NA())</f>
        <v/>
      </c>
      <c r="V1112" s="14">
        <f>IF(R1112,O1112,NA())</f>
        <v/>
      </c>
      <c r="W1112" s="13">
        <f>IF(R1112,N1112,NA())</f>
        <v/>
      </c>
      <c r="X1112" s="27">
        <f>IF(G1112,P1112,"")</f>
        <v/>
      </c>
      <c r="Y1112" s="27">
        <f>IF(G1112,N1112,"")</f>
        <v/>
      </c>
      <c r="Z1112" s="27">
        <f>IF(R1112,O1112,"")</f>
        <v/>
      </c>
      <c r="AA1112" s="27">
        <f>IF(R1112,N1112,"")</f>
        <v/>
      </c>
    </row>
    <row r="1113">
      <c r="A1113" s="31" t="n">
        <v>0.4</v>
      </c>
      <c r="B1113" s="31" t="n">
        <v>0</v>
      </c>
      <c r="C1113" s="31" t="n">
        <v>0.5</v>
      </c>
      <c r="D1113" s="31" t="n">
        <v>0.1</v>
      </c>
      <c r="E1113" s="27" t="inlineStr">
        <is>
          <t>ON 40%/2M 50%/3M 10%</t>
        </is>
      </c>
      <c r="F1113" s="27" t="n">
        <v>50</v>
      </c>
      <c r="G1113" s="27">
        <f>A1113*$B$7&gt;=$B$9</f>
        <v/>
      </c>
      <c r="H1113" s="13">
        <f>$B$7*(A1113*E$71+B1113*F$71+C1113*G$71+D1113*H$71)+F1113/100*$B$7*J$71-$C$71</f>
        <v/>
      </c>
      <c r="I1113" s="13">
        <f>$B$7*(A1113*L$71+B1113*M$71+C1113*N$71+D1113*O$71)+F1113/100*$B$7*Q$71-$C$71</f>
        <v/>
      </c>
      <c r="J1113" s="13">
        <f>$B$7*(A1113*S$71+B1113*T$71+C1113*U$71+D1113*V$71)+F1113/100*$B$7*X$71-$C$71</f>
        <v/>
      </c>
      <c r="K1113" s="13">
        <f>$B$7*(A1113*Z$71+B1113*AA$71+C1113*AB$71+D1113*AC$71)+F1113/100*$B$7*AE$71-$C$71</f>
        <v/>
      </c>
      <c r="L1113" s="13">
        <f>$B$7*(A1113*AG$71+B1113*AH$71+C1113*AI$71+D1113*AJ$71)+F1113/100*$B$7*AL$71-$C$71</f>
        <v/>
      </c>
      <c r="M1113" s="13">
        <f>$B$7*(A1113*AN$71+B1113*AO$71+C1113*AP$71+D1113*AQ$71)+F1113/100*$B$7*AS$71-$C$71</f>
        <v/>
      </c>
      <c r="N1113" s="13">
        <f>SUMPRODUCT($H$24:$M$24,H1113:M1113)</f>
        <v/>
      </c>
      <c r="O1113" s="14">
        <f>SQRT(SUMPRODUCT($H$24:$M$24,(H1113:M1113-N1113)^2))</f>
        <v/>
      </c>
      <c r="P1113" s="13">
        <f>MIN(H1113:M1113)</f>
        <v/>
      </c>
      <c r="Q1113" s="13">
        <f>MAX(H1113:M1113)</f>
        <v/>
      </c>
      <c r="R1113" s="27">
        <f>IF(G1113,SUMPRODUCT(($G$76:$G$1505)*($N$76:$N$1505&gt;=N1113)*($O$76:$O$1505&lt;=O1113))=1,FALSE)</f>
        <v/>
      </c>
      <c r="S1113" s="16">
        <f>IF(R1113,ABS((O1113-$AC$76)/MAX(0.0001,$AC$77-$AC$76)-(N1113-$AC$78)/MAX(0.0001,$AC$79-$AC$78)),-1)</f>
        <v/>
      </c>
      <c r="T1113" s="14">
        <f>IF(G1113,O1113,NA())</f>
        <v/>
      </c>
      <c r="U1113" s="13">
        <f>IF(G1113,N1113,NA())</f>
        <v/>
      </c>
      <c r="V1113" s="14">
        <f>IF(R1113,O1113,NA())</f>
        <v/>
      </c>
      <c r="W1113" s="13">
        <f>IF(R1113,N1113,NA())</f>
        <v/>
      </c>
      <c r="X1113" s="27">
        <f>IF(G1113,P1113,"")</f>
        <v/>
      </c>
      <c r="Y1113" s="27">
        <f>IF(G1113,N1113,"")</f>
        <v/>
      </c>
      <c r="Z1113" s="27">
        <f>IF(R1113,O1113,"")</f>
        <v/>
      </c>
      <c r="AA1113" s="27">
        <f>IF(R1113,N1113,"")</f>
        <v/>
      </c>
    </row>
    <row r="1114">
      <c r="A1114" s="31" t="n">
        <v>0.4</v>
      </c>
      <c r="B1114" s="31" t="n">
        <v>0</v>
      </c>
      <c r="C1114" s="31" t="n">
        <v>0.5</v>
      </c>
      <c r="D1114" s="31" t="n">
        <v>0.1</v>
      </c>
      <c r="E1114" s="27" t="inlineStr">
        <is>
          <t>ON 40%/2M 50%/3M 10%</t>
        </is>
      </c>
      <c r="F1114" s="27" t="n">
        <v>75</v>
      </c>
      <c r="G1114" s="27">
        <f>A1114*$B$7&gt;=$B$9</f>
        <v/>
      </c>
      <c r="H1114" s="13">
        <f>$B$7*(A1114*E$71+B1114*F$71+C1114*G$71+D1114*H$71)+F1114/100*$B$7*J$71-$C$71</f>
        <v/>
      </c>
      <c r="I1114" s="13">
        <f>$B$7*(A1114*L$71+B1114*M$71+C1114*N$71+D1114*O$71)+F1114/100*$B$7*Q$71-$C$71</f>
        <v/>
      </c>
      <c r="J1114" s="13">
        <f>$B$7*(A1114*S$71+B1114*T$71+C1114*U$71+D1114*V$71)+F1114/100*$B$7*X$71-$C$71</f>
        <v/>
      </c>
      <c r="K1114" s="13">
        <f>$B$7*(A1114*Z$71+B1114*AA$71+C1114*AB$71+D1114*AC$71)+F1114/100*$B$7*AE$71-$C$71</f>
        <v/>
      </c>
      <c r="L1114" s="13">
        <f>$B$7*(A1114*AG$71+B1114*AH$71+C1114*AI$71+D1114*AJ$71)+F1114/100*$B$7*AL$71-$C$71</f>
        <v/>
      </c>
      <c r="M1114" s="13">
        <f>$B$7*(A1114*AN$71+B1114*AO$71+C1114*AP$71+D1114*AQ$71)+F1114/100*$B$7*AS$71-$C$71</f>
        <v/>
      </c>
      <c r="N1114" s="13">
        <f>SUMPRODUCT($H$24:$M$24,H1114:M1114)</f>
        <v/>
      </c>
      <c r="O1114" s="14">
        <f>SQRT(SUMPRODUCT($H$24:$M$24,(H1114:M1114-N1114)^2))</f>
        <v/>
      </c>
      <c r="P1114" s="13">
        <f>MIN(H1114:M1114)</f>
        <v/>
      </c>
      <c r="Q1114" s="13">
        <f>MAX(H1114:M1114)</f>
        <v/>
      </c>
      <c r="R1114" s="27">
        <f>IF(G1114,SUMPRODUCT(($G$76:$G$1505)*($N$76:$N$1505&gt;=N1114)*($O$76:$O$1505&lt;=O1114))=1,FALSE)</f>
        <v/>
      </c>
      <c r="S1114" s="16">
        <f>IF(R1114,ABS((O1114-$AC$76)/MAX(0.0001,$AC$77-$AC$76)-(N1114-$AC$78)/MAX(0.0001,$AC$79-$AC$78)),-1)</f>
        <v/>
      </c>
      <c r="T1114" s="14">
        <f>IF(G1114,O1114,NA())</f>
        <v/>
      </c>
      <c r="U1114" s="13">
        <f>IF(G1114,N1114,NA())</f>
        <v/>
      </c>
      <c r="V1114" s="14">
        <f>IF(R1114,O1114,NA())</f>
        <v/>
      </c>
      <c r="W1114" s="13">
        <f>IF(R1114,N1114,NA())</f>
        <v/>
      </c>
      <c r="X1114" s="27">
        <f>IF(G1114,P1114,"")</f>
        <v/>
      </c>
      <c r="Y1114" s="27">
        <f>IF(G1114,N1114,"")</f>
        <v/>
      </c>
      <c r="Z1114" s="27">
        <f>IF(R1114,O1114,"")</f>
        <v/>
      </c>
      <c r="AA1114" s="27">
        <f>IF(R1114,N1114,"")</f>
        <v/>
      </c>
    </row>
    <row r="1115">
      <c r="A1115" s="31" t="n">
        <v>0.4</v>
      </c>
      <c r="B1115" s="31" t="n">
        <v>0</v>
      </c>
      <c r="C1115" s="31" t="n">
        <v>0.5</v>
      </c>
      <c r="D1115" s="31" t="n">
        <v>0.1</v>
      </c>
      <c r="E1115" s="27" t="inlineStr">
        <is>
          <t>ON 40%/2M 50%/3M 10%</t>
        </is>
      </c>
      <c r="F1115" s="27" t="n">
        <v>100</v>
      </c>
      <c r="G1115" s="27">
        <f>A1115*$B$7&gt;=$B$9</f>
        <v/>
      </c>
      <c r="H1115" s="13">
        <f>$B$7*(A1115*E$71+B1115*F$71+C1115*G$71+D1115*H$71)+F1115/100*$B$7*J$71-$C$71</f>
        <v/>
      </c>
      <c r="I1115" s="13">
        <f>$B$7*(A1115*L$71+B1115*M$71+C1115*N$71+D1115*O$71)+F1115/100*$B$7*Q$71-$C$71</f>
        <v/>
      </c>
      <c r="J1115" s="13">
        <f>$B$7*(A1115*S$71+B1115*T$71+C1115*U$71+D1115*V$71)+F1115/100*$B$7*X$71-$C$71</f>
        <v/>
      </c>
      <c r="K1115" s="13">
        <f>$B$7*(A1115*Z$71+B1115*AA$71+C1115*AB$71+D1115*AC$71)+F1115/100*$B$7*AE$71-$C$71</f>
        <v/>
      </c>
      <c r="L1115" s="13">
        <f>$B$7*(A1115*AG$71+B1115*AH$71+C1115*AI$71+D1115*AJ$71)+F1115/100*$B$7*AL$71-$C$71</f>
        <v/>
      </c>
      <c r="M1115" s="13">
        <f>$B$7*(A1115*AN$71+B1115*AO$71+C1115*AP$71+D1115*AQ$71)+F1115/100*$B$7*AS$71-$C$71</f>
        <v/>
      </c>
      <c r="N1115" s="13">
        <f>SUMPRODUCT($H$24:$M$24,H1115:M1115)</f>
        <v/>
      </c>
      <c r="O1115" s="14">
        <f>SQRT(SUMPRODUCT($H$24:$M$24,(H1115:M1115-N1115)^2))</f>
        <v/>
      </c>
      <c r="P1115" s="13">
        <f>MIN(H1115:M1115)</f>
        <v/>
      </c>
      <c r="Q1115" s="13">
        <f>MAX(H1115:M1115)</f>
        <v/>
      </c>
      <c r="R1115" s="27">
        <f>IF(G1115,SUMPRODUCT(($G$76:$G$1505)*($N$76:$N$1505&gt;=N1115)*($O$76:$O$1505&lt;=O1115))=1,FALSE)</f>
        <v/>
      </c>
      <c r="S1115" s="16">
        <f>IF(R1115,ABS((O1115-$AC$76)/MAX(0.0001,$AC$77-$AC$76)-(N1115-$AC$78)/MAX(0.0001,$AC$79-$AC$78)),-1)</f>
        <v/>
      </c>
      <c r="T1115" s="14">
        <f>IF(G1115,O1115,NA())</f>
        <v/>
      </c>
      <c r="U1115" s="13">
        <f>IF(G1115,N1115,NA())</f>
        <v/>
      </c>
      <c r="V1115" s="14">
        <f>IF(R1115,O1115,NA())</f>
        <v/>
      </c>
      <c r="W1115" s="13">
        <f>IF(R1115,N1115,NA())</f>
        <v/>
      </c>
      <c r="X1115" s="27">
        <f>IF(G1115,P1115,"")</f>
        <v/>
      </c>
      <c r="Y1115" s="27">
        <f>IF(G1115,N1115,"")</f>
        <v/>
      </c>
      <c r="Z1115" s="27">
        <f>IF(R1115,O1115,"")</f>
        <v/>
      </c>
      <c r="AA1115" s="27">
        <f>IF(R1115,N1115,"")</f>
        <v/>
      </c>
    </row>
    <row r="1116">
      <c r="A1116" s="31" t="n">
        <v>0.4</v>
      </c>
      <c r="B1116" s="31" t="n">
        <v>0</v>
      </c>
      <c r="C1116" s="31" t="n">
        <v>0.6</v>
      </c>
      <c r="D1116" s="31" t="n">
        <v>0</v>
      </c>
      <c r="E1116" s="27" t="inlineStr">
        <is>
          <t>ON 40%/2M 60%</t>
        </is>
      </c>
      <c r="F1116" s="27" t="n">
        <v>0</v>
      </c>
      <c r="G1116" s="27">
        <f>A1116*$B$7&gt;=$B$9</f>
        <v/>
      </c>
      <c r="H1116" s="13">
        <f>$B$7*(A1116*E$71+B1116*F$71+C1116*G$71+D1116*H$71)+F1116/100*$B$7*J$71-$C$71</f>
        <v/>
      </c>
      <c r="I1116" s="13">
        <f>$B$7*(A1116*L$71+B1116*M$71+C1116*N$71+D1116*O$71)+F1116/100*$B$7*Q$71-$C$71</f>
        <v/>
      </c>
      <c r="J1116" s="13">
        <f>$B$7*(A1116*S$71+B1116*T$71+C1116*U$71+D1116*V$71)+F1116/100*$B$7*X$71-$C$71</f>
        <v/>
      </c>
      <c r="K1116" s="13">
        <f>$B$7*(A1116*Z$71+B1116*AA$71+C1116*AB$71+D1116*AC$71)+F1116/100*$B$7*AE$71-$C$71</f>
        <v/>
      </c>
      <c r="L1116" s="13">
        <f>$B$7*(A1116*AG$71+B1116*AH$71+C1116*AI$71+D1116*AJ$71)+F1116/100*$B$7*AL$71-$C$71</f>
        <v/>
      </c>
      <c r="M1116" s="13">
        <f>$B$7*(A1116*AN$71+B1116*AO$71+C1116*AP$71+D1116*AQ$71)+F1116/100*$B$7*AS$71-$C$71</f>
        <v/>
      </c>
      <c r="N1116" s="13">
        <f>SUMPRODUCT($H$24:$M$24,H1116:M1116)</f>
        <v/>
      </c>
      <c r="O1116" s="14">
        <f>SQRT(SUMPRODUCT($H$24:$M$24,(H1116:M1116-N1116)^2))</f>
        <v/>
      </c>
      <c r="P1116" s="13">
        <f>MIN(H1116:M1116)</f>
        <v/>
      </c>
      <c r="Q1116" s="13">
        <f>MAX(H1116:M1116)</f>
        <v/>
      </c>
      <c r="R1116" s="27">
        <f>IF(G1116,SUMPRODUCT(($G$76:$G$1505)*($N$76:$N$1505&gt;=N1116)*($O$76:$O$1505&lt;=O1116))=1,FALSE)</f>
        <v/>
      </c>
      <c r="S1116" s="16">
        <f>IF(R1116,ABS((O1116-$AC$76)/MAX(0.0001,$AC$77-$AC$76)-(N1116-$AC$78)/MAX(0.0001,$AC$79-$AC$78)),-1)</f>
        <v/>
      </c>
      <c r="T1116" s="14">
        <f>IF(G1116,O1116,NA())</f>
        <v/>
      </c>
      <c r="U1116" s="13">
        <f>IF(G1116,N1116,NA())</f>
        <v/>
      </c>
      <c r="V1116" s="14">
        <f>IF(R1116,O1116,NA())</f>
        <v/>
      </c>
      <c r="W1116" s="13">
        <f>IF(R1116,N1116,NA())</f>
        <v/>
      </c>
      <c r="X1116" s="27">
        <f>IF(G1116,P1116,"")</f>
        <v/>
      </c>
      <c r="Y1116" s="27">
        <f>IF(G1116,N1116,"")</f>
        <v/>
      </c>
      <c r="Z1116" s="27">
        <f>IF(R1116,O1116,"")</f>
        <v/>
      </c>
      <c r="AA1116" s="27">
        <f>IF(R1116,N1116,"")</f>
        <v/>
      </c>
    </row>
    <row r="1117">
      <c r="A1117" s="31" t="n">
        <v>0.4</v>
      </c>
      <c r="B1117" s="31" t="n">
        <v>0</v>
      </c>
      <c r="C1117" s="31" t="n">
        <v>0.6</v>
      </c>
      <c r="D1117" s="31" t="n">
        <v>0</v>
      </c>
      <c r="E1117" s="27" t="inlineStr">
        <is>
          <t>ON 40%/2M 60%</t>
        </is>
      </c>
      <c r="F1117" s="27" t="n">
        <v>25</v>
      </c>
      <c r="G1117" s="27">
        <f>A1117*$B$7&gt;=$B$9</f>
        <v/>
      </c>
      <c r="H1117" s="13">
        <f>$B$7*(A1117*E$71+B1117*F$71+C1117*G$71+D1117*H$71)+F1117/100*$B$7*J$71-$C$71</f>
        <v/>
      </c>
      <c r="I1117" s="13">
        <f>$B$7*(A1117*L$71+B1117*M$71+C1117*N$71+D1117*O$71)+F1117/100*$B$7*Q$71-$C$71</f>
        <v/>
      </c>
      <c r="J1117" s="13">
        <f>$B$7*(A1117*S$71+B1117*T$71+C1117*U$71+D1117*V$71)+F1117/100*$B$7*X$71-$C$71</f>
        <v/>
      </c>
      <c r="K1117" s="13">
        <f>$B$7*(A1117*Z$71+B1117*AA$71+C1117*AB$71+D1117*AC$71)+F1117/100*$B$7*AE$71-$C$71</f>
        <v/>
      </c>
      <c r="L1117" s="13">
        <f>$B$7*(A1117*AG$71+B1117*AH$71+C1117*AI$71+D1117*AJ$71)+F1117/100*$B$7*AL$71-$C$71</f>
        <v/>
      </c>
      <c r="M1117" s="13">
        <f>$B$7*(A1117*AN$71+B1117*AO$71+C1117*AP$71+D1117*AQ$71)+F1117/100*$B$7*AS$71-$C$71</f>
        <v/>
      </c>
      <c r="N1117" s="13">
        <f>SUMPRODUCT($H$24:$M$24,H1117:M1117)</f>
        <v/>
      </c>
      <c r="O1117" s="14">
        <f>SQRT(SUMPRODUCT($H$24:$M$24,(H1117:M1117-N1117)^2))</f>
        <v/>
      </c>
      <c r="P1117" s="13">
        <f>MIN(H1117:M1117)</f>
        <v/>
      </c>
      <c r="Q1117" s="13">
        <f>MAX(H1117:M1117)</f>
        <v/>
      </c>
      <c r="R1117" s="27">
        <f>IF(G1117,SUMPRODUCT(($G$76:$G$1505)*($N$76:$N$1505&gt;=N1117)*($O$76:$O$1505&lt;=O1117))=1,FALSE)</f>
        <v/>
      </c>
      <c r="S1117" s="16">
        <f>IF(R1117,ABS((O1117-$AC$76)/MAX(0.0001,$AC$77-$AC$76)-(N1117-$AC$78)/MAX(0.0001,$AC$79-$AC$78)),-1)</f>
        <v/>
      </c>
      <c r="T1117" s="14">
        <f>IF(G1117,O1117,NA())</f>
        <v/>
      </c>
      <c r="U1117" s="13">
        <f>IF(G1117,N1117,NA())</f>
        <v/>
      </c>
      <c r="V1117" s="14">
        <f>IF(R1117,O1117,NA())</f>
        <v/>
      </c>
      <c r="W1117" s="13">
        <f>IF(R1117,N1117,NA())</f>
        <v/>
      </c>
      <c r="X1117" s="27">
        <f>IF(G1117,P1117,"")</f>
        <v/>
      </c>
      <c r="Y1117" s="27">
        <f>IF(G1117,N1117,"")</f>
        <v/>
      </c>
      <c r="Z1117" s="27">
        <f>IF(R1117,O1117,"")</f>
        <v/>
      </c>
      <c r="AA1117" s="27">
        <f>IF(R1117,N1117,"")</f>
        <v/>
      </c>
    </row>
    <row r="1118">
      <c r="A1118" s="31" t="n">
        <v>0.4</v>
      </c>
      <c r="B1118" s="31" t="n">
        <v>0</v>
      </c>
      <c r="C1118" s="31" t="n">
        <v>0.6</v>
      </c>
      <c r="D1118" s="31" t="n">
        <v>0</v>
      </c>
      <c r="E1118" s="27" t="inlineStr">
        <is>
          <t>ON 40%/2M 60%</t>
        </is>
      </c>
      <c r="F1118" s="27" t="n">
        <v>50</v>
      </c>
      <c r="G1118" s="27">
        <f>A1118*$B$7&gt;=$B$9</f>
        <v/>
      </c>
      <c r="H1118" s="13">
        <f>$B$7*(A1118*E$71+B1118*F$71+C1118*G$71+D1118*H$71)+F1118/100*$B$7*J$71-$C$71</f>
        <v/>
      </c>
      <c r="I1118" s="13">
        <f>$B$7*(A1118*L$71+B1118*M$71+C1118*N$71+D1118*O$71)+F1118/100*$B$7*Q$71-$C$71</f>
        <v/>
      </c>
      <c r="J1118" s="13">
        <f>$B$7*(A1118*S$71+B1118*T$71+C1118*U$71+D1118*V$71)+F1118/100*$B$7*X$71-$C$71</f>
        <v/>
      </c>
      <c r="K1118" s="13">
        <f>$B$7*(A1118*Z$71+B1118*AA$71+C1118*AB$71+D1118*AC$71)+F1118/100*$B$7*AE$71-$C$71</f>
        <v/>
      </c>
      <c r="L1118" s="13">
        <f>$B$7*(A1118*AG$71+B1118*AH$71+C1118*AI$71+D1118*AJ$71)+F1118/100*$B$7*AL$71-$C$71</f>
        <v/>
      </c>
      <c r="M1118" s="13">
        <f>$B$7*(A1118*AN$71+B1118*AO$71+C1118*AP$71+D1118*AQ$71)+F1118/100*$B$7*AS$71-$C$71</f>
        <v/>
      </c>
      <c r="N1118" s="13">
        <f>SUMPRODUCT($H$24:$M$24,H1118:M1118)</f>
        <v/>
      </c>
      <c r="O1118" s="14">
        <f>SQRT(SUMPRODUCT($H$24:$M$24,(H1118:M1118-N1118)^2))</f>
        <v/>
      </c>
      <c r="P1118" s="13">
        <f>MIN(H1118:M1118)</f>
        <v/>
      </c>
      <c r="Q1118" s="13">
        <f>MAX(H1118:M1118)</f>
        <v/>
      </c>
      <c r="R1118" s="27">
        <f>IF(G1118,SUMPRODUCT(($G$76:$G$1505)*($N$76:$N$1505&gt;=N1118)*($O$76:$O$1505&lt;=O1118))=1,FALSE)</f>
        <v/>
      </c>
      <c r="S1118" s="16">
        <f>IF(R1118,ABS((O1118-$AC$76)/MAX(0.0001,$AC$77-$AC$76)-(N1118-$AC$78)/MAX(0.0001,$AC$79-$AC$78)),-1)</f>
        <v/>
      </c>
      <c r="T1118" s="14">
        <f>IF(G1118,O1118,NA())</f>
        <v/>
      </c>
      <c r="U1118" s="13">
        <f>IF(G1118,N1118,NA())</f>
        <v/>
      </c>
      <c r="V1118" s="14">
        <f>IF(R1118,O1118,NA())</f>
        <v/>
      </c>
      <c r="W1118" s="13">
        <f>IF(R1118,N1118,NA())</f>
        <v/>
      </c>
      <c r="X1118" s="27">
        <f>IF(G1118,P1118,"")</f>
        <v/>
      </c>
      <c r="Y1118" s="27">
        <f>IF(G1118,N1118,"")</f>
        <v/>
      </c>
      <c r="Z1118" s="27">
        <f>IF(R1118,O1118,"")</f>
        <v/>
      </c>
      <c r="AA1118" s="27">
        <f>IF(R1118,N1118,"")</f>
        <v/>
      </c>
    </row>
    <row r="1119">
      <c r="A1119" s="31" t="n">
        <v>0.4</v>
      </c>
      <c r="B1119" s="31" t="n">
        <v>0</v>
      </c>
      <c r="C1119" s="31" t="n">
        <v>0.6</v>
      </c>
      <c r="D1119" s="31" t="n">
        <v>0</v>
      </c>
      <c r="E1119" s="27" t="inlineStr">
        <is>
          <t>ON 40%/2M 60%</t>
        </is>
      </c>
      <c r="F1119" s="27" t="n">
        <v>75</v>
      </c>
      <c r="G1119" s="27">
        <f>A1119*$B$7&gt;=$B$9</f>
        <v/>
      </c>
      <c r="H1119" s="13">
        <f>$B$7*(A1119*E$71+B1119*F$71+C1119*G$71+D1119*H$71)+F1119/100*$B$7*J$71-$C$71</f>
        <v/>
      </c>
      <c r="I1119" s="13">
        <f>$B$7*(A1119*L$71+B1119*M$71+C1119*N$71+D1119*O$71)+F1119/100*$B$7*Q$71-$C$71</f>
        <v/>
      </c>
      <c r="J1119" s="13">
        <f>$B$7*(A1119*S$71+B1119*T$71+C1119*U$71+D1119*V$71)+F1119/100*$B$7*X$71-$C$71</f>
        <v/>
      </c>
      <c r="K1119" s="13">
        <f>$B$7*(A1119*Z$71+B1119*AA$71+C1119*AB$71+D1119*AC$71)+F1119/100*$B$7*AE$71-$C$71</f>
        <v/>
      </c>
      <c r="L1119" s="13">
        <f>$B$7*(A1119*AG$71+B1119*AH$71+C1119*AI$71+D1119*AJ$71)+F1119/100*$B$7*AL$71-$C$71</f>
        <v/>
      </c>
      <c r="M1119" s="13">
        <f>$B$7*(A1119*AN$71+B1119*AO$71+C1119*AP$71+D1119*AQ$71)+F1119/100*$B$7*AS$71-$C$71</f>
        <v/>
      </c>
      <c r="N1119" s="13">
        <f>SUMPRODUCT($H$24:$M$24,H1119:M1119)</f>
        <v/>
      </c>
      <c r="O1119" s="14">
        <f>SQRT(SUMPRODUCT($H$24:$M$24,(H1119:M1119-N1119)^2))</f>
        <v/>
      </c>
      <c r="P1119" s="13">
        <f>MIN(H1119:M1119)</f>
        <v/>
      </c>
      <c r="Q1119" s="13">
        <f>MAX(H1119:M1119)</f>
        <v/>
      </c>
      <c r="R1119" s="27">
        <f>IF(G1119,SUMPRODUCT(($G$76:$G$1505)*($N$76:$N$1505&gt;=N1119)*($O$76:$O$1505&lt;=O1119))=1,FALSE)</f>
        <v/>
      </c>
      <c r="S1119" s="16">
        <f>IF(R1119,ABS((O1119-$AC$76)/MAX(0.0001,$AC$77-$AC$76)-(N1119-$AC$78)/MAX(0.0001,$AC$79-$AC$78)),-1)</f>
        <v/>
      </c>
      <c r="T1119" s="14">
        <f>IF(G1119,O1119,NA())</f>
        <v/>
      </c>
      <c r="U1119" s="13">
        <f>IF(G1119,N1119,NA())</f>
        <v/>
      </c>
      <c r="V1119" s="14">
        <f>IF(R1119,O1119,NA())</f>
        <v/>
      </c>
      <c r="W1119" s="13">
        <f>IF(R1119,N1119,NA())</f>
        <v/>
      </c>
      <c r="X1119" s="27">
        <f>IF(G1119,P1119,"")</f>
        <v/>
      </c>
      <c r="Y1119" s="27">
        <f>IF(G1119,N1119,"")</f>
        <v/>
      </c>
      <c r="Z1119" s="27">
        <f>IF(R1119,O1119,"")</f>
        <v/>
      </c>
      <c r="AA1119" s="27">
        <f>IF(R1119,N1119,"")</f>
        <v/>
      </c>
    </row>
    <row r="1120">
      <c r="A1120" s="31" t="n">
        <v>0.4</v>
      </c>
      <c r="B1120" s="31" t="n">
        <v>0</v>
      </c>
      <c r="C1120" s="31" t="n">
        <v>0.6</v>
      </c>
      <c r="D1120" s="31" t="n">
        <v>0</v>
      </c>
      <c r="E1120" s="27" t="inlineStr">
        <is>
          <t>ON 40%/2M 60%</t>
        </is>
      </c>
      <c r="F1120" s="27" t="n">
        <v>100</v>
      </c>
      <c r="G1120" s="27">
        <f>A1120*$B$7&gt;=$B$9</f>
        <v/>
      </c>
      <c r="H1120" s="13">
        <f>$B$7*(A1120*E$71+B1120*F$71+C1120*G$71+D1120*H$71)+F1120/100*$B$7*J$71-$C$71</f>
        <v/>
      </c>
      <c r="I1120" s="13">
        <f>$B$7*(A1120*L$71+B1120*M$71+C1120*N$71+D1120*O$71)+F1120/100*$B$7*Q$71-$C$71</f>
        <v/>
      </c>
      <c r="J1120" s="13">
        <f>$B$7*(A1120*S$71+B1120*T$71+C1120*U$71+D1120*V$71)+F1120/100*$B$7*X$71-$C$71</f>
        <v/>
      </c>
      <c r="K1120" s="13">
        <f>$B$7*(A1120*Z$71+B1120*AA$71+C1120*AB$71+D1120*AC$71)+F1120/100*$B$7*AE$71-$C$71</f>
        <v/>
      </c>
      <c r="L1120" s="13">
        <f>$B$7*(A1120*AG$71+B1120*AH$71+C1120*AI$71+D1120*AJ$71)+F1120/100*$B$7*AL$71-$C$71</f>
        <v/>
      </c>
      <c r="M1120" s="13">
        <f>$B$7*(A1120*AN$71+B1120*AO$71+C1120*AP$71+D1120*AQ$71)+F1120/100*$B$7*AS$71-$C$71</f>
        <v/>
      </c>
      <c r="N1120" s="13">
        <f>SUMPRODUCT($H$24:$M$24,H1120:M1120)</f>
        <v/>
      </c>
      <c r="O1120" s="14">
        <f>SQRT(SUMPRODUCT($H$24:$M$24,(H1120:M1120-N1120)^2))</f>
        <v/>
      </c>
      <c r="P1120" s="13">
        <f>MIN(H1120:M1120)</f>
        <v/>
      </c>
      <c r="Q1120" s="13">
        <f>MAX(H1120:M1120)</f>
        <v/>
      </c>
      <c r="R1120" s="27">
        <f>IF(G1120,SUMPRODUCT(($G$76:$G$1505)*($N$76:$N$1505&gt;=N1120)*($O$76:$O$1505&lt;=O1120))=1,FALSE)</f>
        <v/>
      </c>
      <c r="S1120" s="16">
        <f>IF(R1120,ABS((O1120-$AC$76)/MAX(0.0001,$AC$77-$AC$76)-(N1120-$AC$78)/MAX(0.0001,$AC$79-$AC$78)),-1)</f>
        <v/>
      </c>
      <c r="T1120" s="14">
        <f>IF(G1120,O1120,NA())</f>
        <v/>
      </c>
      <c r="U1120" s="13">
        <f>IF(G1120,N1120,NA())</f>
        <v/>
      </c>
      <c r="V1120" s="14">
        <f>IF(R1120,O1120,NA())</f>
        <v/>
      </c>
      <c r="W1120" s="13">
        <f>IF(R1120,N1120,NA())</f>
        <v/>
      </c>
      <c r="X1120" s="27">
        <f>IF(G1120,P1120,"")</f>
        <v/>
      </c>
      <c r="Y1120" s="27">
        <f>IF(G1120,N1120,"")</f>
        <v/>
      </c>
      <c r="Z1120" s="27">
        <f>IF(R1120,O1120,"")</f>
        <v/>
      </c>
      <c r="AA1120" s="27">
        <f>IF(R1120,N1120,"")</f>
        <v/>
      </c>
    </row>
    <row r="1121">
      <c r="A1121" s="31" t="n">
        <v>0.4</v>
      </c>
      <c r="B1121" s="31" t="n">
        <v>0.1</v>
      </c>
      <c r="C1121" s="31" t="n">
        <v>0</v>
      </c>
      <c r="D1121" s="31" t="n">
        <v>0.5</v>
      </c>
      <c r="E1121" s="27" t="inlineStr">
        <is>
          <t>ON 40%/1M 10%/3M 50%</t>
        </is>
      </c>
      <c r="F1121" s="27" t="n">
        <v>0</v>
      </c>
      <c r="G1121" s="27">
        <f>A1121*$B$7&gt;=$B$9</f>
        <v/>
      </c>
      <c r="H1121" s="13">
        <f>$B$7*(A1121*E$71+B1121*F$71+C1121*G$71+D1121*H$71)+F1121/100*$B$7*J$71-$C$71</f>
        <v/>
      </c>
      <c r="I1121" s="13">
        <f>$B$7*(A1121*L$71+B1121*M$71+C1121*N$71+D1121*O$71)+F1121/100*$B$7*Q$71-$C$71</f>
        <v/>
      </c>
      <c r="J1121" s="13">
        <f>$B$7*(A1121*S$71+B1121*T$71+C1121*U$71+D1121*V$71)+F1121/100*$B$7*X$71-$C$71</f>
        <v/>
      </c>
      <c r="K1121" s="13">
        <f>$B$7*(A1121*Z$71+B1121*AA$71+C1121*AB$71+D1121*AC$71)+F1121/100*$B$7*AE$71-$C$71</f>
        <v/>
      </c>
      <c r="L1121" s="13">
        <f>$B$7*(A1121*AG$71+B1121*AH$71+C1121*AI$71+D1121*AJ$71)+F1121/100*$B$7*AL$71-$C$71</f>
        <v/>
      </c>
      <c r="M1121" s="13">
        <f>$B$7*(A1121*AN$71+B1121*AO$71+C1121*AP$71+D1121*AQ$71)+F1121/100*$B$7*AS$71-$C$71</f>
        <v/>
      </c>
      <c r="N1121" s="13">
        <f>SUMPRODUCT($H$24:$M$24,H1121:M1121)</f>
        <v/>
      </c>
      <c r="O1121" s="14">
        <f>SQRT(SUMPRODUCT($H$24:$M$24,(H1121:M1121-N1121)^2))</f>
        <v/>
      </c>
      <c r="P1121" s="13">
        <f>MIN(H1121:M1121)</f>
        <v/>
      </c>
      <c r="Q1121" s="13">
        <f>MAX(H1121:M1121)</f>
        <v/>
      </c>
      <c r="R1121" s="27">
        <f>IF(G1121,SUMPRODUCT(($G$76:$G$1505)*($N$76:$N$1505&gt;=N1121)*($O$76:$O$1505&lt;=O1121))=1,FALSE)</f>
        <v/>
      </c>
      <c r="S1121" s="16">
        <f>IF(R1121,ABS((O1121-$AC$76)/MAX(0.0001,$AC$77-$AC$76)-(N1121-$AC$78)/MAX(0.0001,$AC$79-$AC$78)),-1)</f>
        <v/>
      </c>
      <c r="T1121" s="14">
        <f>IF(G1121,O1121,NA())</f>
        <v/>
      </c>
      <c r="U1121" s="13">
        <f>IF(G1121,N1121,NA())</f>
        <v/>
      </c>
      <c r="V1121" s="14">
        <f>IF(R1121,O1121,NA())</f>
        <v/>
      </c>
      <c r="W1121" s="13">
        <f>IF(R1121,N1121,NA())</f>
        <v/>
      </c>
      <c r="X1121" s="27">
        <f>IF(G1121,P1121,"")</f>
        <v/>
      </c>
      <c r="Y1121" s="27">
        <f>IF(G1121,N1121,"")</f>
        <v/>
      </c>
      <c r="Z1121" s="27">
        <f>IF(R1121,O1121,"")</f>
        <v/>
      </c>
      <c r="AA1121" s="27">
        <f>IF(R1121,N1121,"")</f>
        <v/>
      </c>
    </row>
    <row r="1122">
      <c r="A1122" s="31" t="n">
        <v>0.4</v>
      </c>
      <c r="B1122" s="31" t="n">
        <v>0.1</v>
      </c>
      <c r="C1122" s="31" t="n">
        <v>0</v>
      </c>
      <c r="D1122" s="31" t="n">
        <v>0.5</v>
      </c>
      <c r="E1122" s="27" t="inlineStr">
        <is>
          <t>ON 40%/1M 10%/3M 50%</t>
        </is>
      </c>
      <c r="F1122" s="27" t="n">
        <v>25</v>
      </c>
      <c r="G1122" s="27">
        <f>A1122*$B$7&gt;=$B$9</f>
        <v/>
      </c>
      <c r="H1122" s="13">
        <f>$B$7*(A1122*E$71+B1122*F$71+C1122*G$71+D1122*H$71)+F1122/100*$B$7*J$71-$C$71</f>
        <v/>
      </c>
      <c r="I1122" s="13">
        <f>$B$7*(A1122*L$71+B1122*M$71+C1122*N$71+D1122*O$71)+F1122/100*$B$7*Q$71-$C$71</f>
        <v/>
      </c>
      <c r="J1122" s="13">
        <f>$B$7*(A1122*S$71+B1122*T$71+C1122*U$71+D1122*V$71)+F1122/100*$B$7*X$71-$C$71</f>
        <v/>
      </c>
      <c r="K1122" s="13">
        <f>$B$7*(A1122*Z$71+B1122*AA$71+C1122*AB$71+D1122*AC$71)+F1122/100*$B$7*AE$71-$C$71</f>
        <v/>
      </c>
      <c r="L1122" s="13">
        <f>$B$7*(A1122*AG$71+B1122*AH$71+C1122*AI$71+D1122*AJ$71)+F1122/100*$B$7*AL$71-$C$71</f>
        <v/>
      </c>
      <c r="M1122" s="13">
        <f>$B$7*(A1122*AN$71+B1122*AO$71+C1122*AP$71+D1122*AQ$71)+F1122/100*$B$7*AS$71-$C$71</f>
        <v/>
      </c>
      <c r="N1122" s="13">
        <f>SUMPRODUCT($H$24:$M$24,H1122:M1122)</f>
        <v/>
      </c>
      <c r="O1122" s="14">
        <f>SQRT(SUMPRODUCT($H$24:$M$24,(H1122:M1122-N1122)^2))</f>
        <v/>
      </c>
      <c r="P1122" s="13">
        <f>MIN(H1122:M1122)</f>
        <v/>
      </c>
      <c r="Q1122" s="13">
        <f>MAX(H1122:M1122)</f>
        <v/>
      </c>
      <c r="R1122" s="27">
        <f>IF(G1122,SUMPRODUCT(($G$76:$G$1505)*($N$76:$N$1505&gt;=N1122)*($O$76:$O$1505&lt;=O1122))=1,FALSE)</f>
        <v/>
      </c>
      <c r="S1122" s="16">
        <f>IF(R1122,ABS((O1122-$AC$76)/MAX(0.0001,$AC$77-$AC$76)-(N1122-$AC$78)/MAX(0.0001,$AC$79-$AC$78)),-1)</f>
        <v/>
      </c>
      <c r="T1122" s="14">
        <f>IF(G1122,O1122,NA())</f>
        <v/>
      </c>
      <c r="U1122" s="13">
        <f>IF(G1122,N1122,NA())</f>
        <v/>
      </c>
      <c r="V1122" s="14">
        <f>IF(R1122,O1122,NA())</f>
        <v/>
      </c>
      <c r="W1122" s="13">
        <f>IF(R1122,N1122,NA())</f>
        <v/>
      </c>
      <c r="X1122" s="27">
        <f>IF(G1122,P1122,"")</f>
        <v/>
      </c>
      <c r="Y1122" s="27">
        <f>IF(G1122,N1122,"")</f>
        <v/>
      </c>
      <c r="Z1122" s="27">
        <f>IF(R1122,O1122,"")</f>
        <v/>
      </c>
      <c r="AA1122" s="27">
        <f>IF(R1122,N1122,"")</f>
        <v/>
      </c>
    </row>
    <row r="1123">
      <c r="A1123" s="31" t="n">
        <v>0.4</v>
      </c>
      <c r="B1123" s="31" t="n">
        <v>0.1</v>
      </c>
      <c r="C1123" s="31" t="n">
        <v>0</v>
      </c>
      <c r="D1123" s="31" t="n">
        <v>0.5</v>
      </c>
      <c r="E1123" s="27" t="inlineStr">
        <is>
          <t>ON 40%/1M 10%/3M 50%</t>
        </is>
      </c>
      <c r="F1123" s="27" t="n">
        <v>50</v>
      </c>
      <c r="G1123" s="27">
        <f>A1123*$B$7&gt;=$B$9</f>
        <v/>
      </c>
      <c r="H1123" s="13">
        <f>$B$7*(A1123*E$71+B1123*F$71+C1123*G$71+D1123*H$71)+F1123/100*$B$7*J$71-$C$71</f>
        <v/>
      </c>
      <c r="I1123" s="13">
        <f>$B$7*(A1123*L$71+B1123*M$71+C1123*N$71+D1123*O$71)+F1123/100*$B$7*Q$71-$C$71</f>
        <v/>
      </c>
      <c r="J1123" s="13">
        <f>$B$7*(A1123*S$71+B1123*T$71+C1123*U$71+D1123*V$71)+F1123/100*$B$7*X$71-$C$71</f>
        <v/>
      </c>
      <c r="K1123" s="13">
        <f>$B$7*(A1123*Z$71+B1123*AA$71+C1123*AB$71+D1123*AC$71)+F1123/100*$B$7*AE$71-$C$71</f>
        <v/>
      </c>
      <c r="L1123" s="13">
        <f>$B$7*(A1123*AG$71+B1123*AH$71+C1123*AI$71+D1123*AJ$71)+F1123/100*$B$7*AL$71-$C$71</f>
        <v/>
      </c>
      <c r="M1123" s="13">
        <f>$B$7*(A1123*AN$71+B1123*AO$71+C1123*AP$71+D1123*AQ$71)+F1123/100*$B$7*AS$71-$C$71</f>
        <v/>
      </c>
      <c r="N1123" s="13">
        <f>SUMPRODUCT($H$24:$M$24,H1123:M1123)</f>
        <v/>
      </c>
      <c r="O1123" s="14">
        <f>SQRT(SUMPRODUCT($H$24:$M$24,(H1123:M1123-N1123)^2))</f>
        <v/>
      </c>
      <c r="P1123" s="13">
        <f>MIN(H1123:M1123)</f>
        <v/>
      </c>
      <c r="Q1123" s="13">
        <f>MAX(H1123:M1123)</f>
        <v/>
      </c>
      <c r="R1123" s="27">
        <f>IF(G1123,SUMPRODUCT(($G$76:$G$1505)*($N$76:$N$1505&gt;=N1123)*($O$76:$O$1505&lt;=O1123))=1,FALSE)</f>
        <v/>
      </c>
      <c r="S1123" s="16">
        <f>IF(R1123,ABS((O1123-$AC$76)/MAX(0.0001,$AC$77-$AC$76)-(N1123-$AC$78)/MAX(0.0001,$AC$79-$AC$78)),-1)</f>
        <v/>
      </c>
      <c r="T1123" s="14">
        <f>IF(G1123,O1123,NA())</f>
        <v/>
      </c>
      <c r="U1123" s="13">
        <f>IF(G1123,N1123,NA())</f>
        <v/>
      </c>
      <c r="V1123" s="14">
        <f>IF(R1123,O1123,NA())</f>
        <v/>
      </c>
      <c r="W1123" s="13">
        <f>IF(R1123,N1123,NA())</f>
        <v/>
      </c>
      <c r="X1123" s="27">
        <f>IF(G1123,P1123,"")</f>
        <v/>
      </c>
      <c r="Y1123" s="27">
        <f>IF(G1123,N1123,"")</f>
        <v/>
      </c>
      <c r="Z1123" s="27">
        <f>IF(R1123,O1123,"")</f>
        <v/>
      </c>
      <c r="AA1123" s="27">
        <f>IF(R1123,N1123,"")</f>
        <v/>
      </c>
    </row>
    <row r="1124">
      <c r="A1124" s="31" t="n">
        <v>0.4</v>
      </c>
      <c r="B1124" s="31" t="n">
        <v>0.1</v>
      </c>
      <c r="C1124" s="31" t="n">
        <v>0</v>
      </c>
      <c r="D1124" s="31" t="n">
        <v>0.5</v>
      </c>
      <c r="E1124" s="27" t="inlineStr">
        <is>
          <t>ON 40%/1M 10%/3M 50%</t>
        </is>
      </c>
      <c r="F1124" s="27" t="n">
        <v>75</v>
      </c>
      <c r="G1124" s="27">
        <f>A1124*$B$7&gt;=$B$9</f>
        <v/>
      </c>
      <c r="H1124" s="13">
        <f>$B$7*(A1124*E$71+B1124*F$71+C1124*G$71+D1124*H$71)+F1124/100*$B$7*J$71-$C$71</f>
        <v/>
      </c>
      <c r="I1124" s="13">
        <f>$B$7*(A1124*L$71+B1124*M$71+C1124*N$71+D1124*O$71)+F1124/100*$B$7*Q$71-$C$71</f>
        <v/>
      </c>
      <c r="J1124" s="13">
        <f>$B$7*(A1124*S$71+B1124*T$71+C1124*U$71+D1124*V$71)+F1124/100*$B$7*X$71-$C$71</f>
        <v/>
      </c>
      <c r="K1124" s="13">
        <f>$B$7*(A1124*Z$71+B1124*AA$71+C1124*AB$71+D1124*AC$71)+F1124/100*$B$7*AE$71-$C$71</f>
        <v/>
      </c>
      <c r="L1124" s="13">
        <f>$B$7*(A1124*AG$71+B1124*AH$71+C1124*AI$71+D1124*AJ$71)+F1124/100*$B$7*AL$71-$C$71</f>
        <v/>
      </c>
      <c r="M1124" s="13">
        <f>$B$7*(A1124*AN$71+B1124*AO$71+C1124*AP$71+D1124*AQ$71)+F1124/100*$B$7*AS$71-$C$71</f>
        <v/>
      </c>
      <c r="N1124" s="13">
        <f>SUMPRODUCT($H$24:$M$24,H1124:M1124)</f>
        <v/>
      </c>
      <c r="O1124" s="14">
        <f>SQRT(SUMPRODUCT($H$24:$M$24,(H1124:M1124-N1124)^2))</f>
        <v/>
      </c>
      <c r="P1124" s="13">
        <f>MIN(H1124:M1124)</f>
        <v/>
      </c>
      <c r="Q1124" s="13">
        <f>MAX(H1124:M1124)</f>
        <v/>
      </c>
      <c r="R1124" s="27">
        <f>IF(G1124,SUMPRODUCT(($G$76:$G$1505)*($N$76:$N$1505&gt;=N1124)*($O$76:$O$1505&lt;=O1124))=1,FALSE)</f>
        <v/>
      </c>
      <c r="S1124" s="16">
        <f>IF(R1124,ABS((O1124-$AC$76)/MAX(0.0001,$AC$77-$AC$76)-(N1124-$AC$78)/MAX(0.0001,$AC$79-$AC$78)),-1)</f>
        <v/>
      </c>
      <c r="T1124" s="14">
        <f>IF(G1124,O1124,NA())</f>
        <v/>
      </c>
      <c r="U1124" s="13">
        <f>IF(G1124,N1124,NA())</f>
        <v/>
      </c>
      <c r="V1124" s="14">
        <f>IF(R1124,O1124,NA())</f>
        <v/>
      </c>
      <c r="W1124" s="13">
        <f>IF(R1124,N1124,NA())</f>
        <v/>
      </c>
      <c r="X1124" s="27">
        <f>IF(G1124,P1124,"")</f>
        <v/>
      </c>
      <c r="Y1124" s="27">
        <f>IF(G1124,N1124,"")</f>
        <v/>
      </c>
      <c r="Z1124" s="27">
        <f>IF(R1124,O1124,"")</f>
        <v/>
      </c>
      <c r="AA1124" s="27">
        <f>IF(R1124,N1124,"")</f>
        <v/>
      </c>
    </row>
    <row r="1125">
      <c r="A1125" s="31" t="n">
        <v>0.4</v>
      </c>
      <c r="B1125" s="31" t="n">
        <v>0.1</v>
      </c>
      <c r="C1125" s="31" t="n">
        <v>0</v>
      </c>
      <c r="D1125" s="31" t="n">
        <v>0.5</v>
      </c>
      <c r="E1125" s="27" t="inlineStr">
        <is>
          <t>ON 40%/1M 10%/3M 50%</t>
        </is>
      </c>
      <c r="F1125" s="27" t="n">
        <v>100</v>
      </c>
      <c r="G1125" s="27">
        <f>A1125*$B$7&gt;=$B$9</f>
        <v/>
      </c>
      <c r="H1125" s="13">
        <f>$B$7*(A1125*E$71+B1125*F$71+C1125*G$71+D1125*H$71)+F1125/100*$B$7*J$71-$C$71</f>
        <v/>
      </c>
      <c r="I1125" s="13">
        <f>$B$7*(A1125*L$71+B1125*M$71+C1125*N$71+D1125*O$71)+F1125/100*$B$7*Q$71-$C$71</f>
        <v/>
      </c>
      <c r="J1125" s="13">
        <f>$B$7*(A1125*S$71+B1125*T$71+C1125*U$71+D1125*V$71)+F1125/100*$B$7*X$71-$C$71</f>
        <v/>
      </c>
      <c r="K1125" s="13">
        <f>$B$7*(A1125*Z$71+B1125*AA$71+C1125*AB$71+D1125*AC$71)+F1125/100*$B$7*AE$71-$C$71</f>
        <v/>
      </c>
      <c r="L1125" s="13">
        <f>$B$7*(A1125*AG$71+B1125*AH$71+C1125*AI$71+D1125*AJ$71)+F1125/100*$B$7*AL$71-$C$71</f>
        <v/>
      </c>
      <c r="M1125" s="13">
        <f>$B$7*(A1125*AN$71+B1125*AO$71+C1125*AP$71+D1125*AQ$71)+F1125/100*$B$7*AS$71-$C$71</f>
        <v/>
      </c>
      <c r="N1125" s="13">
        <f>SUMPRODUCT($H$24:$M$24,H1125:M1125)</f>
        <v/>
      </c>
      <c r="O1125" s="14">
        <f>SQRT(SUMPRODUCT($H$24:$M$24,(H1125:M1125-N1125)^2))</f>
        <v/>
      </c>
      <c r="P1125" s="13">
        <f>MIN(H1125:M1125)</f>
        <v/>
      </c>
      <c r="Q1125" s="13">
        <f>MAX(H1125:M1125)</f>
        <v/>
      </c>
      <c r="R1125" s="27">
        <f>IF(G1125,SUMPRODUCT(($G$76:$G$1505)*($N$76:$N$1505&gt;=N1125)*($O$76:$O$1505&lt;=O1125))=1,FALSE)</f>
        <v/>
      </c>
      <c r="S1125" s="16">
        <f>IF(R1125,ABS((O1125-$AC$76)/MAX(0.0001,$AC$77-$AC$76)-(N1125-$AC$78)/MAX(0.0001,$AC$79-$AC$78)),-1)</f>
        <v/>
      </c>
      <c r="T1125" s="14">
        <f>IF(G1125,O1125,NA())</f>
        <v/>
      </c>
      <c r="U1125" s="13">
        <f>IF(G1125,N1125,NA())</f>
        <v/>
      </c>
      <c r="V1125" s="14">
        <f>IF(R1125,O1125,NA())</f>
        <v/>
      </c>
      <c r="W1125" s="13">
        <f>IF(R1125,N1125,NA())</f>
        <v/>
      </c>
      <c r="X1125" s="27">
        <f>IF(G1125,P1125,"")</f>
        <v/>
      </c>
      <c r="Y1125" s="27">
        <f>IF(G1125,N1125,"")</f>
        <v/>
      </c>
      <c r="Z1125" s="27">
        <f>IF(R1125,O1125,"")</f>
        <v/>
      </c>
      <c r="AA1125" s="27">
        <f>IF(R1125,N1125,"")</f>
        <v/>
      </c>
    </row>
    <row r="1126">
      <c r="A1126" s="31" t="n">
        <v>0.4</v>
      </c>
      <c r="B1126" s="31" t="n">
        <v>0.1</v>
      </c>
      <c r="C1126" s="31" t="n">
        <v>0.1</v>
      </c>
      <c r="D1126" s="31" t="n">
        <v>0.4</v>
      </c>
      <c r="E1126" s="27" t="inlineStr">
        <is>
          <t>ON 40%/1M 10%/2M 10%/3M 40%</t>
        </is>
      </c>
      <c r="F1126" s="27" t="n">
        <v>0</v>
      </c>
      <c r="G1126" s="27">
        <f>A1126*$B$7&gt;=$B$9</f>
        <v/>
      </c>
      <c r="H1126" s="13">
        <f>$B$7*(A1126*E$71+B1126*F$71+C1126*G$71+D1126*H$71)+F1126/100*$B$7*J$71-$C$71</f>
        <v/>
      </c>
      <c r="I1126" s="13">
        <f>$B$7*(A1126*L$71+B1126*M$71+C1126*N$71+D1126*O$71)+F1126/100*$B$7*Q$71-$C$71</f>
        <v/>
      </c>
      <c r="J1126" s="13">
        <f>$B$7*(A1126*S$71+B1126*T$71+C1126*U$71+D1126*V$71)+F1126/100*$B$7*X$71-$C$71</f>
        <v/>
      </c>
      <c r="K1126" s="13">
        <f>$B$7*(A1126*Z$71+B1126*AA$71+C1126*AB$71+D1126*AC$71)+F1126/100*$B$7*AE$71-$C$71</f>
        <v/>
      </c>
      <c r="L1126" s="13">
        <f>$B$7*(A1126*AG$71+B1126*AH$71+C1126*AI$71+D1126*AJ$71)+F1126/100*$B$7*AL$71-$C$71</f>
        <v/>
      </c>
      <c r="M1126" s="13">
        <f>$B$7*(A1126*AN$71+B1126*AO$71+C1126*AP$71+D1126*AQ$71)+F1126/100*$B$7*AS$71-$C$71</f>
        <v/>
      </c>
      <c r="N1126" s="13">
        <f>SUMPRODUCT($H$24:$M$24,H1126:M1126)</f>
        <v/>
      </c>
      <c r="O1126" s="14">
        <f>SQRT(SUMPRODUCT($H$24:$M$24,(H1126:M1126-N1126)^2))</f>
        <v/>
      </c>
      <c r="P1126" s="13">
        <f>MIN(H1126:M1126)</f>
        <v/>
      </c>
      <c r="Q1126" s="13">
        <f>MAX(H1126:M1126)</f>
        <v/>
      </c>
      <c r="R1126" s="27">
        <f>IF(G1126,SUMPRODUCT(($G$76:$G$1505)*($N$76:$N$1505&gt;=N1126)*($O$76:$O$1505&lt;=O1126))=1,FALSE)</f>
        <v/>
      </c>
      <c r="S1126" s="16">
        <f>IF(R1126,ABS((O1126-$AC$76)/MAX(0.0001,$AC$77-$AC$76)-(N1126-$AC$78)/MAX(0.0001,$AC$79-$AC$78)),-1)</f>
        <v/>
      </c>
      <c r="T1126" s="14">
        <f>IF(G1126,O1126,NA())</f>
        <v/>
      </c>
      <c r="U1126" s="13">
        <f>IF(G1126,N1126,NA())</f>
        <v/>
      </c>
      <c r="V1126" s="14">
        <f>IF(R1126,O1126,NA())</f>
        <v/>
      </c>
      <c r="W1126" s="13">
        <f>IF(R1126,N1126,NA())</f>
        <v/>
      </c>
      <c r="X1126" s="27">
        <f>IF(G1126,P1126,"")</f>
        <v/>
      </c>
      <c r="Y1126" s="27">
        <f>IF(G1126,N1126,"")</f>
        <v/>
      </c>
      <c r="Z1126" s="27">
        <f>IF(R1126,O1126,"")</f>
        <v/>
      </c>
      <c r="AA1126" s="27">
        <f>IF(R1126,N1126,"")</f>
        <v/>
      </c>
    </row>
    <row r="1127">
      <c r="A1127" s="31" t="n">
        <v>0.4</v>
      </c>
      <c r="B1127" s="31" t="n">
        <v>0.1</v>
      </c>
      <c r="C1127" s="31" t="n">
        <v>0.1</v>
      </c>
      <c r="D1127" s="31" t="n">
        <v>0.4</v>
      </c>
      <c r="E1127" s="27" t="inlineStr">
        <is>
          <t>ON 40%/1M 10%/2M 10%/3M 40%</t>
        </is>
      </c>
      <c r="F1127" s="27" t="n">
        <v>25</v>
      </c>
      <c r="G1127" s="27">
        <f>A1127*$B$7&gt;=$B$9</f>
        <v/>
      </c>
      <c r="H1127" s="13">
        <f>$B$7*(A1127*E$71+B1127*F$71+C1127*G$71+D1127*H$71)+F1127/100*$B$7*J$71-$C$71</f>
        <v/>
      </c>
      <c r="I1127" s="13">
        <f>$B$7*(A1127*L$71+B1127*M$71+C1127*N$71+D1127*O$71)+F1127/100*$B$7*Q$71-$C$71</f>
        <v/>
      </c>
      <c r="J1127" s="13">
        <f>$B$7*(A1127*S$71+B1127*T$71+C1127*U$71+D1127*V$71)+F1127/100*$B$7*X$71-$C$71</f>
        <v/>
      </c>
      <c r="K1127" s="13">
        <f>$B$7*(A1127*Z$71+B1127*AA$71+C1127*AB$71+D1127*AC$71)+F1127/100*$B$7*AE$71-$C$71</f>
        <v/>
      </c>
      <c r="L1127" s="13">
        <f>$B$7*(A1127*AG$71+B1127*AH$71+C1127*AI$71+D1127*AJ$71)+F1127/100*$B$7*AL$71-$C$71</f>
        <v/>
      </c>
      <c r="M1127" s="13">
        <f>$B$7*(A1127*AN$71+B1127*AO$71+C1127*AP$71+D1127*AQ$71)+F1127/100*$B$7*AS$71-$C$71</f>
        <v/>
      </c>
      <c r="N1127" s="13">
        <f>SUMPRODUCT($H$24:$M$24,H1127:M1127)</f>
        <v/>
      </c>
      <c r="O1127" s="14">
        <f>SQRT(SUMPRODUCT($H$24:$M$24,(H1127:M1127-N1127)^2))</f>
        <v/>
      </c>
      <c r="P1127" s="13">
        <f>MIN(H1127:M1127)</f>
        <v/>
      </c>
      <c r="Q1127" s="13">
        <f>MAX(H1127:M1127)</f>
        <v/>
      </c>
      <c r="R1127" s="27">
        <f>IF(G1127,SUMPRODUCT(($G$76:$G$1505)*($N$76:$N$1505&gt;=N1127)*($O$76:$O$1505&lt;=O1127))=1,FALSE)</f>
        <v/>
      </c>
      <c r="S1127" s="16">
        <f>IF(R1127,ABS((O1127-$AC$76)/MAX(0.0001,$AC$77-$AC$76)-(N1127-$AC$78)/MAX(0.0001,$AC$79-$AC$78)),-1)</f>
        <v/>
      </c>
      <c r="T1127" s="14">
        <f>IF(G1127,O1127,NA())</f>
        <v/>
      </c>
      <c r="U1127" s="13">
        <f>IF(G1127,N1127,NA())</f>
        <v/>
      </c>
      <c r="V1127" s="14">
        <f>IF(R1127,O1127,NA())</f>
        <v/>
      </c>
      <c r="W1127" s="13">
        <f>IF(R1127,N1127,NA())</f>
        <v/>
      </c>
      <c r="X1127" s="27">
        <f>IF(G1127,P1127,"")</f>
        <v/>
      </c>
      <c r="Y1127" s="27">
        <f>IF(G1127,N1127,"")</f>
        <v/>
      </c>
      <c r="Z1127" s="27">
        <f>IF(R1127,O1127,"")</f>
        <v/>
      </c>
      <c r="AA1127" s="27">
        <f>IF(R1127,N1127,"")</f>
        <v/>
      </c>
    </row>
    <row r="1128">
      <c r="A1128" s="31" t="n">
        <v>0.4</v>
      </c>
      <c r="B1128" s="31" t="n">
        <v>0.1</v>
      </c>
      <c r="C1128" s="31" t="n">
        <v>0.1</v>
      </c>
      <c r="D1128" s="31" t="n">
        <v>0.4</v>
      </c>
      <c r="E1128" s="27" t="inlineStr">
        <is>
          <t>ON 40%/1M 10%/2M 10%/3M 40%</t>
        </is>
      </c>
      <c r="F1128" s="27" t="n">
        <v>50</v>
      </c>
      <c r="G1128" s="27">
        <f>A1128*$B$7&gt;=$B$9</f>
        <v/>
      </c>
      <c r="H1128" s="13">
        <f>$B$7*(A1128*E$71+B1128*F$71+C1128*G$71+D1128*H$71)+F1128/100*$B$7*J$71-$C$71</f>
        <v/>
      </c>
      <c r="I1128" s="13">
        <f>$B$7*(A1128*L$71+B1128*M$71+C1128*N$71+D1128*O$71)+F1128/100*$B$7*Q$71-$C$71</f>
        <v/>
      </c>
      <c r="J1128" s="13">
        <f>$B$7*(A1128*S$71+B1128*T$71+C1128*U$71+D1128*V$71)+F1128/100*$B$7*X$71-$C$71</f>
        <v/>
      </c>
      <c r="K1128" s="13">
        <f>$B$7*(A1128*Z$71+B1128*AA$71+C1128*AB$71+D1128*AC$71)+F1128/100*$B$7*AE$71-$C$71</f>
        <v/>
      </c>
      <c r="L1128" s="13">
        <f>$B$7*(A1128*AG$71+B1128*AH$71+C1128*AI$71+D1128*AJ$71)+F1128/100*$B$7*AL$71-$C$71</f>
        <v/>
      </c>
      <c r="M1128" s="13">
        <f>$B$7*(A1128*AN$71+B1128*AO$71+C1128*AP$71+D1128*AQ$71)+F1128/100*$B$7*AS$71-$C$71</f>
        <v/>
      </c>
      <c r="N1128" s="13">
        <f>SUMPRODUCT($H$24:$M$24,H1128:M1128)</f>
        <v/>
      </c>
      <c r="O1128" s="14">
        <f>SQRT(SUMPRODUCT($H$24:$M$24,(H1128:M1128-N1128)^2))</f>
        <v/>
      </c>
      <c r="P1128" s="13">
        <f>MIN(H1128:M1128)</f>
        <v/>
      </c>
      <c r="Q1128" s="13">
        <f>MAX(H1128:M1128)</f>
        <v/>
      </c>
      <c r="R1128" s="27">
        <f>IF(G1128,SUMPRODUCT(($G$76:$G$1505)*($N$76:$N$1505&gt;=N1128)*($O$76:$O$1505&lt;=O1128))=1,FALSE)</f>
        <v/>
      </c>
      <c r="S1128" s="16">
        <f>IF(R1128,ABS((O1128-$AC$76)/MAX(0.0001,$AC$77-$AC$76)-(N1128-$AC$78)/MAX(0.0001,$AC$79-$AC$78)),-1)</f>
        <v/>
      </c>
      <c r="T1128" s="14">
        <f>IF(G1128,O1128,NA())</f>
        <v/>
      </c>
      <c r="U1128" s="13">
        <f>IF(G1128,N1128,NA())</f>
        <v/>
      </c>
      <c r="V1128" s="14">
        <f>IF(R1128,O1128,NA())</f>
        <v/>
      </c>
      <c r="W1128" s="13">
        <f>IF(R1128,N1128,NA())</f>
        <v/>
      </c>
      <c r="X1128" s="27">
        <f>IF(G1128,P1128,"")</f>
        <v/>
      </c>
      <c r="Y1128" s="27">
        <f>IF(G1128,N1128,"")</f>
        <v/>
      </c>
      <c r="Z1128" s="27">
        <f>IF(R1128,O1128,"")</f>
        <v/>
      </c>
      <c r="AA1128" s="27">
        <f>IF(R1128,N1128,"")</f>
        <v/>
      </c>
    </row>
    <row r="1129">
      <c r="A1129" s="31" t="n">
        <v>0.4</v>
      </c>
      <c r="B1129" s="31" t="n">
        <v>0.1</v>
      </c>
      <c r="C1129" s="31" t="n">
        <v>0.1</v>
      </c>
      <c r="D1129" s="31" t="n">
        <v>0.4</v>
      </c>
      <c r="E1129" s="27" t="inlineStr">
        <is>
          <t>ON 40%/1M 10%/2M 10%/3M 40%</t>
        </is>
      </c>
      <c r="F1129" s="27" t="n">
        <v>75</v>
      </c>
      <c r="G1129" s="27">
        <f>A1129*$B$7&gt;=$B$9</f>
        <v/>
      </c>
      <c r="H1129" s="13">
        <f>$B$7*(A1129*E$71+B1129*F$71+C1129*G$71+D1129*H$71)+F1129/100*$B$7*J$71-$C$71</f>
        <v/>
      </c>
      <c r="I1129" s="13">
        <f>$B$7*(A1129*L$71+B1129*M$71+C1129*N$71+D1129*O$71)+F1129/100*$B$7*Q$71-$C$71</f>
        <v/>
      </c>
      <c r="J1129" s="13">
        <f>$B$7*(A1129*S$71+B1129*T$71+C1129*U$71+D1129*V$71)+F1129/100*$B$7*X$71-$C$71</f>
        <v/>
      </c>
      <c r="K1129" s="13">
        <f>$B$7*(A1129*Z$71+B1129*AA$71+C1129*AB$71+D1129*AC$71)+F1129/100*$B$7*AE$71-$C$71</f>
        <v/>
      </c>
      <c r="L1129" s="13">
        <f>$B$7*(A1129*AG$71+B1129*AH$71+C1129*AI$71+D1129*AJ$71)+F1129/100*$B$7*AL$71-$C$71</f>
        <v/>
      </c>
      <c r="M1129" s="13">
        <f>$B$7*(A1129*AN$71+B1129*AO$71+C1129*AP$71+D1129*AQ$71)+F1129/100*$B$7*AS$71-$C$71</f>
        <v/>
      </c>
      <c r="N1129" s="13">
        <f>SUMPRODUCT($H$24:$M$24,H1129:M1129)</f>
        <v/>
      </c>
      <c r="O1129" s="14">
        <f>SQRT(SUMPRODUCT($H$24:$M$24,(H1129:M1129-N1129)^2))</f>
        <v/>
      </c>
      <c r="P1129" s="13">
        <f>MIN(H1129:M1129)</f>
        <v/>
      </c>
      <c r="Q1129" s="13">
        <f>MAX(H1129:M1129)</f>
        <v/>
      </c>
      <c r="R1129" s="27">
        <f>IF(G1129,SUMPRODUCT(($G$76:$G$1505)*($N$76:$N$1505&gt;=N1129)*($O$76:$O$1505&lt;=O1129))=1,FALSE)</f>
        <v/>
      </c>
      <c r="S1129" s="16">
        <f>IF(R1129,ABS((O1129-$AC$76)/MAX(0.0001,$AC$77-$AC$76)-(N1129-$AC$78)/MAX(0.0001,$AC$79-$AC$78)),-1)</f>
        <v/>
      </c>
      <c r="T1129" s="14">
        <f>IF(G1129,O1129,NA())</f>
        <v/>
      </c>
      <c r="U1129" s="13">
        <f>IF(G1129,N1129,NA())</f>
        <v/>
      </c>
      <c r="V1129" s="14">
        <f>IF(R1129,O1129,NA())</f>
        <v/>
      </c>
      <c r="W1129" s="13">
        <f>IF(R1129,N1129,NA())</f>
        <v/>
      </c>
      <c r="X1129" s="27">
        <f>IF(G1129,P1129,"")</f>
        <v/>
      </c>
      <c r="Y1129" s="27">
        <f>IF(G1129,N1129,"")</f>
        <v/>
      </c>
      <c r="Z1129" s="27">
        <f>IF(R1129,O1129,"")</f>
        <v/>
      </c>
      <c r="AA1129" s="27">
        <f>IF(R1129,N1129,"")</f>
        <v/>
      </c>
    </row>
    <row r="1130">
      <c r="A1130" s="31" t="n">
        <v>0.4</v>
      </c>
      <c r="B1130" s="31" t="n">
        <v>0.1</v>
      </c>
      <c r="C1130" s="31" t="n">
        <v>0.1</v>
      </c>
      <c r="D1130" s="31" t="n">
        <v>0.4</v>
      </c>
      <c r="E1130" s="27" t="inlineStr">
        <is>
          <t>ON 40%/1M 10%/2M 10%/3M 40%</t>
        </is>
      </c>
      <c r="F1130" s="27" t="n">
        <v>100</v>
      </c>
      <c r="G1130" s="27">
        <f>A1130*$B$7&gt;=$B$9</f>
        <v/>
      </c>
      <c r="H1130" s="13">
        <f>$B$7*(A1130*E$71+B1130*F$71+C1130*G$71+D1130*H$71)+F1130/100*$B$7*J$71-$C$71</f>
        <v/>
      </c>
      <c r="I1130" s="13">
        <f>$B$7*(A1130*L$71+B1130*M$71+C1130*N$71+D1130*O$71)+F1130/100*$B$7*Q$71-$C$71</f>
        <v/>
      </c>
      <c r="J1130" s="13">
        <f>$B$7*(A1130*S$71+B1130*T$71+C1130*U$71+D1130*V$71)+F1130/100*$B$7*X$71-$C$71</f>
        <v/>
      </c>
      <c r="K1130" s="13">
        <f>$B$7*(A1130*Z$71+B1130*AA$71+C1130*AB$71+D1130*AC$71)+F1130/100*$B$7*AE$71-$C$71</f>
        <v/>
      </c>
      <c r="L1130" s="13">
        <f>$B$7*(A1130*AG$71+B1130*AH$71+C1130*AI$71+D1130*AJ$71)+F1130/100*$B$7*AL$71-$C$71</f>
        <v/>
      </c>
      <c r="M1130" s="13">
        <f>$B$7*(A1130*AN$71+B1130*AO$71+C1130*AP$71+D1130*AQ$71)+F1130/100*$B$7*AS$71-$C$71</f>
        <v/>
      </c>
      <c r="N1130" s="13">
        <f>SUMPRODUCT($H$24:$M$24,H1130:M1130)</f>
        <v/>
      </c>
      <c r="O1130" s="14">
        <f>SQRT(SUMPRODUCT($H$24:$M$24,(H1130:M1130-N1130)^2))</f>
        <v/>
      </c>
      <c r="P1130" s="13">
        <f>MIN(H1130:M1130)</f>
        <v/>
      </c>
      <c r="Q1130" s="13">
        <f>MAX(H1130:M1130)</f>
        <v/>
      </c>
      <c r="R1130" s="27">
        <f>IF(G1130,SUMPRODUCT(($G$76:$G$1505)*($N$76:$N$1505&gt;=N1130)*($O$76:$O$1505&lt;=O1130))=1,FALSE)</f>
        <v/>
      </c>
      <c r="S1130" s="16">
        <f>IF(R1130,ABS((O1130-$AC$76)/MAX(0.0001,$AC$77-$AC$76)-(N1130-$AC$78)/MAX(0.0001,$AC$79-$AC$78)),-1)</f>
        <v/>
      </c>
      <c r="T1130" s="14">
        <f>IF(G1130,O1130,NA())</f>
        <v/>
      </c>
      <c r="U1130" s="13">
        <f>IF(G1130,N1130,NA())</f>
        <v/>
      </c>
      <c r="V1130" s="14">
        <f>IF(R1130,O1130,NA())</f>
        <v/>
      </c>
      <c r="W1130" s="13">
        <f>IF(R1130,N1130,NA())</f>
        <v/>
      </c>
      <c r="X1130" s="27">
        <f>IF(G1130,P1130,"")</f>
        <v/>
      </c>
      <c r="Y1130" s="27">
        <f>IF(G1130,N1130,"")</f>
        <v/>
      </c>
      <c r="Z1130" s="27">
        <f>IF(R1130,O1130,"")</f>
        <v/>
      </c>
      <c r="AA1130" s="27">
        <f>IF(R1130,N1130,"")</f>
        <v/>
      </c>
    </row>
    <row r="1131">
      <c r="A1131" s="31" t="n">
        <v>0.4</v>
      </c>
      <c r="B1131" s="31" t="n">
        <v>0.1</v>
      </c>
      <c r="C1131" s="31" t="n">
        <v>0.2</v>
      </c>
      <c r="D1131" s="31" t="n">
        <v>0.3</v>
      </c>
      <c r="E1131" s="27" t="inlineStr">
        <is>
          <t>ON 40%/1M 10%/2M 20%/3M 30%</t>
        </is>
      </c>
      <c r="F1131" s="27" t="n">
        <v>0</v>
      </c>
      <c r="G1131" s="27">
        <f>A1131*$B$7&gt;=$B$9</f>
        <v/>
      </c>
      <c r="H1131" s="13">
        <f>$B$7*(A1131*E$71+B1131*F$71+C1131*G$71+D1131*H$71)+F1131/100*$B$7*J$71-$C$71</f>
        <v/>
      </c>
      <c r="I1131" s="13">
        <f>$B$7*(A1131*L$71+B1131*M$71+C1131*N$71+D1131*O$71)+F1131/100*$B$7*Q$71-$C$71</f>
        <v/>
      </c>
      <c r="J1131" s="13">
        <f>$B$7*(A1131*S$71+B1131*T$71+C1131*U$71+D1131*V$71)+F1131/100*$B$7*X$71-$C$71</f>
        <v/>
      </c>
      <c r="K1131" s="13">
        <f>$B$7*(A1131*Z$71+B1131*AA$71+C1131*AB$71+D1131*AC$71)+F1131/100*$B$7*AE$71-$C$71</f>
        <v/>
      </c>
      <c r="L1131" s="13">
        <f>$B$7*(A1131*AG$71+B1131*AH$71+C1131*AI$71+D1131*AJ$71)+F1131/100*$B$7*AL$71-$C$71</f>
        <v/>
      </c>
      <c r="M1131" s="13">
        <f>$B$7*(A1131*AN$71+B1131*AO$71+C1131*AP$71+D1131*AQ$71)+F1131/100*$B$7*AS$71-$C$71</f>
        <v/>
      </c>
      <c r="N1131" s="13">
        <f>SUMPRODUCT($H$24:$M$24,H1131:M1131)</f>
        <v/>
      </c>
      <c r="O1131" s="14">
        <f>SQRT(SUMPRODUCT($H$24:$M$24,(H1131:M1131-N1131)^2))</f>
        <v/>
      </c>
      <c r="P1131" s="13">
        <f>MIN(H1131:M1131)</f>
        <v/>
      </c>
      <c r="Q1131" s="13">
        <f>MAX(H1131:M1131)</f>
        <v/>
      </c>
      <c r="R1131" s="27">
        <f>IF(G1131,SUMPRODUCT(($G$76:$G$1505)*($N$76:$N$1505&gt;=N1131)*($O$76:$O$1505&lt;=O1131))=1,FALSE)</f>
        <v/>
      </c>
      <c r="S1131" s="16">
        <f>IF(R1131,ABS((O1131-$AC$76)/MAX(0.0001,$AC$77-$AC$76)-(N1131-$AC$78)/MAX(0.0001,$AC$79-$AC$78)),-1)</f>
        <v/>
      </c>
      <c r="T1131" s="14">
        <f>IF(G1131,O1131,NA())</f>
        <v/>
      </c>
      <c r="U1131" s="13">
        <f>IF(G1131,N1131,NA())</f>
        <v/>
      </c>
      <c r="V1131" s="14">
        <f>IF(R1131,O1131,NA())</f>
        <v/>
      </c>
      <c r="W1131" s="13">
        <f>IF(R1131,N1131,NA())</f>
        <v/>
      </c>
      <c r="X1131" s="27">
        <f>IF(G1131,P1131,"")</f>
        <v/>
      </c>
      <c r="Y1131" s="27">
        <f>IF(G1131,N1131,"")</f>
        <v/>
      </c>
      <c r="Z1131" s="27">
        <f>IF(R1131,O1131,"")</f>
        <v/>
      </c>
      <c r="AA1131" s="27">
        <f>IF(R1131,N1131,"")</f>
        <v/>
      </c>
    </row>
    <row r="1132">
      <c r="A1132" s="31" t="n">
        <v>0.4</v>
      </c>
      <c r="B1132" s="31" t="n">
        <v>0.1</v>
      </c>
      <c r="C1132" s="31" t="n">
        <v>0.2</v>
      </c>
      <c r="D1132" s="31" t="n">
        <v>0.3</v>
      </c>
      <c r="E1132" s="27" t="inlineStr">
        <is>
          <t>ON 40%/1M 10%/2M 20%/3M 30%</t>
        </is>
      </c>
      <c r="F1132" s="27" t="n">
        <v>25</v>
      </c>
      <c r="G1132" s="27">
        <f>A1132*$B$7&gt;=$B$9</f>
        <v/>
      </c>
      <c r="H1132" s="13">
        <f>$B$7*(A1132*E$71+B1132*F$71+C1132*G$71+D1132*H$71)+F1132/100*$B$7*J$71-$C$71</f>
        <v/>
      </c>
      <c r="I1132" s="13">
        <f>$B$7*(A1132*L$71+B1132*M$71+C1132*N$71+D1132*O$71)+F1132/100*$B$7*Q$71-$C$71</f>
        <v/>
      </c>
      <c r="J1132" s="13">
        <f>$B$7*(A1132*S$71+B1132*T$71+C1132*U$71+D1132*V$71)+F1132/100*$B$7*X$71-$C$71</f>
        <v/>
      </c>
      <c r="K1132" s="13">
        <f>$B$7*(A1132*Z$71+B1132*AA$71+C1132*AB$71+D1132*AC$71)+F1132/100*$B$7*AE$71-$C$71</f>
        <v/>
      </c>
      <c r="L1132" s="13">
        <f>$B$7*(A1132*AG$71+B1132*AH$71+C1132*AI$71+D1132*AJ$71)+F1132/100*$B$7*AL$71-$C$71</f>
        <v/>
      </c>
      <c r="M1132" s="13">
        <f>$B$7*(A1132*AN$71+B1132*AO$71+C1132*AP$71+D1132*AQ$71)+F1132/100*$B$7*AS$71-$C$71</f>
        <v/>
      </c>
      <c r="N1132" s="13">
        <f>SUMPRODUCT($H$24:$M$24,H1132:M1132)</f>
        <v/>
      </c>
      <c r="O1132" s="14">
        <f>SQRT(SUMPRODUCT($H$24:$M$24,(H1132:M1132-N1132)^2))</f>
        <v/>
      </c>
      <c r="P1132" s="13">
        <f>MIN(H1132:M1132)</f>
        <v/>
      </c>
      <c r="Q1132" s="13">
        <f>MAX(H1132:M1132)</f>
        <v/>
      </c>
      <c r="R1132" s="27">
        <f>IF(G1132,SUMPRODUCT(($G$76:$G$1505)*($N$76:$N$1505&gt;=N1132)*($O$76:$O$1505&lt;=O1132))=1,FALSE)</f>
        <v/>
      </c>
      <c r="S1132" s="16">
        <f>IF(R1132,ABS((O1132-$AC$76)/MAX(0.0001,$AC$77-$AC$76)-(N1132-$AC$78)/MAX(0.0001,$AC$79-$AC$78)),-1)</f>
        <v/>
      </c>
      <c r="T1132" s="14">
        <f>IF(G1132,O1132,NA())</f>
        <v/>
      </c>
      <c r="U1132" s="13">
        <f>IF(G1132,N1132,NA())</f>
        <v/>
      </c>
      <c r="V1132" s="14">
        <f>IF(R1132,O1132,NA())</f>
        <v/>
      </c>
      <c r="W1132" s="13">
        <f>IF(R1132,N1132,NA())</f>
        <v/>
      </c>
      <c r="X1132" s="27">
        <f>IF(G1132,P1132,"")</f>
        <v/>
      </c>
      <c r="Y1132" s="27">
        <f>IF(G1132,N1132,"")</f>
        <v/>
      </c>
      <c r="Z1132" s="27">
        <f>IF(R1132,O1132,"")</f>
        <v/>
      </c>
      <c r="AA1132" s="27">
        <f>IF(R1132,N1132,"")</f>
        <v/>
      </c>
    </row>
    <row r="1133">
      <c r="A1133" s="31" t="n">
        <v>0.4</v>
      </c>
      <c r="B1133" s="31" t="n">
        <v>0.1</v>
      </c>
      <c r="C1133" s="31" t="n">
        <v>0.2</v>
      </c>
      <c r="D1133" s="31" t="n">
        <v>0.3</v>
      </c>
      <c r="E1133" s="27" t="inlineStr">
        <is>
          <t>ON 40%/1M 10%/2M 20%/3M 30%</t>
        </is>
      </c>
      <c r="F1133" s="27" t="n">
        <v>50</v>
      </c>
      <c r="G1133" s="27">
        <f>A1133*$B$7&gt;=$B$9</f>
        <v/>
      </c>
      <c r="H1133" s="13">
        <f>$B$7*(A1133*E$71+B1133*F$71+C1133*G$71+D1133*H$71)+F1133/100*$B$7*J$71-$C$71</f>
        <v/>
      </c>
      <c r="I1133" s="13">
        <f>$B$7*(A1133*L$71+B1133*M$71+C1133*N$71+D1133*O$71)+F1133/100*$B$7*Q$71-$C$71</f>
        <v/>
      </c>
      <c r="J1133" s="13">
        <f>$B$7*(A1133*S$71+B1133*T$71+C1133*U$71+D1133*V$71)+F1133/100*$B$7*X$71-$C$71</f>
        <v/>
      </c>
      <c r="K1133" s="13">
        <f>$B$7*(A1133*Z$71+B1133*AA$71+C1133*AB$71+D1133*AC$71)+F1133/100*$B$7*AE$71-$C$71</f>
        <v/>
      </c>
      <c r="L1133" s="13">
        <f>$B$7*(A1133*AG$71+B1133*AH$71+C1133*AI$71+D1133*AJ$71)+F1133/100*$B$7*AL$71-$C$71</f>
        <v/>
      </c>
      <c r="M1133" s="13">
        <f>$B$7*(A1133*AN$71+B1133*AO$71+C1133*AP$71+D1133*AQ$71)+F1133/100*$B$7*AS$71-$C$71</f>
        <v/>
      </c>
      <c r="N1133" s="13">
        <f>SUMPRODUCT($H$24:$M$24,H1133:M1133)</f>
        <v/>
      </c>
      <c r="O1133" s="14">
        <f>SQRT(SUMPRODUCT($H$24:$M$24,(H1133:M1133-N1133)^2))</f>
        <v/>
      </c>
      <c r="P1133" s="13">
        <f>MIN(H1133:M1133)</f>
        <v/>
      </c>
      <c r="Q1133" s="13">
        <f>MAX(H1133:M1133)</f>
        <v/>
      </c>
      <c r="R1133" s="27">
        <f>IF(G1133,SUMPRODUCT(($G$76:$G$1505)*($N$76:$N$1505&gt;=N1133)*($O$76:$O$1505&lt;=O1133))=1,FALSE)</f>
        <v/>
      </c>
      <c r="S1133" s="16">
        <f>IF(R1133,ABS((O1133-$AC$76)/MAX(0.0001,$AC$77-$AC$76)-(N1133-$AC$78)/MAX(0.0001,$AC$79-$AC$78)),-1)</f>
        <v/>
      </c>
      <c r="T1133" s="14">
        <f>IF(G1133,O1133,NA())</f>
        <v/>
      </c>
      <c r="U1133" s="13">
        <f>IF(G1133,N1133,NA())</f>
        <v/>
      </c>
      <c r="V1133" s="14">
        <f>IF(R1133,O1133,NA())</f>
        <v/>
      </c>
      <c r="W1133" s="13">
        <f>IF(R1133,N1133,NA())</f>
        <v/>
      </c>
      <c r="X1133" s="27">
        <f>IF(G1133,P1133,"")</f>
        <v/>
      </c>
      <c r="Y1133" s="27">
        <f>IF(G1133,N1133,"")</f>
        <v/>
      </c>
      <c r="Z1133" s="27">
        <f>IF(R1133,O1133,"")</f>
        <v/>
      </c>
      <c r="AA1133" s="27">
        <f>IF(R1133,N1133,"")</f>
        <v/>
      </c>
    </row>
    <row r="1134">
      <c r="A1134" s="31" t="n">
        <v>0.4</v>
      </c>
      <c r="B1134" s="31" t="n">
        <v>0.1</v>
      </c>
      <c r="C1134" s="31" t="n">
        <v>0.2</v>
      </c>
      <c r="D1134" s="31" t="n">
        <v>0.3</v>
      </c>
      <c r="E1134" s="27" t="inlineStr">
        <is>
          <t>ON 40%/1M 10%/2M 20%/3M 30%</t>
        </is>
      </c>
      <c r="F1134" s="27" t="n">
        <v>75</v>
      </c>
      <c r="G1134" s="27">
        <f>A1134*$B$7&gt;=$B$9</f>
        <v/>
      </c>
      <c r="H1134" s="13">
        <f>$B$7*(A1134*E$71+B1134*F$71+C1134*G$71+D1134*H$71)+F1134/100*$B$7*J$71-$C$71</f>
        <v/>
      </c>
      <c r="I1134" s="13">
        <f>$B$7*(A1134*L$71+B1134*M$71+C1134*N$71+D1134*O$71)+F1134/100*$B$7*Q$71-$C$71</f>
        <v/>
      </c>
      <c r="J1134" s="13">
        <f>$B$7*(A1134*S$71+B1134*T$71+C1134*U$71+D1134*V$71)+F1134/100*$B$7*X$71-$C$71</f>
        <v/>
      </c>
      <c r="K1134" s="13">
        <f>$B$7*(A1134*Z$71+B1134*AA$71+C1134*AB$71+D1134*AC$71)+F1134/100*$B$7*AE$71-$C$71</f>
        <v/>
      </c>
      <c r="L1134" s="13">
        <f>$B$7*(A1134*AG$71+B1134*AH$71+C1134*AI$71+D1134*AJ$71)+F1134/100*$B$7*AL$71-$C$71</f>
        <v/>
      </c>
      <c r="M1134" s="13">
        <f>$B$7*(A1134*AN$71+B1134*AO$71+C1134*AP$71+D1134*AQ$71)+F1134/100*$B$7*AS$71-$C$71</f>
        <v/>
      </c>
      <c r="N1134" s="13">
        <f>SUMPRODUCT($H$24:$M$24,H1134:M1134)</f>
        <v/>
      </c>
      <c r="O1134" s="14">
        <f>SQRT(SUMPRODUCT($H$24:$M$24,(H1134:M1134-N1134)^2))</f>
        <v/>
      </c>
      <c r="P1134" s="13">
        <f>MIN(H1134:M1134)</f>
        <v/>
      </c>
      <c r="Q1134" s="13">
        <f>MAX(H1134:M1134)</f>
        <v/>
      </c>
      <c r="R1134" s="27">
        <f>IF(G1134,SUMPRODUCT(($G$76:$G$1505)*($N$76:$N$1505&gt;=N1134)*($O$76:$O$1505&lt;=O1134))=1,FALSE)</f>
        <v/>
      </c>
      <c r="S1134" s="16">
        <f>IF(R1134,ABS((O1134-$AC$76)/MAX(0.0001,$AC$77-$AC$76)-(N1134-$AC$78)/MAX(0.0001,$AC$79-$AC$78)),-1)</f>
        <v/>
      </c>
      <c r="T1134" s="14">
        <f>IF(G1134,O1134,NA())</f>
        <v/>
      </c>
      <c r="U1134" s="13">
        <f>IF(G1134,N1134,NA())</f>
        <v/>
      </c>
      <c r="V1134" s="14">
        <f>IF(R1134,O1134,NA())</f>
        <v/>
      </c>
      <c r="W1134" s="13">
        <f>IF(R1134,N1134,NA())</f>
        <v/>
      </c>
      <c r="X1134" s="27">
        <f>IF(G1134,P1134,"")</f>
        <v/>
      </c>
      <c r="Y1134" s="27">
        <f>IF(G1134,N1134,"")</f>
        <v/>
      </c>
      <c r="Z1134" s="27">
        <f>IF(R1134,O1134,"")</f>
        <v/>
      </c>
      <c r="AA1134" s="27">
        <f>IF(R1134,N1134,"")</f>
        <v/>
      </c>
    </row>
    <row r="1135">
      <c r="A1135" s="31" t="n">
        <v>0.4</v>
      </c>
      <c r="B1135" s="31" t="n">
        <v>0.1</v>
      </c>
      <c r="C1135" s="31" t="n">
        <v>0.2</v>
      </c>
      <c r="D1135" s="31" t="n">
        <v>0.3</v>
      </c>
      <c r="E1135" s="27" t="inlineStr">
        <is>
          <t>ON 40%/1M 10%/2M 20%/3M 30%</t>
        </is>
      </c>
      <c r="F1135" s="27" t="n">
        <v>100</v>
      </c>
      <c r="G1135" s="27">
        <f>A1135*$B$7&gt;=$B$9</f>
        <v/>
      </c>
      <c r="H1135" s="13">
        <f>$B$7*(A1135*E$71+B1135*F$71+C1135*G$71+D1135*H$71)+F1135/100*$B$7*J$71-$C$71</f>
        <v/>
      </c>
      <c r="I1135" s="13">
        <f>$B$7*(A1135*L$71+B1135*M$71+C1135*N$71+D1135*O$71)+F1135/100*$B$7*Q$71-$C$71</f>
        <v/>
      </c>
      <c r="J1135" s="13">
        <f>$B$7*(A1135*S$71+B1135*T$71+C1135*U$71+D1135*V$71)+F1135/100*$B$7*X$71-$C$71</f>
        <v/>
      </c>
      <c r="K1135" s="13">
        <f>$B$7*(A1135*Z$71+B1135*AA$71+C1135*AB$71+D1135*AC$71)+F1135/100*$B$7*AE$71-$C$71</f>
        <v/>
      </c>
      <c r="L1135" s="13">
        <f>$B$7*(A1135*AG$71+B1135*AH$71+C1135*AI$71+D1135*AJ$71)+F1135/100*$B$7*AL$71-$C$71</f>
        <v/>
      </c>
      <c r="M1135" s="13">
        <f>$B$7*(A1135*AN$71+B1135*AO$71+C1135*AP$71+D1135*AQ$71)+F1135/100*$B$7*AS$71-$C$71</f>
        <v/>
      </c>
      <c r="N1135" s="13">
        <f>SUMPRODUCT($H$24:$M$24,H1135:M1135)</f>
        <v/>
      </c>
      <c r="O1135" s="14">
        <f>SQRT(SUMPRODUCT($H$24:$M$24,(H1135:M1135-N1135)^2))</f>
        <v/>
      </c>
      <c r="P1135" s="13">
        <f>MIN(H1135:M1135)</f>
        <v/>
      </c>
      <c r="Q1135" s="13">
        <f>MAX(H1135:M1135)</f>
        <v/>
      </c>
      <c r="R1135" s="27">
        <f>IF(G1135,SUMPRODUCT(($G$76:$G$1505)*($N$76:$N$1505&gt;=N1135)*($O$76:$O$1505&lt;=O1135))=1,FALSE)</f>
        <v/>
      </c>
      <c r="S1135" s="16">
        <f>IF(R1135,ABS((O1135-$AC$76)/MAX(0.0001,$AC$77-$AC$76)-(N1135-$AC$78)/MAX(0.0001,$AC$79-$AC$78)),-1)</f>
        <v/>
      </c>
      <c r="T1135" s="14">
        <f>IF(G1135,O1135,NA())</f>
        <v/>
      </c>
      <c r="U1135" s="13">
        <f>IF(G1135,N1135,NA())</f>
        <v/>
      </c>
      <c r="V1135" s="14">
        <f>IF(R1135,O1135,NA())</f>
        <v/>
      </c>
      <c r="W1135" s="13">
        <f>IF(R1135,N1135,NA())</f>
        <v/>
      </c>
      <c r="X1135" s="27">
        <f>IF(G1135,P1135,"")</f>
        <v/>
      </c>
      <c r="Y1135" s="27">
        <f>IF(G1135,N1135,"")</f>
        <v/>
      </c>
      <c r="Z1135" s="27">
        <f>IF(R1135,O1135,"")</f>
        <v/>
      </c>
      <c r="AA1135" s="27">
        <f>IF(R1135,N1135,"")</f>
        <v/>
      </c>
    </row>
    <row r="1136">
      <c r="A1136" s="31" t="n">
        <v>0.4</v>
      </c>
      <c r="B1136" s="31" t="n">
        <v>0.1</v>
      </c>
      <c r="C1136" s="31" t="n">
        <v>0.3</v>
      </c>
      <c r="D1136" s="31" t="n">
        <v>0.2</v>
      </c>
      <c r="E1136" s="27" t="inlineStr">
        <is>
          <t>ON 40%/1M 10%/2M 30%/3M 20%</t>
        </is>
      </c>
      <c r="F1136" s="27" t="n">
        <v>0</v>
      </c>
      <c r="G1136" s="27">
        <f>A1136*$B$7&gt;=$B$9</f>
        <v/>
      </c>
      <c r="H1136" s="13">
        <f>$B$7*(A1136*E$71+B1136*F$71+C1136*G$71+D1136*H$71)+F1136/100*$B$7*J$71-$C$71</f>
        <v/>
      </c>
      <c r="I1136" s="13">
        <f>$B$7*(A1136*L$71+B1136*M$71+C1136*N$71+D1136*O$71)+F1136/100*$B$7*Q$71-$C$71</f>
        <v/>
      </c>
      <c r="J1136" s="13">
        <f>$B$7*(A1136*S$71+B1136*T$71+C1136*U$71+D1136*V$71)+F1136/100*$B$7*X$71-$C$71</f>
        <v/>
      </c>
      <c r="K1136" s="13">
        <f>$B$7*(A1136*Z$71+B1136*AA$71+C1136*AB$71+D1136*AC$71)+F1136/100*$B$7*AE$71-$C$71</f>
        <v/>
      </c>
      <c r="L1136" s="13">
        <f>$B$7*(A1136*AG$71+B1136*AH$71+C1136*AI$71+D1136*AJ$71)+F1136/100*$B$7*AL$71-$C$71</f>
        <v/>
      </c>
      <c r="M1136" s="13">
        <f>$B$7*(A1136*AN$71+B1136*AO$71+C1136*AP$71+D1136*AQ$71)+F1136/100*$B$7*AS$71-$C$71</f>
        <v/>
      </c>
      <c r="N1136" s="13">
        <f>SUMPRODUCT($H$24:$M$24,H1136:M1136)</f>
        <v/>
      </c>
      <c r="O1136" s="14">
        <f>SQRT(SUMPRODUCT($H$24:$M$24,(H1136:M1136-N1136)^2))</f>
        <v/>
      </c>
      <c r="P1136" s="13">
        <f>MIN(H1136:M1136)</f>
        <v/>
      </c>
      <c r="Q1136" s="13">
        <f>MAX(H1136:M1136)</f>
        <v/>
      </c>
      <c r="R1136" s="27">
        <f>IF(G1136,SUMPRODUCT(($G$76:$G$1505)*($N$76:$N$1505&gt;=N1136)*($O$76:$O$1505&lt;=O1136))=1,FALSE)</f>
        <v/>
      </c>
      <c r="S1136" s="16">
        <f>IF(R1136,ABS((O1136-$AC$76)/MAX(0.0001,$AC$77-$AC$76)-(N1136-$AC$78)/MAX(0.0001,$AC$79-$AC$78)),-1)</f>
        <v/>
      </c>
      <c r="T1136" s="14">
        <f>IF(G1136,O1136,NA())</f>
        <v/>
      </c>
      <c r="U1136" s="13">
        <f>IF(G1136,N1136,NA())</f>
        <v/>
      </c>
      <c r="V1136" s="14">
        <f>IF(R1136,O1136,NA())</f>
        <v/>
      </c>
      <c r="W1136" s="13">
        <f>IF(R1136,N1136,NA())</f>
        <v/>
      </c>
      <c r="X1136" s="27">
        <f>IF(G1136,P1136,"")</f>
        <v/>
      </c>
      <c r="Y1136" s="27">
        <f>IF(G1136,N1136,"")</f>
        <v/>
      </c>
      <c r="Z1136" s="27">
        <f>IF(R1136,O1136,"")</f>
        <v/>
      </c>
      <c r="AA1136" s="27">
        <f>IF(R1136,N1136,"")</f>
        <v/>
      </c>
    </row>
    <row r="1137">
      <c r="A1137" s="31" t="n">
        <v>0.4</v>
      </c>
      <c r="B1137" s="31" t="n">
        <v>0.1</v>
      </c>
      <c r="C1137" s="31" t="n">
        <v>0.3</v>
      </c>
      <c r="D1137" s="31" t="n">
        <v>0.2</v>
      </c>
      <c r="E1137" s="27" t="inlineStr">
        <is>
          <t>ON 40%/1M 10%/2M 30%/3M 20%</t>
        </is>
      </c>
      <c r="F1137" s="27" t="n">
        <v>25</v>
      </c>
      <c r="G1137" s="27">
        <f>A1137*$B$7&gt;=$B$9</f>
        <v/>
      </c>
      <c r="H1137" s="13">
        <f>$B$7*(A1137*E$71+B1137*F$71+C1137*G$71+D1137*H$71)+F1137/100*$B$7*J$71-$C$71</f>
        <v/>
      </c>
      <c r="I1137" s="13">
        <f>$B$7*(A1137*L$71+B1137*M$71+C1137*N$71+D1137*O$71)+F1137/100*$B$7*Q$71-$C$71</f>
        <v/>
      </c>
      <c r="J1137" s="13">
        <f>$B$7*(A1137*S$71+B1137*T$71+C1137*U$71+D1137*V$71)+F1137/100*$B$7*X$71-$C$71</f>
        <v/>
      </c>
      <c r="K1137" s="13">
        <f>$B$7*(A1137*Z$71+B1137*AA$71+C1137*AB$71+D1137*AC$71)+F1137/100*$B$7*AE$71-$C$71</f>
        <v/>
      </c>
      <c r="L1137" s="13">
        <f>$B$7*(A1137*AG$71+B1137*AH$71+C1137*AI$71+D1137*AJ$71)+F1137/100*$B$7*AL$71-$C$71</f>
        <v/>
      </c>
      <c r="M1137" s="13">
        <f>$B$7*(A1137*AN$71+B1137*AO$71+C1137*AP$71+D1137*AQ$71)+F1137/100*$B$7*AS$71-$C$71</f>
        <v/>
      </c>
      <c r="N1137" s="13">
        <f>SUMPRODUCT($H$24:$M$24,H1137:M1137)</f>
        <v/>
      </c>
      <c r="O1137" s="14">
        <f>SQRT(SUMPRODUCT($H$24:$M$24,(H1137:M1137-N1137)^2))</f>
        <v/>
      </c>
      <c r="P1137" s="13">
        <f>MIN(H1137:M1137)</f>
        <v/>
      </c>
      <c r="Q1137" s="13">
        <f>MAX(H1137:M1137)</f>
        <v/>
      </c>
      <c r="R1137" s="27">
        <f>IF(G1137,SUMPRODUCT(($G$76:$G$1505)*($N$76:$N$1505&gt;=N1137)*($O$76:$O$1505&lt;=O1137))=1,FALSE)</f>
        <v/>
      </c>
      <c r="S1137" s="16">
        <f>IF(R1137,ABS((O1137-$AC$76)/MAX(0.0001,$AC$77-$AC$76)-(N1137-$AC$78)/MAX(0.0001,$AC$79-$AC$78)),-1)</f>
        <v/>
      </c>
      <c r="T1137" s="14">
        <f>IF(G1137,O1137,NA())</f>
        <v/>
      </c>
      <c r="U1137" s="13">
        <f>IF(G1137,N1137,NA())</f>
        <v/>
      </c>
      <c r="V1137" s="14">
        <f>IF(R1137,O1137,NA())</f>
        <v/>
      </c>
      <c r="W1137" s="13">
        <f>IF(R1137,N1137,NA())</f>
        <v/>
      </c>
      <c r="X1137" s="27">
        <f>IF(G1137,P1137,"")</f>
        <v/>
      </c>
      <c r="Y1137" s="27">
        <f>IF(G1137,N1137,"")</f>
        <v/>
      </c>
      <c r="Z1137" s="27">
        <f>IF(R1137,O1137,"")</f>
        <v/>
      </c>
      <c r="AA1137" s="27">
        <f>IF(R1137,N1137,"")</f>
        <v/>
      </c>
    </row>
    <row r="1138">
      <c r="A1138" s="31" t="n">
        <v>0.4</v>
      </c>
      <c r="B1138" s="31" t="n">
        <v>0.1</v>
      </c>
      <c r="C1138" s="31" t="n">
        <v>0.3</v>
      </c>
      <c r="D1138" s="31" t="n">
        <v>0.2</v>
      </c>
      <c r="E1138" s="27" t="inlineStr">
        <is>
          <t>ON 40%/1M 10%/2M 30%/3M 20%</t>
        </is>
      </c>
      <c r="F1138" s="27" t="n">
        <v>50</v>
      </c>
      <c r="G1138" s="27">
        <f>A1138*$B$7&gt;=$B$9</f>
        <v/>
      </c>
      <c r="H1138" s="13">
        <f>$B$7*(A1138*E$71+B1138*F$71+C1138*G$71+D1138*H$71)+F1138/100*$B$7*J$71-$C$71</f>
        <v/>
      </c>
      <c r="I1138" s="13">
        <f>$B$7*(A1138*L$71+B1138*M$71+C1138*N$71+D1138*O$71)+F1138/100*$B$7*Q$71-$C$71</f>
        <v/>
      </c>
      <c r="J1138" s="13">
        <f>$B$7*(A1138*S$71+B1138*T$71+C1138*U$71+D1138*V$71)+F1138/100*$B$7*X$71-$C$71</f>
        <v/>
      </c>
      <c r="K1138" s="13">
        <f>$B$7*(A1138*Z$71+B1138*AA$71+C1138*AB$71+D1138*AC$71)+F1138/100*$B$7*AE$71-$C$71</f>
        <v/>
      </c>
      <c r="L1138" s="13">
        <f>$B$7*(A1138*AG$71+B1138*AH$71+C1138*AI$71+D1138*AJ$71)+F1138/100*$B$7*AL$71-$C$71</f>
        <v/>
      </c>
      <c r="M1138" s="13">
        <f>$B$7*(A1138*AN$71+B1138*AO$71+C1138*AP$71+D1138*AQ$71)+F1138/100*$B$7*AS$71-$C$71</f>
        <v/>
      </c>
      <c r="N1138" s="13">
        <f>SUMPRODUCT($H$24:$M$24,H1138:M1138)</f>
        <v/>
      </c>
      <c r="O1138" s="14">
        <f>SQRT(SUMPRODUCT($H$24:$M$24,(H1138:M1138-N1138)^2))</f>
        <v/>
      </c>
      <c r="P1138" s="13">
        <f>MIN(H1138:M1138)</f>
        <v/>
      </c>
      <c r="Q1138" s="13">
        <f>MAX(H1138:M1138)</f>
        <v/>
      </c>
      <c r="R1138" s="27">
        <f>IF(G1138,SUMPRODUCT(($G$76:$G$1505)*($N$76:$N$1505&gt;=N1138)*($O$76:$O$1505&lt;=O1138))=1,FALSE)</f>
        <v/>
      </c>
      <c r="S1138" s="16">
        <f>IF(R1138,ABS((O1138-$AC$76)/MAX(0.0001,$AC$77-$AC$76)-(N1138-$AC$78)/MAX(0.0001,$AC$79-$AC$78)),-1)</f>
        <v/>
      </c>
      <c r="T1138" s="14">
        <f>IF(G1138,O1138,NA())</f>
        <v/>
      </c>
      <c r="U1138" s="13">
        <f>IF(G1138,N1138,NA())</f>
        <v/>
      </c>
      <c r="V1138" s="14">
        <f>IF(R1138,O1138,NA())</f>
        <v/>
      </c>
      <c r="W1138" s="13">
        <f>IF(R1138,N1138,NA())</f>
        <v/>
      </c>
      <c r="X1138" s="27">
        <f>IF(G1138,P1138,"")</f>
        <v/>
      </c>
      <c r="Y1138" s="27">
        <f>IF(G1138,N1138,"")</f>
        <v/>
      </c>
      <c r="Z1138" s="27">
        <f>IF(R1138,O1138,"")</f>
        <v/>
      </c>
      <c r="AA1138" s="27">
        <f>IF(R1138,N1138,"")</f>
        <v/>
      </c>
    </row>
    <row r="1139">
      <c r="A1139" s="31" t="n">
        <v>0.4</v>
      </c>
      <c r="B1139" s="31" t="n">
        <v>0.1</v>
      </c>
      <c r="C1139" s="31" t="n">
        <v>0.3</v>
      </c>
      <c r="D1139" s="31" t="n">
        <v>0.2</v>
      </c>
      <c r="E1139" s="27" t="inlineStr">
        <is>
          <t>ON 40%/1M 10%/2M 30%/3M 20%</t>
        </is>
      </c>
      <c r="F1139" s="27" t="n">
        <v>75</v>
      </c>
      <c r="G1139" s="27">
        <f>A1139*$B$7&gt;=$B$9</f>
        <v/>
      </c>
      <c r="H1139" s="13">
        <f>$B$7*(A1139*E$71+B1139*F$71+C1139*G$71+D1139*H$71)+F1139/100*$B$7*J$71-$C$71</f>
        <v/>
      </c>
      <c r="I1139" s="13">
        <f>$B$7*(A1139*L$71+B1139*M$71+C1139*N$71+D1139*O$71)+F1139/100*$B$7*Q$71-$C$71</f>
        <v/>
      </c>
      <c r="J1139" s="13">
        <f>$B$7*(A1139*S$71+B1139*T$71+C1139*U$71+D1139*V$71)+F1139/100*$B$7*X$71-$C$71</f>
        <v/>
      </c>
      <c r="K1139" s="13">
        <f>$B$7*(A1139*Z$71+B1139*AA$71+C1139*AB$71+D1139*AC$71)+F1139/100*$B$7*AE$71-$C$71</f>
        <v/>
      </c>
      <c r="L1139" s="13">
        <f>$B$7*(A1139*AG$71+B1139*AH$71+C1139*AI$71+D1139*AJ$71)+F1139/100*$B$7*AL$71-$C$71</f>
        <v/>
      </c>
      <c r="M1139" s="13">
        <f>$B$7*(A1139*AN$71+B1139*AO$71+C1139*AP$71+D1139*AQ$71)+F1139/100*$B$7*AS$71-$C$71</f>
        <v/>
      </c>
      <c r="N1139" s="13">
        <f>SUMPRODUCT($H$24:$M$24,H1139:M1139)</f>
        <v/>
      </c>
      <c r="O1139" s="14">
        <f>SQRT(SUMPRODUCT($H$24:$M$24,(H1139:M1139-N1139)^2))</f>
        <v/>
      </c>
      <c r="P1139" s="13">
        <f>MIN(H1139:M1139)</f>
        <v/>
      </c>
      <c r="Q1139" s="13">
        <f>MAX(H1139:M1139)</f>
        <v/>
      </c>
      <c r="R1139" s="27">
        <f>IF(G1139,SUMPRODUCT(($G$76:$G$1505)*($N$76:$N$1505&gt;=N1139)*($O$76:$O$1505&lt;=O1139))=1,FALSE)</f>
        <v/>
      </c>
      <c r="S1139" s="16">
        <f>IF(R1139,ABS((O1139-$AC$76)/MAX(0.0001,$AC$77-$AC$76)-(N1139-$AC$78)/MAX(0.0001,$AC$79-$AC$78)),-1)</f>
        <v/>
      </c>
      <c r="T1139" s="14">
        <f>IF(G1139,O1139,NA())</f>
        <v/>
      </c>
      <c r="U1139" s="13">
        <f>IF(G1139,N1139,NA())</f>
        <v/>
      </c>
      <c r="V1139" s="14">
        <f>IF(R1139,O1139,NA())</f>
        <v/>
      </c>
      <c r="W1139" s="13">
        <f>IF(R1139,N1139,NA())</f>
        <v/>
      </c>
      <c r="X1139" s="27">
        <f>IF(G1139,P1139,"")</f>
        <v/>
      </c>
      <c r="Y1139" s="27">
        <f>IF(G1139,N1139,"")</f>
        <v/>
      </c>
      <c r="Z1139" s="27">
        <f>IF(R1139,O1139,"")</f>
        <v/>
      </c>
      <c r="AA1139" s="27">
        <f>IF(R1139,N1139,"")</f>
        <v/>
      </c>
    </row>
    <row r="1140">
      <c r="A1140" s="31" t="n">
        <v>0.4</v>
      </c>
      <c r="B1140" s="31" t="n">
        <v>0.1</v>
      </c>
      <c r="C1140" s="31" t="n">
        <v>0.3</v>
      </c>
      <c r="D1140" s="31" t="n">
        <v>0.2</v>
      </c>
      <c r="E1140" s="27" t="inlineStr">
        <is>
          <t>ON 40%/1M 10%/2M 30%/3M 20%</t>
        </is>
      </c>
      <c r="F1140" s="27" t="n">
        <v>100</v>
      </c>
      <c r="G1140" s="27">
        <f>A1140*$B$7&gt;=$B$9</f>
        <v/>
      </c>
      <c r="H1140" s="13">
        <f>$B$7*(A1140*E$71+B1140*F$71+C1140*G$71+D1140*H$71)+F1140/100*$B$7*J$71-$C$71</f>
        <v/>
      </c>
      <c r="I1140" s="13">
        <f>$B$7*(A1140*L$71+B1140*M$71+C1140*N$71+D1140*O$71)+F1140/100*$B$7*Q$71-$C$71</f>
        <v/>
      </c>
      <c r="J1140" s="13">
        <f>$B$7*(A1140*S$71+B1140*T$71+C1140*U$71+D1140*V$71)+F1140/100*$B$7*X$71-$C$71</f>
        <v/>
      </c>
      <c r="K1140" s="13">
        <f>$B$7*(A1140*Z$71+B1140*AA$71+C1140*AB$71+D1140*AC$71)+F1140/100*$B$7*AE$71-$C$71</f>
        <v/>
      </c>
      <c r="L1140" s="13">
        <f>$B$7*(A1140*AG$71+B1140*AH$71+C1140*AI$71+D1140*AJ$71)+F1140/100*$B$7*AL$71-$C$71</f>
        <v/>
      </c>
      <c r="M1140" s="13">
        <f>$B$7*(A1140*AN$71+B1140*AO$71+C1140*AP$71+D1140*AQ$71)+F1140/100*$B$7*AS$71-$C$71</f>
        <v/>
      </c>
      <c r="N1140" s="13">
        <f>SUMPRODUCT($H$24:$M$24,H1140:M1140)</f>
        <v/>
      </c>
      <c r="O1140" s="14">
        <f>SQRT(SUMPRODUCT($H$24:$M$24,(H1140:M1140-N1140)^2))</f>
        <v/>
      </c>
      <c r="P1140" s="13">
        <f>MIN(H1140:M1140)</f>
        <v/>
      </c>
      <c r="Q1140" s="13">
        <f>MAX(H1140:M1140)</f>
        <v/>
      </c>
      <c r="R1140" s="27">
        <f>IF(G1140,SUMPRODUCT(($G$76:$G$1505)*($N$76:$N$1505&gt;=N1140)*($O$76:$O$1505&lt;=O1140))=1,FALSE)</f>
        <v/>
      </c>
      <c r="S1140" s="16">
        <f>IF(R1140,ABS((O1140-$AC$76)/MAX(0.0001,$AC$77-$AC$76)-(N1140-$AC$78)/MAX(0.0001,$AC$79-$AC$78)),-1)</f>
        <v/>
      </c>
      <c r="T1140" s="14">
        <f>IF(G1140,O1140,NA())</f>
        <v/>
      </c>
      <c r="U1140" s="13">
        <f>IF(G1140,N1140,NA())</f>
        <v/>
      </c>
      <c r="V1140" s="14">
        <f>IF(R1140,O1140,NA())</f>
        <v/>
      </c>
      <c r="W1140" s="13">
        <f>IF(R1140,N1140,NA())</f>
        <v/>
      </c>
      <c r="X1140" s="27">
        <f>IF(G1140,P1140,"")</f>
        <v/>
      </c>
      <c r="Y1140" s="27">
        <f>IF(G1140,N1140,"")</f>
        <v/>
      </c>
      <c r="Z1140" s="27">
        <f>IF(R1140,O1140,"")</f>
        <v/>
      </c>
      <c r="AA1140" s="27">
        <f>IF(R1140,N1140,"")</f>
        <v/>
      </c>
    </row>
    <row r="1141">
      <c r="A1141" s="31" t="n">
        <v>0.4</v>
      </c>
      <c r="B1141" s="31" t="n">
        <v>0.1</v>
      </c>
      <c r="C1141" s="31" t="n">
        <v>0.4</v>
      </c>
      <c r="D1141" s="31" t="n">
        <v>0.1</v>
      </c>
      <c r="E1141" s="27" t="inlineStr">
        <is>
          <t>ON 40%/1M 10%/2M 40%/3M 10%</t>
        </is>
      </c>
      <c r="F1141" s="27" t="n">
        <v>0</v>
      </c>
      <c r="G1141" s="27">
        <f>A1141*$B$7&gt;=$B$9</f>
        <v/>
      </c>
      <c r="H1141" s="13">
        <f>$B$7*(A1141*E$71+B1141*F$71+C1141*G$71+D1141*H$71)+F1141/100*$B$7*J$71-$C$71</f>
        <v/>
      </c>
      <c r="I1141" s="13">
        <f>$B$7*(A1141*L$71+B1141*M$71+C1141*N$71+D1141*O$71)+F1141/100*$B$7*Q$71-$C$71</f>
        <v/>
      </c>
      <c r="J1141" s="13">
        <f>$B$7*(A1141*S$71+B1141*T$71+C1141*U$71+D1141*V$71)+F1141/100*$B$7*X$71-$C$71</f>
        <v/>
      </c>
      <c r="K1141" s="13">
        <f>$B$7*(A1141*Z$71+B1141*AA$71+C1141*AB$71+D1141*AC$71)+F1141/100*$B$7*AE$71-$C$71</f>
        <v/>
      </c>
      <c r="L1141" s="13">
        <f>$B$7*(A1141*AG$71+B1141*AH$71+C1141*AI$71+D1141*AJ$71)+F1141/100*$B$7*AL$71-$C$71</f>
        <v/>
      </c>
      <c r="M1141" s="13">
        <f>$B$7*(A1141*AN$71+B1141*AO$71+C1141*AP$71+D1141*AQ$71)+F1141/100*$B$7*AS$71-$C$71</f>
        <v/>
      </c>
      <c r="N1141" s="13">
        <f>SUMPRODUCT($H$24:$M$24,H1141:M1141)</f>
        <v/>
      </c>
      <c r="O1141" s="14">
        <f>SQRT(SUMPRODUCT($H$24:$M$24,(H1141:M1141-N1141)^2))</f>
        <v/>
      </c>
      <c r="P1141" s="13">
        <f>MIN(H1141:M1141)</f>
        <v/>
      </c>
      <c r="Q1141" s="13">
        <f>MAX(H1141:M1141)</f>
        <v/>
      </c>
      <c r="R1141" s="27">
        <f>IF(G1141,SUMPRODUCT(($G$76:$G$1505)*($N$76:$N$1505&gt;=N1141)*($O$76:$O$1505&lt;=O1141))=1,FALSE)</f>
        <v/>
      </c>
      <c r="S1141" s="16">
        <f>IF(R1141,ABS((O1141-$AC$76)/MAX(0.0001,$AC$77-$AC$76)-(N1141-$AC$78)/MAX(0.0001,$AC$79-$AC$78)),-1)</f>
        <v/>
      </c>
      <c r="T1141" s="14">
        <f>IF(G1141,O1141,NA())</f>
        <v/>
      </c>
      <c r="U1141" s="13">
        <f>IF(G1141,N1141,NA())</f>
        <v/>
      </c>
      <c r="V1141" s="14">
        <f>IF(R1141,O1141,NA())</f>
        <v/>
      </c>
      <c r="W1141" s="13">
        <f>IF(R1141,N1141,NA())</f>
        <v/>
      </c>
      <c r="X1141" s="27">
        <f>IF(G1141,P1141,"")</f>
        <v/>
      </c>
      <c r="Y1141" s="27">
        <f>IF(G1141,N1141,"")</f>
        <v/>
      </c>
      <c r="Z1141" s="27">
        <f>IF(R1141,O1141,"")</f>
        <v/>
      </c>
      <c r="AA1141" s="27">
        <f>IF(R1141,N1141,"")</f>
        <v/>
      </c>
    </row>
    <row r="1142">
      <c r="A1142" s="31" t="n">
        <v>0.4</v>
      </c>
      <c r="B1142" s="31" t="n">
        <v>0.1</v>
      </c>
      <c r="C1142" s="31" t="n">
        <v>0.4</v>
      </c>
      <c r="D1142" s="31" t="n">
        <v>0.1</v>
      </c>
      <c r="E1142" s="27" t="inlineStr">
        <is>
          <t>ON 40%/1M 10%/2M 40%/3M 10%</t>
        </is>
      </c>
      <c r="F1142" s="27" t="n">
        <v>25</v>
      </c>
      <c r="G1142" s="27">
        <f>A1142*$B$7&gt;=$B$9</f>
        <v/>
      </c>
      <c r="H1142" s="13">
        <f>$B$7*(A1142*E$71+B1142*F$71+C1142*G$71+D1142*H$71)+F1142/100*$B$7*J$71-$C$71</f>
        <v/>
      </c>
      <c r="I1142" s="13">
        <f>$B$7*(A1142*L$71+B1142*M$71+C1142*N$71+D1142*O$71)+F1142/100*$B$7*Q$71-$C$71</f>
        <v/>
      </c>
      <c r="J1142" s="13">
        <f>$B$7*(A1142*S$71+B1142*T$71+C1142*U$71+D1142*V$71)+F1142/100*$B$7*X$71-$C$71</f>
        <v/>
      </c>
      <c r="K1142" s="13">
        <f>$B$7*(A1142*Z$71+B1142*AA$71+C1142*AB$71+D1142*AC$71)+F1142/100*$B$7*AE$71-$C$71</f>
        <v/>
      </c>
      <c r="L1142" s="13">
        <f>$B$7*(A1142*AG$71+B1142*AH$71+C1142*AI$71+D1142*AJ$71)+F1142/100*$B$7*AL$71-$C$71</f>
        <v/>
      </c>
      <c r="M1142" s="13">
        <f>$B$7*(A1142*AN$71+B1142*AO$71+C1142*AP$71+D1142*AQ$71)+F1142/100*$B$7*AS$71-$C$71</f>
        <v/>
      </c>
      <c r="N1142" s="13">
        <f>SUMPRODUCT($H$24:$M$24,H1142:M1142)</f>
        <v/>
      </c>
      <c r="O1142" s="14">
        <f>SQRT(SUMPRODUCT($H$24:$M$24,(H1142:M1142-N1142)^2))</f>
        <v/>
      </c>
      <c r="P1142" s="13">
        <f>MIN(H1142:M1142)</f>
        <v/>
      </c>
      <c r="Q1142" s="13">
        <f>MAX(H1142:M1142)</f>
        <v/>
      </c>
      <c r="R1142" s="27">
        <f>IF(G1142,SUMPRODUCT(($G$76:$G$1505)*($N$76:$N$1505&gt;=N1142)*($O$76:$O$1505&lt;=O1142))=1,FALSE)</f>
        <v/>
      </c>
      <c r="S1142" s="16">
        <f>IF(R1142,ABS((O1142-$AC$76)/MAX(0.0001,$AC$77-$AC$76)-(N1142-$AC$78)/MAX(0.0001,$AC$79-$AC$78)),-1)</f>
        <v/>
      </c>
      <c r="T1142" s="14">
        <f>IF(G1142,O1142,NA())</f>
        <v/>
      </c>
      <c r="U1142" s="13">
        <f>IF(G1142,N1142,NA())</f>
        <v/>
      </c>
      <c r="V1142" s="14">
        <f>IF(R1142,O1142,NA())</f>
        <v/>
      </c>
      <c r="W1142" s="13">
        <f>IF(R1142,N1142,NA())</f>
        <v/>
      </c>
      <c r="X1142" s="27">
        <f>IF(G1142,P1142,"")</f>
        <v/>
      </c>
      <c r="Y1142" s="27">
        <f>IF(G1142,N1142,"")</f>
        <v/>
      </c>
      <c r="Z1142" s="27">
        <f>IF(R1142,O1142,"")</f>
        <v/>
      </c>
      <c r="AA1142" s="27">
        <f>IF(R1142,N1142,"")</f>
        <v/>
      </c>
    </row>
    <row r="1143">
      <c r="A1143" s="31" t="n">
        <v>0.4</v>
      </c>
      <c r="B1143" s="31" t="n">
        <v>0.1</v>
      </c>
      <c r="C1143" s="31" t="n">
        <v>0.4</v>
      </c>
      <c r="D1143" s="31" t="n">
        <v>0.1</v>
      </c>
      <c r="E1143" s="27" t="inlineStr">
        <is>
          <t>ON 40%/1M 10%/2M 40%/3M 10%</t>
        </is>
      </c>
      <c r="F1143" s="27" t="n">
        <v>50</v>
      </c>
      <c r="G1143" s="27">
        <f>A1143*$B$7&gt;=$B$9</f>
        <v/>
      </c>
      <c r="H1143" s="13">
        <f>$B$7*(A1143*E$71+B1143*F$71+C1143*G$71+D1143*H$71)+F1143/100*$B$7*J$71-$C$71</f>
        <v/>
      </c>
      <c r="I1143" s="13">
        <f>$B$7*(A1143*L$71+B1143*M$71+C1143*N$71+D1143*O$71)+F1143/100*$B$7*Q$71-$C$71</f>
        <v/>
      </c>
      <c r="J1143" s="13">
        <f>$B$7*(A1143*S$71+B1143*T$71+C1143*U$71+D1143*V$71)+F1143/100*$B$7*X$71-$C$71</f>
        <v/>
      </c>
      <c r="K1143" s="13">
        <f>$B$7*(A1143*Z$71+B1143*AA$71+C1143*AB$71+D1143*AC$71)+F1143/100*$B$7*AE$71-$C$71</f>
        <v/>
      </c>
      <c r="L1143" s="13">
        <f>$B$7*(A1143*AG$71+B1143*AH$71+C1143*AI$71+D1143*AJ$71)+F1143/100*$B$7*AL$71-$C$71</f>
        <v/>
      </c>
      <c r="M1143" s="13">
        <f>$B$7*(A1143*AN$71+B1143*AO$71+C1143*AP$71+D1143*AQ$71)+F1143/100*$B$7*AS$71-$C$71</f>
        <v/>
      </c>
      <c r="N1143" s="13">
        <f>SUMPRODUCT($H$24:$M$24,H1143:M1143)</f>
        <v/>
      </c>
      <c r="O1143" s="14">
        <f>SQRT(SUMPRODUCT($H$24:$M$24,(H1143:M1143-N1143)^2))</f>
        <v/>
      </c>
      <c r="P1143" s="13">
        <f>MIN(H1143:M1143)</f>
        <v/>
      </c>
      <c r="Q1143" s="13">
        <f>MAX(H1143:M1143)</f>
        <v/>
      </c>
      <c r="R1143" s="27">
        <f>IF(G1143,SUMPRODUCT(($G$76:$G$1505)*($N$76:$N$1505&gt;=N1143)*($O$76:$O$1505&lt;=O1143))=1,FALSE)</f>
        <v/>
      </c>
      <c r="S1143" s="16">
        <f>IF(R1143,ABS((O1143-$AC$76)/MAX(0.0001,$AC$77-$AC$76)-(N1143-$AC$78)/MAX(0.0001,$AC$79-$AC$78)),-1)</f>
        <v/>
      </c>
      <c r="T1143" s="14">
        <f>IF(G1143,O1143,NA())</f>
        <v/>
      </c>
      <c r="U1143" s="13">
        <f>IF(G1143,N1143,NA())</f>
        <v/>
      </c>
      <c r="V1143" s="14">
        <f>IF(R1143,O1143,NA())</f>
        <v/>
      </c>
      <c r="W1143" s="13">
        <f>IF(R1143,N1143,NA())</f>
        <v/>
      </c>
      <c r="X1143" s="27">
        <f>IF(G1143,P1143,"")</f>
        <v/>
      </c>
      <c r="Y1143" s="27">
        <f>IF(G1143,N1143,"")</f>
        <v/>
      </c>
      <c r="Z1143" s="27">
        <f>IF(R1143,O1143,"")</f>
        <v/>
      </c>
      <c r="AA1143" s="27">
        <f>IF(R1143,N1143,"")</f>
        <v/>
      </c>
    </row>
    <row r="1144">
      <c r="A1144" s="31" t="n">
        <v>0.4</v>
      </c>
      <c r="B1144" s="31" t="n">
        <v>0.1</v>
      </c>
      <c r="C1144" s="31" t="n">
        <v>0.4</v>
      </c>
      <c r="D1144" s="31" t="n">
        <v>0.1</v>
      </c>
      <c r="E1144" s="27" t="inlineStr">
        <is>
          <t>ON 40%/1M 10%/2M 40%/3M 10%</t>
        </is>
      </c>
      <c r="F1144" s="27" t="n">
        <v>75</v>
      </c>
      <c r="G1144" s="27">
        <f>A1144*$B$7&gt;=$B$9</f>
        <v/>
      </c>
      <c r="H1144" s="13">
        <f>$B$7*(A1144*E$71+B1144*F$71+C1144*G$71+D1144*H$71)+F1144/100*$B$7*J$71-$C$71</f>
        <v/>
      </c>
      <c r="I1144" s="13">
        <f>$B$7*(A1144*L$71+B1144*M$71+C1144*N$71+D1144*O$71)+F1144/100*$B$7*Q$71-$C$71</f>
        <v/>
      </c>
      <c r="J1144" s="13">
        <f>$B$7*(A1144*S$71+B1144*T$71+C1144*U$71+D1144*V$71)+F1144/100*$B$7*X$71-$C$71</f>
        <v/>
      </c>
      <c r="K1144" s="13">
        <f>$B$7*(A1144*Z$71+B1144*AA$71+C1144*AB$71+D1144*AC$71)+F1144/100*$B$7*AE$71-$C$71</f>
        <v/>
      </c>
      <c r="L1144" s="13">
        <f>$B$7*(A1144*AG$71+B1144*AH$71+C1144*AI$71+D1144*AJ$71)+F1144/100*$B$7*AL$71-$C$71</f>
        <v/>
      </c>
      <c r="M1144" s="13">
        <f>$B$7*(A1144*AN$71+B1144*AO$71+C1144*AP$71+D1144*AQ$71)+F1144/100*$B$7*AS$71-$C$71</f>
        <v/>
      </c>
      <c r="N1144" s="13">
        <f>SUMPRODUCT($H$24:$M$24,H1144:M1144)</f>
        <v/>
      </c>
      <c r="O1144" s="14">
        <f>SQRT(SUMPRODUCT($H$24:$M$24,(H1144:M1144-N1144)^2))</f>
        <v/>
      </c>
      <c r="P1144" s="13">
        <f>MIN(H1144:M1144)</f>
        <v/>
      </c>
      <c r="Q1144" s="13">
        <f>MAX(H1144:M1144)</f>
        <v/>
      </c>
      <c r="R1144" s="27">
        <f>IF(G1144,SUMPRODUCT(($G$76:$G$1505)*($N$76:$N$1505&gt;=N1144)*($O$76:$O$1505&lt;=O1144))=1,FALSE)</f>
        <v/>
      </c>
      <c r="S1144" s="16">
        <f>IF(R1144,ABS((O1144-$AC$76)/MAX(0.0001,$AC$77-$AC$76)-(N1144-$AC$78)/MAX(0.0001,$AC$79-$AC$78)),-1)</f>
        <v/>
      </c>
      <c r="T1144" s="14">
        <f>IF(G1144,O1144,NA())</f>
        <v/>
      </c>
      <c r="U1144" s="13">
        <f>IF(G1144,N1144,NA())</f>
        <v/>
      </c>
      <c r="V1144" s="14">
        <f>IF(R1144,O1144,NA())</f>
        <v/>
      </c>
      <c r="W1144" s="13">
        <f>IF(R1144,N1144,NA())</f>
        <v/>
      </c>
      <c r="X1144" s="27">
        <f>IF(G1144,P1144,"")</f>
        <v/>
      </c>
      <c r="Y1144" s="27">
        <f>IF(G1144,N1144,"")</f>
        <v/>
      </c>
      <c r="Z1144" s="27">
        <f>IF(R1144,O1144,"")</f>
        <v/>
      </c>
      <c r="AA1144" s="27">
        <f>IF(R1144,N1144,"")</f>
        <v/>
      </c>
    </row>
    <row r="1145">
      <c r="A1145" s="31" t="n">
        <v>0.4</v>
      </c>
      <c r="B1145" s="31" t="n">
        <v>0.1</v>
      </c>
      <c r="C1145" s="31" t="n">
        <v>0.4</v>
      </c>
      <c r="D1145" s="31" t="n">
        <v>0.1</v>
      </c>
      <c r="E1145" s="27" t="inlineStr">
        <is>
          <t>ON 40%/1M 10%/2M 40%/3M 10%</t>
        </is>
      </c>
      <c r="F1145" s="27" t="n">
        <v>100</v>
      </c>
      <c r="G1145" s="27">
        <f>A1145*$B$7&gt;=$B$9</f>
        <v/>
      </c>
      <c r="H1145" s="13">
        <f>$B$7*(A1145*E$71+B1145*F$71+C1145*G$71+D1145*H$71)+F1145/100*$B$7*J$71-$C$71</f>
        <v/>
      </c>
      <c r="I1145" s="13">
        <f>$B$7*(A1145*L$71+B1145*M$71+C1145*N$71+D1145*O$71)+F1145/100*$B$7*Q$71-$C$71</f>
        <v/>
      </c>
      <c r="J1145" s="13">
        <f>$B$7*(A1145*S$71+B1145*T$71+C1145*U$71+D1145*V$71)+F1145/100*$B$7*X$71-$C$71</f>
        <v/>
      </c>
      <c r="K1145" s="13">
        <f>$B$7*(A1145*Z$71+B1145*AA$71+C1145*AB$71+D1145*AC$71)+F1145/100*$B$7*AE$71-$C$71</f>
        <v/>
      </c>
      <c r="L1145" s="13">
        <f>$B$7*(A1145*AG$71+B1145*AH$71+C1145*AI$71+D1145*AJ$71)+F1145/100*$B$7*AL$71-$C$71</f>
        <v/>
      </c>
      <c r="M1145" s="13">
        <f>$B$7*(A1145*AN$71+B1145*AO$71+C1145*AP$71+D1145*AQ$71)+F1145/100*$B$7*AS$71-$C$71</f>
        <v/>
      </c>
      <c r="N1145" s="13">
        <f>SUMPRODUCT($H$24:$M$24,H1145:M1145)</f>
        <v/>
      </c>
      <c r="O1145" s="14">
        <f>SQRT(SUMPRODUCT($H$24:$M$24,(H1145:M1145-N1145)^2))</f>
        <v/>
      </c>
      <c r="P1145" s="13">
        <f>MIN(H1145:M1145)</f>
        <v/>
      </c>
      <c r="Q1145" s="13">
        <f>MAX(H1145:M1145)</f>
        <v/>
      </c>
      <c r="R1145" s="27">
        <f>IF(G1145,SUMPRODUCT(($G$76:$G$1505)*($N$76:$N$1505&gt;=N1145)*($O$76:$O$1505&lt;=O1145))=1,FALSE)</f>
        <v/>
      </c>
      <c r="S1145" s="16">
        <f>IF(R1145,ABS((O1145-$AC$76)/MAX(0.0001,$AC$77-$AC$76)-(N1145-$AC$78)/MAX(0.0001,$AC$79-$AC$78)),-1)</f>
        <v/>
      </c>
      <c r="T1145" s="14">
        <f>IF(G1145,O1145,NA())</f>
        <v/>
      </c>
      <c r="U1145" s="13">
        <f>IF(G1145,N1145,NA())</f>
        <v/>
      </c>
      <c r="V1145" s="14">
        <f>IF(R1145,O1145,NA())</f>
        <v/>
      </c>
      <c r="W1145" s="13">
        <f>IF(R1145,N1145,NA())</f>
        <v/>
      </c>
      <c r="X1145" s="27">
        <f>IF(G1145,P1145,"")</f>
        <v/>
      </c>
      <c r="Y1145" s="27">
        <f>IF(G1145,N1145,"")</f>
        <v/>
      </c>
      <c r="Z1145" s="27">
        <f>IF(R1145,O1145,"")</f>
        <v/>
      </c>
      <c r="AA1145" s="27">
        <f>IF(R1145,N1145,"")</f>
        <v/>
      </c>
    </row>
    <row r="1146">
      <c r="A1146" s="31" t="n">
        <v>0.4</v>
      </c>
      <c r="B1146" s="31" t="n">
        <v>0.1</v>
      </c>
      <c r="C1146" s="31" t="n">
        <v>0.5</v>
      </c>
      <c r="D1146" s="31" t="n">
        <v>0</v>
      </c>
      <c r="E1146" s="27" t="inlineStr">
        <is>
          <t>ON 40%/1M 10%/2M 50%</t>
        </is>
      </c>
      <c r="F1146" s="27" t="n">
        <v>0</v>
      </c>
      <c r="G1146" s="27">
        <f>A1146*$B$7&gt;=$B$9</f>
        <v/>
      </c>
      <c r="H1146" s="13">
        <f>$B$7*(A1146*E$71+B1146*F$71+C1146*G$71+D1146*H$71)+F1146/100*$B$7*J$71-$C$71</f>
        <v/>
      </c>
      <c r="I1146" s="13">
        <f>$B$7*(A1146*L$71+B1146*M$71+C1146*N$71+D1146*O$71)+F1146/100*$B$7*Q$71-$C$71</f>
        <v/>
      </c>
      <c r="J1146" s="13">
        <f>$B$7*(A1146*S$71+B1146*T$71+C1146*U$71+D1146*V$71)+F1146/100*$B$7*X$71-$C$71</f>
        <v/>
      </c>
      <c r="K1146" s="13">
        <f>$B$7*(A1146*Z$71+B1146*AA$71+C1146*AB$71+D1146*AC$71)+F1146/100*$B$7*AE$71-$C$71</f>
        <v/>
      </c>
      <c r="L1146" s="13">
        <f>$B$7*(A1146*AG$71+B1146*AH$71+C1146*AI$71+D1146*AJ$71)+F1146/100*$B$7*AL$71-$C$71</f>
        <v/>
      </c>
      <c r="M1146" s="13">
        <f>$B$7*(A1146*AN$71+B1146*AO$71+C1146*AP$71+D1146*AQ$71)+F1146/100*$B$7*AS$71-$C$71</f>
        <v/>
      </c>
      <c r="N1146" s="13">
        <f>SUMPRODUCT($H$24:$M$24,H1146:M1146)</f>
        <v/>
      </c>
      <c r="O1146" s="14">
        <f>SQRT(SUMPRODUCT($H$24:$M$24,(H1146:M1146-N1146)^2))</f>
        <v/>
      </c>
      <c r="P1146" s="13">
        <f>MIN(H1146:M1146)</f>
        <v/>
      </c>
      <c r="Q1146" s="13">
        <f>MAX(H1146:M1146)</f>
        <v/>
      </c>
      <c r="R1146" s="27">
        <f>IF(G1146,SUMPRODUCT(($G$76:$G$1505)*($N$76:$N$1505&gt;=N1146)*($O$76:$O$1505&lt;=O1146))=1,FALSE)</f>
        <v/>
      </c>
      <c r="S1146" s="16">
        <f>IF(R1146,ABS((O1146-$AC$76)/MAX(0.0001,$AC$77-$AC$76)-(N1146-$AC$78)/MAX(0.0001,$AC$79-$AC$78)),-1)</f>
        <v/>
      </c>
      <c r="T1146" s="14">
        <f>IF(G1146,O1146,NA())</f>
        <v/>
      </c>
      <c r="U1146" s="13">
        <f>IF(G1146,N1146,NA())</f>
        <v/>
      </c>
      <c r="V1146" s="14">
        <f>IF(R1146,O1146,NA())</f>
        <v/>
      </c>
      <c r="W1146" s="13">
        <f>IF(R1146,N1146,NA())</f>
        <v/>
      </c>
      <c r="X1146" s="27">
        <f>IF(G1146,P1146,"")</f>
        <v/>
      </c>
      <c r="Y1146" s="27">
        <f>IF(G1146,N1146,"")</f>
        <v/>
      </c>
      <c r="Z1146" s="27">
        <f>IF(R1146,O1146,"")</f>
        <v/>
      </c>
      <c r="AA1146" s="27">
        <f>IF(R1146,N1146,"")</f>
        <v/>
      </c>
    </row>
    <row r="1147">
      <c r="A1147" s="31" t="n">
        <v>0.4</v>
      </c>
      <c r="B1147" s="31" t="n">
        <v>0.1</v>
      </c>
      <c r="C1147" s="31" t="n">
        <v>0.5</v>
      </c>
      <c r="D1147" s="31" t="n">
        <v>0</v>
      </c>
      <c r="E1147" s="27" t="inlineStr">
        <is>
          <t>ON 40%/1M 10%/2M 50%</t>
        </is>
      </c>
      <c r="F1147" s="27" t="n">
        <v>25</v>
      </c>
      <c r="G1147" s="27">
        <f>A1147*$B$7&gt;=$B$9</f>
        <v/>
      </c>
      <c r="H1147" s="13">
        <f>$B$7*(A1147*E$71+B1147*F$71+C1147*G$71+D1147*H$71)+F1147/100*$B$7*J$71-$C$71</f>
        <v/>
      </c>
      <c r="I1147" s="13">
        <f>$B$7*(A1147*L$71+B1147*M$71+C1147*N$71+D1147*O$71)+F1147/100*$B$7*Q$71-$C$71</f>
        <v/>
      </c>
      <c r="J1147" s="13">
        <f>$B$7*(A1147*S$71+B1147*T$71+C1147*U$71+D1147*V$71)+F1147/100*$B$7*X$71-$C$71</f>
        <v/>
      </c>
      <c r="K1147" s="13">
        <f>$B$7*(A1147*Z$71+B1147*AA$71+C1147*AB$71+D1147*AC$71)+F1147/100*$B$7*AE$71-$C$71</f>
        <v/>
      </c>
      <c r="L1147" s="13">
        <f>$B$7*(A1147*AG$71+B1147*AH$71+C1147*AI$71+D1147*AJ$71)+F1147/100*$B$7*AL$71-$C$71</f>
        <v/>
      </c>
      <c r="M1147" s="13">
        <f>$B$7*(A1147*AN$71+B1147*AO$71+C1147*AP$71+D1147*AQ$71)+F1147/100*$B$7*AS$71-$C$71</f>
        <v/>
      </c>
      <c r="N1147" s="13">
        <f>SUMPRODUCT($H$24:$M$24,H1147:M1147)</f>
        <v/>
      </c>
      <c r="O1147" s="14">
        <f>SQRT(SUMPRODUCT($H$24:$M$24,(H1147:M1147-N1147)^2))</f>
        <v/>
      </c>
      <c r="P1147" s="13">
        <f>MIN(H1147:M1147)</f>
        <v/>
      </c>
      <c r="Q1147" s="13">
        <f>MAX(H1147:M1147)</f>
        <v/>
      </c>
      <c r="R1147" s="27">
        <f>IF(G1147,SUMPRODUCT(($G$76:$G$1505)*($N$76:$N$1505&gt;=N1147)*($O$76:$O$1505&lt;=O1147))=1,FALSE)</f>
        <v/>
      </c>
      <c r="S1147" s="16">
        <f>IF(R1147,ABS((O1147-$AC$76)/MAX(0.0001,$AC$77-$AC$76)-(N1147-$AC$78)/MAX(0.0001,$AC$79-$AC$78)),-1)</f>
        <v/>
      </c>
      <c r="T1147" s="14">
        <f>IF(G1147,O1147,NA())</f>
        <v/>
      </c>
      <c r="U1147" s="13">
        <f>IF(G1147,N1147,NA())</f>
        <v/>
      </c>
      <c r="V1147" s="14">
        <f>IF(R1147,O1147,NA())</f>
        <v/>
      </c>
      <c r="W1147" s="13">
        <f>IF(R1147,N1147,NA())</f>
        <v/>
      </c>
      <c r="X1147" s="27">
        <f>IF(G1147,P1147,"")</f>
        <v/>
      </c>
      <c r="Y1147" s="27">
        <f>IF(G1147,N1147,"")</f>
        <v/>
      </c>
      <c r="Z1147" s="27">
        <f>IF(R1147,O1147,"")</f>
        <v/>
      </c>
      <c r="AA1147" s="27">
        <f>IF(R1147,N1147,"")</f>
        <v/>
      </c>
    </row>
    <row r="1148">
      <c r="A1148" s="31" t="n">
        <v>0.4</v>
      </c>
      <c r="B1148" s="31" t="n">
        <v>0.1</v>
      </c>
      <c r="C1148" s="31" t="n">
        <v>0.5</v>
      </c>
      <c r="D1148" s="31" t="n">
        <v>0</v>
      </c>
      <c r="E1148" s="27" t="inlineStr">
        <is>
          <t>ON 40%/1M 10%/2M 50%</t>
        </is>
      </c>
      <c r="F1148" s="27" t="n">
        <v>50</v>
      </c>
      <c r="G1148" s="27">
        <f>A1148*$B$7&gt;=$B$9</f>
        <v/>
      </c>
      <c r="H1148" s="13">
        <f>$B$7*(A1148*E$71+B1148*F$71+C1148*G$71+D1148*H$71)+F1148/100*$B$7*J$71-$C$71</f>
        <v/>
      </c>
      <c r="I1148" s="13">
        <f>$B$7*(A1148*L$71+B1148*M$71+C1148*N$71+D1148*O$71)+F1148/100*$B$7*Q$71-$C$71</f>
        <v/>
      </c>
      <c r="J1148" s="13">
        <f>$B$7*(A1148*S$71+B1148*T$71+C1148*U$71+D1148*V$71)+F1148/100*$B$7*X$71-$C$71</f>
        <v/>
      </c>
      <c r="K1148" s="13">
        <f>$B$7*(A1148*Z$71+B1148*AA$71+C1148*AB$71+D1148*AC$71)+F1148/100*$B$7*AE$71-$C$71</f>
        <v/>
      </c>
      <c r="L1148" s="13">
        <f>$B$7*(A1148*AG$71+B1148*AH$71+C1148*AI$71+D1148*AJ$71)+F1148/100*$B$7*AL$71-$C$71</f>
        <v/>
      </c>
      <c r="M1148" s="13">
        <f>$B$7*(A1148*AN$71+B1148*AO$71+C1148*AP$71+D1148*AQ$71)+F1148/100*$B$7*AS$71-$C$71</f>
        <v/>
      </c>
      <c r="N1148" s="13">
        <f>SUMPRODUCT($H$24:$M$24,H1148:M1148)</f>
        <v/>
      </c>
      <c r="O1148" s="14">
        <f>SQRT(SUMPRODUCT($H$24:$M$24,(H1148:M1148-N1148)^2))</f>
        <v/>
      </c>
      <c r="P1148" s="13">
        <f>MIN(H1148:M1148)</f>
        <v/>
      </c>
      <c r="Q1148" s="13">
        <f>MAX(H1148:M1148)</f>
        <v/>
      </c>
      <c r="R1148" s="27">
        <f>IF(G1148,SUMPRODUCT(($G$76:$G$1505)*($N$76:$N$1505&gt;=N1148)*($O$76:$O$1505&lt;=O1148))=1,FALSE)</f>
        <v/>
      </c>
      <c r="S1148" s="16">
        <f>IF(R1148,ABS((O1148-$AC$76)/MAX(0.0001,$AC$77-$AC$76)-(N1148-$AC$78)/MAX(0.0001,$AC$79-$AC$78)),-1)</f>
        <v/>
      </c>
      <c r="T1148" s="14">
        <f>IF(G1148,O1148,NA())</f>
        <v/>
      </c>
      <c r="U1148" s="13">
        <f>IF(G1148,N1148,NA())</f>
        <v/>
      </c>
      <c r="V1148" s="14">
        <f>IF(R1148,O1148,NA())</f>
        <v/>
      </c>
      <c r="W1148" s="13">
        <f>IF(R1148,N1148,NA())</f>
        <v/>
      </c>
      <c r="X1148" s="27">
        <f>IF(G1148,P1148,"")</f>
        <v/>
      </c>
      <c r="Y1148" s="27">
        <f>IF(G1148,N1148,"")</f>
        <v/>
      </c>
      <c r="Z1148" s="27">
        <f>IF(R1148,O1148,"")</f>
        <v/>
      </c>
      <c r="AA1148" s="27">
        <f>IF(R1148,N1148,"")</f>
        <v/>
      </c>
    </row>
    <row r="1149">
      <c r="A1149" s="31" t="n">
        <v>0.4</v>
      </c>
      <c r="B1149" s="31" t="n">
        <v>0.1</v>
      </c>
      <c r="C1149" s="31" t="n">
        <v>0.5</v>
      </c>
      <c r="D1149" s="31" t="n">
        <v>0</v>
      </c>
      <c r="E1149" s="27" t="inlineStr">
        <is>
          <t>ON 40%/1M 10%/2M 50%</t>
        </is>
      </c>
      <c r="F1149" s="27" t="n">
        <v>75</v>
      </c>
      <c r="G1149" s="27">
        <f>A1149*$B$7&gt;=$B$9</f>
        <v/>
      </c>
      <c r="H1149" s="13">
        <f>$B$7*(A1149*E$71+B1149*F$71+C1149*G$71+D1149*H$71)+F1149/100*$B$7*J$71-$C$71</f>
        <v/>
      </c>
      <c r="I1149" s="13">
        <f>$B$7*(A1149*L$71+B1149*M$71+C1149*N$71+D1149*O$71)+F1149/100*$B$7*Q$71-$C$71</f>
        <v/>
      </c>
      <c r="J1149" s="13">
        <f>$B$7*(A1149*S$71+B1149*T$71+C1149*U$71+D1149*V$71)+F1149/100*$B$7*X$71-$C$71</f>
        <v/>
      </c>
      <c r="K1149" s="13">
        <f>$B$7*(A1149*Z$71+B1149*AA$71+C1149*AB$71+D1149*AC$71)+F1149/100*$B$7*AE$71-$C$71</f>
        <v/>
      </c>
      <c r="L1149" s="13">
        <f>$B$7*(A1149*AG$71+B1149*AH$71+C1149*AI$71+D1149*AJ$71)+F1149/100*$B$7*AL$71-$C$71</f>
        <v/>
      </c>
      <c r="M1149" s="13">
        <f>$B$7*(A1149*AN$71+B1149*AO$71+C1149*AP$71+D1149*AQ$71)+F1149/100*$B$7*AS$71-$C$71</f>
        <v/>
      </c>
      <c r="N1149" s="13">
        <f>SUMPRODUCT($H$24:$M$24,H1149:M1149)</f>
        <v/>
      </c>
      <c r="O1149" s="14">
        <f>SQRT(SUMPRODUCT($H$24:$M$24,(H1149:M1149-N1149)^2))</f>
        <v/>
      </c>
      <c r="P1149" s="13">
        <f>MIN(H1149:M1149)</f>
        <v/>
      </c>
      <c r="Q1149" s="13">
        <f>MAX(H1149:M1149)</f>
        <v/>
      </c>
      <c r="R1149" s="27">
        <f>IF(G1149,SUMPRODUCT(($G$76:$G$1505)*($N$76:$N$1505&gt;=N1149)*($O$76:$O$1505&lt;=O1149))=1,FALSE)</f>
        <v/>
      </c>
      <c r="S1149" s="16">
        <f>IF(R1149,ABS((O1149-$AC$76)/MAX(0.0001,$AC$77-$AC$76)-(N1149-$AC$78)/MAX(0.0001,$AC$79-$AC$78)),-1)</f>
        <v/>
      </c>
      <c r="T1149" s="14">
        <f>IF(G1149,O1149,NA())</f>
        <v/>
      </c>
      <c r="U1149" s="13">
        <f>IF(G1149,N1149,NA())</f>
        <v/>
      </c>
      <c r="V1149" s="14">
        <f>IF(R1149,O1149,NA())</f>
        <v/>
      </c>
      <c r="W1149" s="13">
        <f>IF(R1149,N1149,NA())</f>
        <v/>
      </c>
      <c r="X1149" s="27">
        <f>IF(G1149,P1149,"")</f>
        <v/>
      </c>
      <c r="Y1149" s="27">
        <f>IF(G1149,N1149,"")</f>
        <v/>
      </c>
      <c r="Z1149" s="27">
        <f>IF(R1149,O1149,"")</f>
        <v/>
      </c>
      <c r="AA1149" s="27">
        <f>IF(R1149,N1149,"")</f>
        <v/>
      </c>
    </row>
    <row r="1150">
      <c r="A1150" s="31" t="n">
        <v>0.4</v>
      </c>
      <c r="B1150" s="31" t="n">
        <v>0.1</v>
      </c>
      <c r="C1150" s="31" t="n">
        <v>0.5</v>
      </c>
      <c r="D1150" s="31" t="n">
        <v>0</v>
      </c>
      <c r="E1150" s="27" t="inlineStr">
        <is>
          <t>ON 40%/1M 10%/2M 50%</t>
        </is>
      </c>
      <c r="F1150" s="27" t="n">
        <v>100</v>
      </c>
      <c r="G1150" s="27">
        <f>A1150*$B$7&gt;=$B$9</f>
        <v/>
      </c>
      <c r="H1150" s="13">
        <f>$B$7*(A1150*E$71+B1150*F$71+C1150*G$71+D1150*H$71)+F1150/100*$B$7*J$71-$C$71</f>
        <v/>
      </c>
      <c r="I1150" s="13">
        <f>$B$7*(A1150*L$71+B1150*M$71+C1150*N$71+D1150*O$71)+F1150/100*$B$7*Q$71-$C$71</f>
        <v/>
      </c>
      <c r="J1150" s="13">
        <f>$B$7*(A1150*S$71+B1150*T$71+C1150*U$71+D1150*V$71)+F1150/100*$B$7*X$71-$C$71</f>
        <v/>
      </c>
      <c r="K1150" s="13">
        <f>$B$7*(A1150*Z$71+B1150*AA$71+C1150*AB$71+D1150*AC$71)+F1150/100*$B$7*AE$71-$C$71</f>
        <v/>
      </c>
      <c r="L1150" s="13">
        <f>$B$7*(A1150*AG$71+B1150*AH$71+C1150*AI$71+D1150*AJ$71)+F1150/100*$B$7*AL$71-$C$71</f>
        <v/>
      </c>
      <c r="M1150" s="13">
        <f>$B$7*(A1150*AN$71+B1150*AO$71+C1150*AP$71+D1150*AQ$71)+F1150/100*$B$7*AS$71-$C$71</f>
        <v/>
      </c>
      <c r="N1150" s="13">
        <f>SUMPRODUCT($H$24:$M$24,H1150:M1150)</f>
        <v/>
      </c>
      <c r="O1150" s="14">
        <f>SQRT(SUMPRODUCT($H$24:$M$24,(H1150:M1150-N1150)^2))</f>
        <v/>
      </c>
      <c r="P1150" s="13">
        <f>MIN(H1150:M1150)</f>
        <v/>
      </c>
      <c r="Q1150" s="13">
        <f>MAX(H1150:M1150)</f>
        <v/>
      </c>
      <c r="R1150" s="27">
        <f>IF(G1150,SUMPRODUCT(($G$76:$G$1505)*($N$76:$N$1505&gt;=N1150)*($O$76:$O$1505&lt;=O1150))=1,FALSE)</f>
        <v/>
      </c>
      <c r="S1150" s="16">
        <f>IF(R1150,ABS((O1150-$AC$76)/MAX(0.0001,$AC$77-$AC$76)-(N1150-$AC$78)/MAX(0.0001,$AC$79-$AC$78)),-1)</f>
        <v/>
      </c>
      <c r="T1150" s="14">
        <f>IF(G1150,O1150,NA())</f>
        <v/>
      </c>
      <c r="U1150" s="13">
        <f>IF(G1150,N1150,NA())</f>
        <v/>
      </c>
      <c r="V1150" s="14">
        <f>IF(R1150,O1150,NA())</f>
        <v/>
      </c>
      <c r="W1150" s="13">
        <f>IF(R1150,N1150,NA())</f>
        <v/>
      </c>
      <c r="X1150" s="27">
        <f>IF(G1150,P1150,"")</f>
        <v/>
      </c>
      <c r="Y1150" s="27">
        <f>IF(G1150,N1150,"")</f>
        <v/>
      </c>
      <c r="Z1150" s="27">
        <f>IF(R1150,O1150,"")</f>
        <v/>
      </c>
      <c r="AA1150" s="27">
        <f>IF(R1150,N1150,"")</f>
        <v/>
      </c>
    </row>
    <row r="1151">
      <c r="A1151" s="31" t="n">
        <v>0.4</v>
      </c>
      <c r="B1151" s="31" t="n">
        <v>0.2</v>
      </c>
      <c r="C1151" s="31" t="n">
        <v>0</v>
      </c>
      <c r="D1151" s="31" t="n">
        <v>0.4</v>
      </c>
      <c r="E1151" s="27" t="inlineStr">
        <is>
          <t>ON 40%/1M 20%/3M 40%</t>
        </is>
      </c>
      <c r="F1151" s="27" t="n">
        <v>0</v>
      </c>
      <c r="G1151" s="27">
        <f>A1151*$B$7&gt;=$B$9</f>
        <v/>
      </c>
      <c r="H1151" s="13">
        <f>$B$7*(A1151*E$71+B1151*F$71+C1151*G$71+D1151*H$71)+F1151/100*$B$7*J$71-$C$71</f>
        <v/>
      </c>
      <c r="I1151" s="13">
        <f>$B$7*(A1151*L$71+B1151*M$71+C1151*N$71+D1151*O$71)+F1151/100*$B$7*Q$71-$C$71</f>
        <v/>
      </c>
      <c r="J1151" s="13">
        <f>$B$7*(A1151*S$71+B1151*T$71+C1151*U$71+D1151*V$71)+F1151/100*$B$7*X$71-$C$71</f>
        <v/>
      </c>
      <c r="K1151" s="13">
        <f>$B$7*(A1151*Z$71+B1151*AA$71+C1151*AB$71+D1151*AC$71)+F1151/100*$B$7*AE$71-$C$71</f>
        <v/>
      </c>
      <c r="L1151" s="13">
        <f>$B$7*(A1151*AG$71+B1151*AH$71+C1151*AI$71+D1151*AJ$71)+F1151/100*$B$7*AL$71-$C$71</f>
        <v/>
      </c>
      <c r="M1151" s="13">
        <f>$B$7*(A1151*AN$71+B1151*AO$71+C1151*AP$71+D1151*AQ$71)+F1151/100*$B$7*AS$71-$C$71</f>
        <v/>
      </c>
      <c r="N1151" s="13">
        <f>SUMPRODUCT($H$24:$M$24,H1151:M1151)</f>
        <v/>
      </c>
      <c r="O1151" s="14">
        <f>SQRT(SUMPRODUCT($H$24:$M$24,(H1151:M1151-N1151)^2))</f>
        <v/>
      </c>
      <c r="P1151" s="13">
        <f>MIN(H1151:M1151)</f>
        <v/>
      </c>
      <c r="Q1151" s="13">
        <f>MAX(H1151:M1151)</f>
        <v/>
      </c>
      <c r="R1151" s="27">
        <f>IF(G1151,SUMPRODUCT(($G$76:$G$1505)*($N$76:$N$1505&gt;=N1151)*($O$76:$O$1505&lt;=O1151))=1,FALSE)</f>
        <v/>
      </c>
      <c r="S1151" s="16">
        <f>IF(R1151,ABS((O1151-$AC$76)/MAX(0.0001,$AC$77-$AC$76)-(N1151-$AC$78)/MAX(0.0001,$AC$79-$AC$78)),-1)</f>
        <v/>
      </c>
      <c r="T1151" s="14">
        <f>IF(G1151,O1151,NA())</f>
        <v/>
      </c>
      <c r="U1151" s="13">
        <f>IF(G1151,N1151,NA())</f>
        <v/>
      </c>
      <c r="V1151" s="14">
        <f>IF(R1151,O1151,NA())</f>
        <v/>
      </c>
      <c r="W1151" s="13">
        <f>IF(R1151,N1151,NA())</f>
        <v/>
      </c>
      <c r="X1151" s="27">
        <f>IF(G1151,P1151,"")</f>
        <v/>
      </c>
      <c r="Y1151" s="27">
        <f>IF(G1151,N1151,"")</f>
        <v/>
      </c>
      <c r="Z1151" s="27">
        <f>IF(R1151,O1151,"")</f>
        <v/>
      </c>
      <c r="AA1151" s="27">
        <f>IF(R1151,N1151,"")</f>
        <v/>
      </c>
    </row>
    <row r="1152">
      <c r="A1152" s="31" t="n">
        <v>0.4</v>
      </c>
      <c r="B1152" s="31" t="n">
        <v>0.2</v>
      </c>
      <c r="C1152" s="31" t="n">
        <v>0</v>
      </c>
      <c r="D1152" s="31" t="n">
        <v>0.4</v>
      </c>
      <c r="E1152" s="27" t="inlineStr">
        <is>
          <t>ON 40%/1M 20%/3M 40%</t>
        </is>
      </c>
      <c r="F1152" s="27" t="n">
        <v>25</v>
      </c>
      <c r="G1152" s="27">
        <f>A1152*$B$7&gt;=$B$9</f>
        <v/>
      </c>
      <c r="H1152" s="13">
        <f>$B$7*(A1152*E$71+B1152*F$71+C1152*G$71+D1152*H$71)+F1152/100*$B$7*J$71-$C$71</f>
        <v/>
      </c>
      <c r="I1152" s="13">
        <f>$B$7*(A1152*L$71+B1152*M$71+C1152*N$71+D1152*O$71)+F1152/100*$B$7*Q$71-$C$71</f>
        <v/>
      </c>
      <c r="J1152" s="13">
        <f>$B$7*(A1152*S$71+B1152*T$71+C1152*U$71+D1152*V$71)+F1152/100*$B$7*X$71-$C$71</f>
        <v/>
      </c>
      <c r="K1152" s="13">
        <f>$B$7*(A1152*Z$71+B1152*AA$71+C1152*AB$71+D1152*AC$71)+F1152/100*$B$7*AE$71-$C$71</f>
        <v/>
      </c>
      <c r="L1152" s="13">
        <f>$B$7*(A1152*AG$71+B1152*AH$71+C1152*AI$71+D1152*AJ$71)+F1152/100*$B$7*AL$71-$C$71</f>
        <v/>
      </c>
      <c r="M1152" s="13">
        <f>$B$7*(A1152*AN$71+B1152*AO$71+C1152*AP$71+D1152*AQ$71)+F1152/100*$B$7*AS$71-$C$71</f>
        <v/>
      </c>
      <c r="N1152" s="13">
        <f>SUMPRODUCT($H$24:$M$24,H1152:M1152)</f>
        <v/>
      </c>
      <c r="O1152" s="14">
        <f>SQRT(SUMPRODUCT($H$24:$M$24,(H1152:M1152-N1152)^2))</f>
        <v/>
      </c>
      <c r="P1152" s="13">
        <f>MIN(H1152:M1152)</f>
        <v/>
      </c>
      <c r="Q1152" s="13">
        <f>MAX(H1152:M1152)</f>
        <v/>
      </c>
      <c r="R1152" s="27">
        <f>IF(G1152,SUMPRODUCT(($G$76:$G$1505)*($N$76:$N$1505&gt;=N1152)*($O$76:$O$1505&lt;=O1152))=1,FALSE)</f>
        <v/>
      </c>
      <c r="S1152" s="16">
        <f>IF(R1152,ABS((O1152-$AC$76)/MAX(0.0001,$AC$77-$AC$76)-(N1152-$AC$78)/MAX(0.0001,$AC$79-$AC$78)),-1)</f>
        <v/>
      </c>
      <c r="T1152" s="14">
        <f>IF(G1152,O1152,NA())</f>
        <v/>
      </c>
      <c r="U1152" s="13">
        <f>IF(G1152,N1152,NA())</f>
        <v/>
      </c>
      <c r="V1152" s="14">
        <f>IF(R1152,O1152,NA())</f>
        <v/>
      </c>
      <c r="W1152" s="13">
        <f>IF(R1152,N1152,NA())</f>
        <v/>
      </c>
      <c r="X1152" s="27">
        <f>IF(G1152,P1152,"")</f>
        <v/>
      </c>
      <c r="Y1152" s="27">
        <f>IF(G1152,N1152,"")</f>
        <v/>
      </c>
      <c r="Z1152" s="27">
        <f>IF(R1152,O1152,"")</f>
        <v/>
      </c>
      <c r="AA1152" s="27">
        <f>IF(R1152,N1152,"")</f>
        <v/>
      </c>
    </row>
    <row r="1153">
      <c r="A1153" s="31" t="n">
        <v>0.4</v>
      </c>
      <c r="B1153" s="31" t="n">
        <v>0.2</v>
      </c>
      <c r="C1153" s="31" t="n">
        <v>0</v>
      </c>
      <c r="D1153" s="31" t="n">
        <v>0.4</v>
      </c>
      <c r="E1153" s="27" t="inlineStr">
        <is>
          <t>ON 40%/1M 20%/3M 40%</t>
        </is>
      </c>
      <c r="F1153" s="27" t="n">
        <v>50</v>
      </c>
      <c r="G1153" s="27">
        <f>A1153*$B$7&gt;=$B$9</f>
        <v/>
      </c>
      <c r="H1153" s="13">
        <f>$B$7*(A1153*E$71+B1153*F$71+C1153*G$71+D1153*H$71)+F1153/100*$B$7*J$71-$C$71</f>
        <v/>
      </c>
      <c r="I1153" s="13">
        <f>$B$7*(A1153*L$71+B1153*M$71+C1153*N$71+D1153*O$71)+F1153/100*$B$7*Q$71-$C$71</f>
        <v/>
      </c>
      <c r="J1153" s="13">
        <f>$B$7*(A1153*S$71+B1153*T$71+C1153*U$71+D1153*V$71)+F1153/100*$B$7*X$71-$C$71</f>
        <v/>
      </c>
      <c r="K1153" s="13">
        <f>$B$7*(A1153*Z$71+B1153*AA$71+C1153*AB$71+D1153*AC$71)+F1153/100*$B$7*AE$71-$C$71</f>
        <v/>
      </c>
      <c r="L1153" s="13">
        <f>$B$7*(A1153*AG$71+B1153*AH$71+C1153*AI$71+D1153*AJ$71)+F1153/100*$B$7*AL$71-$C$71</f>
        <v/>
      </c>
      <c r="M1153" s="13">
        <f>$B$7*(A1153*AN$71+B1153*AO$71+C1153*AP$71+D1153*AQ$71)+F1153/100*$B$7*AS$71-$C$71</f>
        <v/>
      </c>
      <c r="N1153" s="13">
        <f>SUMPRODUCT($H$24:$M$24,H1153:M1153)</f>
        <v/>
      </c>
      <c r="O1153" s="14">
        <f>SQRT(SUMPRODUCT($H$24:$M$24,(H1153:M1153-N1153)^2))</f>
        <v/>
      </c>
      <c r="P1153" s="13">
        <f>MIN(H1153:M1153)</f>
        <v/>
      </c>
      <c r="Q1153" s="13">
        <f>MAX(H1153:M1153)</f>
        <v/>
      </c>
      <c r="R1153" s="27">
        <f>IF(G1153,SUMPRODUCT(($G$76:$G$1505)*($N$76:$N$1505&gt;=N1153)*($O$76:$O$1505&lt;=O1153))=1,FALSE)</f>
        <v/>
      </c>
      <c r="S1153" s="16">
        <f>IF(R1153,ABS((O1153-$AC$76)/MAX(0.0001,$AC$77-$AC$76)-(N1153-$AC$78)/MAX(0.0001,$AC$79-$AC$78)),-1)</f>
        <v/>
      </c>
      <c r="T1153" s="14">
        <f>IF(G1153,O1153,NA())</f>
        <v/>
      </c>
      <c r="U1153" s="13">
        <f>IF(G1153,N1153,NA())</f>
        <v/>
      </c>
      <c r="V1153" s="14">
        <f>IF(R1153,O1153,NA())</f>
        <v/>
      </c>
      <c r="W1153" s="13">
        <f>IF(R1153,N1153,NA())</f>
        <v/>
      </c>
      <c r="X1153" s="27">
        <f>IF(G1153,P1153,"")</f>
        <v/>
      </c>
      <c r="Y1153" s="27">
        <f>IF(G1153,N1153,"")</f>
        <v/>
      </c>
      <c r="Z1153" s="27">
        <f>IF(R1153,O1153,"")</f>
        <v/>
      </c>
      <c r="AA1153" s="27">
        <f>IF(R1153,N1153,"")</f>
        <v/>
      </c>
    </row>
    <row r="1154">
      <c r="A1154" s="31" t="n">
        <v>0.4</v>
      </c>
      <c r="B1154" s="31" t="n">
        <v>0.2</v>
      </c>
      <c r="C1154" s="31" t="n">
        <v>0</v>
      </c>
      <c r="D1154" s="31" t="n">
        <v>0.4</v>
      </c>
      <c r="E1154" s="27" t="inlineStr">
        <is>
          <t>ON 40%/1M 20%/3M 40%</t>
        </is>
      </c>
      <c r="F1154" s="27" t="n">
        <v>75</v>
      </c>
      <c r="G1154" s="27">
        <f>A1154*$B$7&gt;=$B$9</f>
        <v/>
      </c>
      <c r="H1154" s="13">
        <f>$B$7*(A1154*E$71+B1154*F$71+C1154*G$71+D1154*H$71)+F1154/100*$B$7*J$71-$C$71</f>
        <v/>
      </c>
      <c r="I1154" s="13">
        <f>$B$7*(A1154*L$71+B1154*M$71+C1154*N$71+D1154*O$71)+F1154/100*$B$7*Q$71-$C$71</f>
        <v/>
      </c>
      <c r="J1154" s="13">
        <f>$B$7*(A1154*S$71+B1154*T$71+C1154*U$71+D1154*V$71)+F1154/100*$B$7*X$71-$C$71</f>
        <v/>
      </c>
      <c r="K1154" s="13">
        <f>$B$7*(A1154*Z$71+B1154*AA$71+C1154*AB$71+D1154*AC$71)+F1154/100*$B$7*AE$71-$C$71</f>
        <v/>
      </c>
      <c r="L1154" s="13">
        <f>$B$7*(A1154*AG$71+B1154*AH$71+C1154*AI$71+D1154*AJ$71)+F1154/100*$B$7*AL$71-$C$71</f>
        <v/>
      </c>
      <c r="M1154" s="13">
        <f>$B$7*(A1154*AN$71+B1154*AO$71+C1154*AP$71+D1154*AQ$71)+F1154/100*$B$7*AS$71-$C$71</f>
        <v/>
      </c>
      <c r="N1154" s="13">
        <f>SUMPRODUCT($H$24:$M$24,H1154:M1154)</f>
        <v/>
      </c>
      <c r="O1154" s="14">
        <f>SQRT(SUMPRODUCT($H$24:$M$24,(H1154:M1154-N1154)^2))</f>
        <v/>
      </c>
      <c r="P1154" s="13">
        <f>MIN(H1154:M1154)</f>
        <v/>
      </c>
      <c r="Q1154" s="13">
        <f>MAX(H1154:M1154)</f>
        <v/>
      </c>
      <c r="R1154" s="27">
        <f>IF(G1154,SUMPRODUCT(($G$76:$G$1505)*($N$76:$N$1505&gt;=N1154)*($O$76:$O$1505&lt;=O1154))=1,FALSE)</f>
        <v/>
      </c>
      <c r="S1154" s="16">
        <f>IF(R1154,ABS((O1154-$AC$76)/MAX(0.0001,$AC$77-$AC$76)-(N1154-$AC$78)/MAX(0.0001,$AC$79-$AC$78)),-1)</f>
        <v/>
      </c>
      <c r="T1154" s="14">
        <f>IF(G1154,O1154,NA())</f>
        <v/>
      </c>
      <c r="U1154" s="13">
        <f>IF(G1154,N1154,NA())</f>
        <v/>
      </c>
      <c r="V1154" s="14">
        <f>IF(R1154,O1154,NA())</f>
        <v/>
      </c>
      <c r="W1154" s="13">
        <f>IF(R1154,N1154,NA())</f>
        <v/>
      </c>
      <c r="X1154" s="27">
        <f>IF(G1154,P1154,"")</f>
        <v/>
      </c>
      <c r="Y1154" s="27">
        <f>IF(G1154,N1154,"")</f>
        <v/>
      </c>
      <c r="Z1154" s="27">
        <f>IF(R1154,O1154,"")</f>
        <v/>
      </c>
      <c r="AA1154" s="27">
        <f>IF(R1154,N1154,"")</f>
        <v/>
      </c>
    </row>
    <row r="1155">
      <c r="A1155" s="31" t="n">
        <v>0.4</v>
      </c>
      <c r="B1155" s="31" t="n">
        <v>0.2</v>
      </c>
      <c r="C1155" s="31" t="n">
        <v>0</v>
      </c>
      <c r="D1155" s="31" t="n">
        <v>0.4</v>
      </c>
      <c r="E1155" s="27" t="inlineStr">
        <is>
          <t>ON 40%/1M 20%/3M 40%</t>
        </is>
      </c>
      <c r="F1155" s="27" t="n">
        <v>100</v>
      </c>
      <c r="G1155" s="27">
        <f>A1155*$B$7&gt;=$B$9</f>
        <v/>
      </c>
      <c r="H1155" s="13">
        <f>$B$7*(A1155*E$71+B1155*F$71+C1155*G$71+D1155*H$71)+F1155/100*$B$7*J$71-$C$71</f>
        <v/>
      </c>
      <c r="I1155" s="13">
        <f>$B$7*(A1155*L$71+B1155*M$71+C1155*N$71+D1155*O$71)+F1155/100*$B$7*Q$71-$C$71</f>
        <v/>
      </c>
      <c r="J1155" s="13">
        <f>$B$7*(A1155*S$71+B1155*T$71+C1155*U$71+D1155*V$71)+F1155/100*$B$7*X$71-$C$71</f>
        <v/>
      </c>
      <c r="K1155" s="13">
        <f>$B$7*(A1155*Z$71+B1155*AA$71+C1155*AB$71+D1155*AC$71)+F1155/100*$B$7*AE$71-$C$71</f>
        <v/>
      </c>
      <c r="L1155" s="13">
        <f>$B$7*(A1155*AG$71+B1155*AH$71+C1155*AI$71+D1155*AJ$71)+F1155/100*$B$7*AL$71-$C$71</f>
        <v/>
      </c>
      <c r="M1155" s="13">
        <f>$B$7*(A1155*AN$71+B1155*AO$71+C1155*AP$71+D1155*AQ$71)+F1155/100*$B$7*AS$71-$C$71</f>
        <v/>
      </c>
      <c r="N1155" s="13">
        <f>SUMPRODUCT($H$24:$M$24,H1155:M1155)</f>
        <v/>
      </c>
      <c r="O1155" s="14">
        <f>SQRT(SUMPRODUCT($H$24:$M$24,(H1155:M1155-N1155)^2))</f>
        <v/>
      </c>
      <c r="P1155" s="13">
        <f>MIN(H1155:M1155)</f>
        <v/>
      </c>
      <c r="Q1155" s="13">
        <f>MAX(H1155:M1155)</f>
        <v/>
      </c>
      <c r="R1155" s="27">
        <f>IF(G1155,SUMPRODUCT(($G$76:$G$1505)*($N$76:$N$1505&gt;=N1155)*($O$76:$O$1505&lt;=O1155))=1,FALSE)</f>
        <v/>
      </c>
      <c r="S1155" s="16">
        <f>IF(R1155,ABS((O1155-$AC$76)/MAX(0.0001,$AC$77-$AC$76)-(N1155-$AC$78)/MAX(0.0001,$AC$79-$AC$78)),-1)</f>
        <v/>
      </c>
      <c r="T1155" s="14">
        <f>IF(G1155,O1155,NA())</f>
        <v/>
      </c>
      <c r="U1155" s="13">
        <f>IF(G1155,N1155,NA())</f>
        <v/>
      </c>
      <c r="V1155" s="14">
        <f>IF(R1155,O1155,NA())</f>
        <v/>
      </c>
      <c r="W1155" s="13">
        <f>IF(R1155,N1155,NA())</f>
        <v/>
      </c>
      <c r="X1155" s="27">
        <f>IF(G1155,P1155,"")</f>
        <v/>
      </c>
      <c r="Y1155" s="27">
        <f>IF(G1155,N1155,"")</f>
        <v/>
      </c>
      <c r="Z1155" s="27">
        <f>IF(R1155,O1155,"")</f>
        <v/>
      </c>
      <c r="AA1155" s="27">
        <f>IF(R1155,N1155,"")</f>
        <v/>
      </c>
    </row>
    <row r="1156">
      <c r="A1156" s="31" t="n">
        <v>0.4</v>
      </c>
      <c r="B1156" s="31" t="n">
        <v>0.2</v>
      </c>
      <c r="C1156" s="31" t="n">
        <v>0.1</v>
      </c>
      <c r="D1156" s="31" t="n">
        <v>0.3</v>
      </c>
      <c r="E1156" s="27" t="inlineStr">
        <is>
          <t>ON 40%/1M 20%/2M 10%/3M 30%</t>
        </is>
      </c>
      <c r="F1156" s="27" t="n">
        <v>0</v>
      </c>
      <c r="G1156" s="27">
        <f>A1156*$B$7&gt;=$B$9</f>
        <v/>
      </c>
      <c r="H1156" s="13">
        <f>$B$7*(A1156*E$71+B1156*F$71+C1156*G$71+D1156*H$71)+F1156/100*$B$7*J$71-$C$71</f>
        <v/>
      </c>
      <c r="I1156" s="13">
        <f>$B$7*(A1156*L$71+B1156*M$71+C1156*N$71+D1156*O$71)+F1156/100*$B$7*Q$71-$C$71</f>
        <v/>
      </c>
      <c r="J1156" s="13">
        <f>$B$7*(A1156*S$71+B1156*T$71+C1156*U$71+D1156*V$71)+F1156/100*$B$7*X$71-$C$71</f>
        <v/>
      </c>
      <c r="K1156" s="13">
        <f>$B$7*(A1156*Z$71+B1156*AA$71+C1156*AB$71+D1156*AC$71)+F1156/100*$B$7*AE$71-$C$71</f>
        <v/>
      </c>
      <c r="L1156" s="13">
        <f>$B$7*(A1156*AG$71+B1156*AH$71+C1156*AI$71+D1156*AJ$71)+F1156/100*$B$7*AL$71-$C$71</f>
        <v/>
      </c>
      <c r="M1156" s="13">
        <f>$B$7*(A1156*AN$71+B1156*AO$71+C1156*AP$71+D1156*AQ$71)+F1156/100*$B$7*AS$71-$C$71</f>
        <v/>
      </c>
      <c r="N1156" s="13">
        <f>SUMPRODUCT($H$24:$M$24,H1156:M1156)</f>
        <v/>
      </c>
      <c r="O1156" s="14">
        <f>SQRT(SUMPRODUCT($H$24:$M$24,(H1156:M1156-N1156)^2))</f>
        <v/>
      </c>
      <c r="P1156" s="13">
        <f>MIN(H1156:M1156)</f>
        <v/>
      </c>
      <c r="Q1156" s="13">
        <f>MAX(H1156:M1156)</f>
        <v/>
      </c>
      <c r="R1156" s="27">
        <f>IF(G1156,SUMPRODUCT(($G$76:$G$1505)*($N$76:$N$1505&gt;=N1156)*($O$76:$O$1505&lt;=O1156))=1,FALSE)</f>
        <v/>
      </c>
      <c r="S1156" s="16">
        <f>IF(R1156,ABS((O1156-$AC$76)/MAX(0.0001,$AC$77-$AC$76)-(N1156-$AC$78)/MAX(0.0001,$AC$79-$AC$78)),-1)</f>
        <v/>
      </c>
      <c r="T1156" s="14">
        <f>IF(G1156,O1156,NA())</f>
        <v/>
      </c>
      <c r="U1156" s="13">
        <f>IF(G1156,N1156,NA())</f>
        <v/>
      </c>
      <c r="V1156" s="14">
        <f>IF(R1156,O1156,NA())</f>
        <v/>
      </c>
      <c r="W1156" s="13">
        <f>IF(R1156,N1156,NA())</f>
        <v/>
      </c>
      <c r="X1156" s="27">
        <f>IF(G1156,P1156,"")</f>
        <v/>
      </c>
      <c r="Y1156" s="27">
        <f>IF(G1156,N1156,"")</f>
        <v/>
      </c>
      <c r="Z1156" s="27">
        <f>IF(R1156,O1156,"")</f>
        <v/>
      </c>
      <c r="AA1156" s="27">
        <f>IF(R1156,N1156,"")</f>
        <v/>
      </c>
    </row>
    <row r="1157">
      <c r="A1157" s="31" t="n">
        <v>0.4</v>
      </c>
      <c r="B1157" s="31" t="n">
        <v>0.2</v>
      </c>
      <c r="C1157" s="31" t="n">
        <v>0.1</v>
      </c>
      <c r="D1157" s="31" t="n">
        <v>0.3</v>
      </c>
      <c r="E1157" s="27" t="inlineStr">
        <is>
          <t>ON 40%/1M 20%/2M 10%/3M 30%</t>
        </is>
      </c>
      <c r="F1157" s="27" t="n">
        <v>25</v>
      </c>
      <c r="G1157" s="27">
        <f>A1157*$B$7&gt;=$B$9</f>
        <v/>
      </c>
      <c r="H1157" s="13">
        <f>$B$7*(A1157*E$71+B1157*F$71+C1157*G$71+D1157*H$71)+F1157/100*$B$7*J$71-$C$71</f>
        <v/>
      </c>
      <c r="I1157" s="13">
        <f>$B$7*(A1157*L$71+B1157*M$71+C1157*N$71+D1157*O$71)+F1157/100*$B$7*Q$71-$C$71</f>
        <v/>
      </c>
      <c r="J1157" s="13">
        <f>$B$7*(A1157*S$71+B1157*T$71+C1157*U$71+D1157*V$71)+F1157/100*$B$7*X$71-$C$71</f>
        <v/>
      </c>
      <c r="K1157" s="13">
        <f>$B$7*(A1157*Z$71+B1157*AA$71+C1157*AB$71+D1157*AC$71)+F1157/100*$B$7*AE$71-$C$71</f>
        <v/>
      </c>
      <c r="L1157" s="13">
        <f>$B$7*(A1157*AG$71+B1157*AH$71+C1157*AI$71+D1157*AJ$71)+F1157/100*$B$7*AL$71-$C$71</f>
        <v/>
      </c>
      <c r="M1157" s="13">
        <f>$B$7*(A1157*AN$71+B1157*AO$71+C1157*AP$71+D1157*AQ$71)+F1157/100*$B$7*AS$71-$C$71</f>
        <v/>
      </c>
      <c r="N1157" s="13">
        <f>SUMPRODUCT($H$24:$M$24,H1157:M1157)</f>
        <v/>
      </c>
      <c r="O1157" s="14">
        <f>SQRT(SUMPRODUCT($H$24:$M$24,(H1157:M1157-N1157)^2))</f>
        <v/>
      </c>
      <c r="P1157" s="13">
        <f>MIN(H1157:M1157)</f>
        <v/>
      </c>
      <c r="Q1157" s="13">
        <f>MAX(H1157:M1157)</f>
        <v/>
      </c>
      <c r="R1157" s="27">
        <f>IF(G1157,SUMPRODUCT(($G$76:$G$1505)*($N$76:$N$1505&gt;=N1157)*($O$76:$O$1505&lt;=O1157))=1,FALSE)</f>
        <v/>
      </c>
      <c r="S1157" s="16">
        <f>IF(R1157,ABS((O1157-$AC$76)/MAX(0.0001,$AC$77-$AC$76)-(N1157-$AC$78)/MAX(0.0001,$AC$79-$AC$78)),-1)</f>
        <v/>
      </c>
      <c r="T1157" s="14">
        <f>IF(G1157,O1157,NA())</f>
        <v/>
      </c>
      <c r="U1157" s="13">
        <f>IF(G1157,N1157,NA())</f>
        <v/>
      </c>
      <c r="V1157" s="14">
        <f>IF(R1157,O1157,NA())</f>
        <v/>
      </c>
      <c r="W1157" s="13">
        <f>IF(R1157,N1157,NA())</f>
        <v/>
      </c>
      <c r="X1157" s="27">
        <f>IF(G1157,P1157,"")</f>
        <v/>
      </c>
      <c r="Y1157" s="27">
        <f>IF(G1157,N1157,"")</f>
        <v/>
      </c>
      <c r="Z1157" s="27">
        <f>IF(R1157,O1157,"")</f>
        <v/>
      </c>
      <c r="AA1157" s="27">
        <f>IF(R1157,N1157,"")</f>
        <v/>
      </c>
    </row>
    <row r="1158">
      <c r="A1158" s="31" t="n">
        <v>0.4</v>
      </c>
      <c r="B1158" s="31" t="n">
        <v>0.2</v>
      </c>
      <c r="C1158" s="31" t="n">
        <v>0.1</v>
      </c>
      <c r="D1158" s="31" t="n">
        <v>0.3</v>
      </c>
      <c r="E1158" s="27" t="inlineStr">
        <is>
          <t>ON 40%/1M 20%/2M 10%/3M 30%</t>
        </is>
      </c>
      <c r="F1158" s="27" t="n">
        <v>50</v>
      </c>
      <c r="G1158" s="27">
        <f>A1158*$B$7&gt;=$B$9</f>
        <v/>
      </c>
      <c r="H1158" s="13">
        <f>$B$7*(A1158*E$71+B1158*F$71+C1158*G$71+D1158*H$71)+F1158/100*$B$7*J$71-$C$71</f>
        <v/>
      </c>
      <c r="I1158" s="13">
        <f>$B$7*(A1158*L$71+B1158*M$71+C1158*N$71+D1158*O$71)+F1158/100*$B$7*Q$71-$C$71</f>
        <v/>
      </c>
      <c r="J1158" s="13">
        <f>$B$7*(A1158*S$71+B1158*T$71+C1158*U$71+D1158*V$71)+F1158/100*$B$7*X$71-$C$71</f>
        <v/>
      </c>
      <c r="K1158" s="13">
        <f>$B$7*(A1158*Z$71+B1158*AA$71+C1158*AB$71+D1158*AC$71)+F1158/100*$B$7*AE$71-$C$71</f>
        <v/>
      </c>
      <c r="L1158" s="13">
        <f>$B$7*(A1158*AG$71+B1158*AH$71+C1158*AI$71+D1158*AJ$71)+F1158/100*$B$7*AL$71-$C$71</f>
        <v/>
      </c>
      <c r="M1158" s="13">
        <f>$B$7*(A1158*AN$71+B1158*AO$71+C1158*AP$71+D1158*AQ$71)+F1158/100*$B$7*AS$71-$C$71</f>
        <v/>
      </c>
      <c r="N1158" s="13">
        <f>SUMPRODUCT($H$24:$M$24,H1158:M1158)</f>
        <v/>
      </c>
      <c r="O1158" s="14">
        <f>SQRT(SUMPRODUCT($H$24:$M$24,(H1158:M1158-N1158)^2))</f>
        <v/>
      </c>
      <c r="P1158" s="13">
        <f>MIN(H1158:M1158)</f>
        <v/>
      </c>
      <c r="Q1158" s="13">
        <f>MAX(H1158:M1158)</f>
        <v/>
      </c>
      <c r="R1158" s="27">
        <f>IF(G1158,SUMPRODUCT(($G$76:$G$1505)*($N$76:$N$1505&gt;=N1158)*($O$76:$O$1505&lt;=O1158))=1,FALSE)</f>
        <v/>
      </c>
      <c r="S1158" s="16">
        <f>IF(R1158,ABS((O1158-$AC$76)/MAX(0.0001,$AC$77-$AC$76)-(N1158-$AC$78)/MAX(0.0001,$AC$79-$AC$78)),-1)</f>
        <v/>
      </c>
      <c r="T1158" s="14">
        <f>IF(G1158,O1158,NA())</f>
        <v/>
      </c>
      <c r="U1158" s="13">
        <f>IF(G1158,N1158,NA())</f>
        <v/>
      </c>
      <c r="V1158" s="14">
        <f>IF(R1158,O1158,NA())</f>
        <v/>
      </c>
      <c r="W1158" s="13">
        <f>IF(R1158,N1158,NA())</f>
        <v/>
      </c>
      <c r="X1158" s="27">
        <f>IF(G1158,P1158,"")</f>
        <v/>
      </c>
      <c r="Y1158" s="27">
        <f>IF(G1158,N1158,"")</f>
        <v/>
      </c>
      <c r="Z1158" s="27">
        <f>IF(R1158,O1158,"")</f>
        <v/>
      </c>
      <c r="AA1158" s="27">
        <f>IF(R1158,N1158,"")</f>
        <v/>
      </c>
    </row>
    <row r="1159">
      <c r="A1159" s="31" t="n">
        <v>0.4</v>
      </c>
      <c r="B1159" s="31" t="n">
        <v>0.2</v>
      </c>
      <c r="C1159" s="31" t="n">
        <v>0.1</v>
      </c>
      <c r="D1159" s="31" t="n">
        <v>0.3</v>
      </c>
      <c r="E1159" s="27" t="inlineStr">
        <is>
          <t>ON 40%/1M 20%/2M 10%/3M 30%</t>
        </is>
      </c>
      <c r="F1159" s="27" t="n">
        <v>75</v>
      </c>
      <c r="G1159" s="27">
        <f>A1159*$B$7&gt;=$B$9</f>
        <v/>
      </c>
      <c r="H1159" s="13">
        <f>$B$7*(A1159*E$71+B1159*F$71+C1159*G$71+D1159*H$71)+F1159/100*$B$7*J$71-$C$71</f>
        <v/>
      </c>
      <c r="I1159" s="13">
        <f>$B$7*(A1159*L$71+B1159*M$71+C1159*N$71+D1159*O$71)+F1159/100*$B$7*Q$71-$C$71</f>
        <v/>
      </c>
      <c r="J1159" s="13">
        <f>$B$7*(A1159*S$71+B1159*T$71+C1159*U$71+D1159*V$71)+F1159/100*$B$7*X$71-$C$71</f>
        <v/>
      </c>
      <c r="K1159" s="13">
        <f>$B$7*(A1159*Z$71+B1159*AA$71+C1159*AB$71+D1159*AC$71)+F1159/100*$B$7*AE$71-$C$71</f>
        <v/>
      </c>
      <c r="L1159" s="13">
        <f>$B$7*(A1159*AG$71+B1159*AH$71+C1159*AI$71+D1159*AJ$71)+F1159/100*$B$7*AL$71-$C$71</f>
        <v/>
      </c>
      <c r="M1159" s="13">
        <f>$B$7*(A1159*AN$71+B1159*AO$71+C1159*AP$71+D1159*AQ$71)+F1159/100*$B$7*AS$71-$C$71</f>
        <v/>
      </c>
      <c r="N1159" s="13">
        <f>SUMPRODUCT($H$24:$M$24,H1159:M1159)</f>
        <v/>
      </c>
      <c r="O1159" s="14">
        <f>SQRT(SUMPRODUCT($H$24:$M$24,(H1159:M1159-N1159)^2))</f>
        <v/>
      </c>
      <c r="P1159" s="13">
        <f>MIN(H1159:M1159)</f>
        <v/>
      </c>
      <c r="Q1159" s="13">
        <f>MAX(H1159:M1159)</f>
        <v/>
      </c>
      <c r="R1159" s="27">
        <f>IF(G1159,SUMPRODUCT(($G$76:$G$1505)*($N$76:$N$1505&gt;=N1159)*($O$76:$O$1505&lt;=O1159))=1,FALSE)</f>
        <v/>
      </c>
      <c r="S1159" s="16">
        <f>IF(R1159,ABS((O1159-$AC$76)/MAX(0.0001,$AC$77-$AC$76)-(N1159-$AC$78)/MAX(0.0001,$AC$79-$AC$78)),-1)</f>
        <v/>
      </c>
      <c r="T1159" s="14">
        <f>IF(G1159,O1159,NA())</f>
        <v/>
      </c>
      <c r="U1159" s="13">
        <f>IF(G1159,N1159,NA())</f>
        <v/>
      </c>
      <c r="V1159" s="14">
        <f>IF(R1159,O1159,NA())</f>
        <v/>
      </c>
      <c r="W1159" s="13">
        <f>IF(R1159,N1159,NA())</f>
        <v/>
      </c>
      <c r="X1159" s="27">
        <f>IF(G1159,P1159,"")</f>
        <v/>
      </c>
      <c r="Y1159" s="27">
        <f>IF(G1159,N1159,"")</f>
        <v/>
      </c>
      <c r="Z1159" s="27">
        <f>IF(R1159,O1159,"")</f>
        <v/>
      </c>
      <c r="AA1159" s="27">
        <f>IF(R1159,N1159,"")</f>
        <v/>
      </c>
    </row>
    <row r="1160">
      <c r="A1160" s="31" t="n">
        <v>0.4</v>
      </c>
      <c r="B1160" s="31" t="n">
        <v>0.2</v>
      </c>
      <c r="C1160" s="31" t="n">
        <v>0.1</v>
      </c>
      <c r="D1160" s="31" t="n">
        <v>0.3</v>
      </c>
      <c r="E1160" s="27" t="inlineStr">
        <is>
          <t>ON 40%/1M 20%/2M 10%/3M 30%</t>
        </is>
      </c>
      <c r="F1160" s="27" t="n">
        <v>100</v>
      </c>
      <c r="G1160" s="27">
        <f>A1160*$B$7&gt;=$B$9</f>
        <v/>
      </c>
      <c r="H1160" s="13">
        <f>$B$7*(A1160*E$71+B1160*F$71+C1160*G$71+D1160*H$71)+F1160/100*$B$7*J$71-$C$71</f>
        <v/>
      </c>
      <c r="I1160" s="13">
        <f>$B$7*(A1160*L$71+B1160*M$71+C1160*N$71+D1160*O$71)+F1160/100*$B$7*Q$71-$C$71</f>
        <v/>
      </c>
      <c r="J1160" s="13">
        <f>$B$7*(A1160*S$71+B1160*T$71+C1160*U$71+D1160*V$71)+F1160/100*$B$7*X$71-$C$71</f>
        <v/>
      </c>
      <c r="K1160" s="13">
        <f>$B$7*(A1160*Z$71+B1160*AA$71+C1160*AB$71+D1160*AC$71)+F1160/100*$B$7*AE$71-$C$71</f>
        <v/>
      </c>
      <c r="L1160" s="13">
        <f>$B$7*(A1160*AG$71+B1160*AH$71+C1160*AI$71+D1160*AJ$71)+F1160/100*$B$7*AL$71-$C$71</f>
        <v/>
      </c>
      <c r="M1160" s="13">
        <f>$B$7*(A1160*AN$71+B1160*AO$71+C1160*AP$71+D1160*AQ$71)+F1160/100*$B$7*AS$71-$C$71</f>
        <v/>
      </c>
      <c r="N1160" s="13">
        <f>SUMPRODUCT($H$24:$M$24,H1160:M1160)</f>
        <v/>
      </c>
      <c r="O1160" s="14">
        <f>SQRT(SUMPRODUCT($H$24:$M$24,(H1160:M1160-N1160)^2))</f>
        <v/>
      </c>
      <c r="P1160" s="13">
        <f>MIN(H1160:M1160)</f>
        <v/>
      </c>
      <c r="Q1160" s="13">
        <f>MAX(H1160:M1160)</f>
        <v/>
      </c>
      <c r="R1160" s="27">
        <f>IF(G1160,SUMPRODUCT(($G$76:$G$1505)*($N$76:$N$1505&gt;=N1160)*($O$76:$O$1505&lt;=O1160))=1,FALSE)</f>
        <v/>
      </c>
      <c r="S1160" s="16">
        <f>IF(R1160,ABS((O1160-$AC$76)/MAX(0.0001,$AC$77-$AC$76)-(N1160-$AC$78)/MAX(0.0001,$AC$79-$AC$78)),-1)</f>
        <v/>
      </c>
      <c r="T1160" s="14">
        <f>IF(G1160,O1160,NA())</f>
        <v/>
      </c>
      <c r="U1160" s="13">
        <f>IF(G1160,N1160,NA())</f>
        <v/>
      </c>
      <c r="V1160" s="14">
        <f>IF(R1160,O1160,NA())</f>
        <v/>
      </c>
      <c r="W1160" s="13">
        <f>IF(R1160,N1160,NA())</f>
        <v/>
      </c>
      <c r="X1160" s="27">
        <f>IF(G1160,P1160,"")</f>
        <v/>
      </c>
      <c r="Y1160" s="27">
        <f>IF(G1160,N1160,"")</f>
        <v/>
      </c>
      <c r="Z1160" s="27">
        <f>IF(R1160,O1160,"")</f>
        <v/>
      </c>
      <c r="AA1160" s="27">
        <f>IF(R1160,N1160,"")</f>
        <v/>
      </c>
    </row>
    <row r="1161">
      <c r="A1161" s="31" t="n">
        <v>0.4</v>
      </c>
      <c r="B1161" s="31" t="n">
        <v>0.2</v>
      </c>
      <c r="C1161" s="31" t="n">
        <v>0.2</v>
      </c>
      <c r="D1161" s="31" t="n">
        <v>0.2</v>
      </c>
      <c r="E1161" s="27" t="inlineStr">
        <is>
          <t>ON 40%/1M 20%/2M 20%/3M 20%</t>
        </is>
      </c>
      <c r="F1161" s="27" t="n">
        <v>0</v>
      </c>
      <c r="G1161" s="27">
        <f>A1161*$B$7&gt;=$B$9</f>
        <v/>
      </c>
      <c r="H1161" s="13">
        <f>$B$7*(A1161*E$71+B1161*F$71+C1161*G$71+D1161*H$71)+F1161/100*$B$7*J$71-$C$71</f>
        <v/>
      </c>
      <c r="I1161" s="13">
        <f>$B$7*(A1161*L$71+B1161*M$71+C1161*N$71+D1161*O$71)+F1161/100*$B$7*Q$71-$C$71</f>
        <v/>
      </c>
      <c r="J1161" s="13">
        <f>$B$7*(A1161*S$71+B1161*T$71+C1161*U$71+D1161*V$71)+F1161/100*$B$7*X$71-$C$71</f>
        <v/>
      </c>
      <c r="K1161" s="13">
        <f>$B$7*(A1161*Z$71+B1161*AA$71+C1161*AB$71+D1161*AC$71)+F1161/100*$B$7*AE$71-$C$71</f>
        <v/>
      </c>
      <c r="L1161" s="13">
        <f>$B$7*(A1161*AG$71+B1161*AH$71+C1161*AI$71+D1161*AJ$71)+F1161/100*$B$7*AL$71-$C$71</f>
        <v/>
      </c>
      <c r="M1161" s="13">
        <f>$B$7*(A1161*AN$71+B1161*AO$71+C1161*AP$71+D1161*AQ$71)+F1161/100*$B$7*AS$71-$C$71</f>
        <v/>
      </c>
      <c r="N1161" s="13">
        <f>SUMPRODUCT($H$24:$M$24,H1161:M1161)</f>
        <v/>
      </c>
      <c r="O1161" s="14">
        <f>SQRT(SUMPRODUCT($H$24:$M$24,(H1161:M1161-N1161)^2))</f>
        <v/>
      </c>
      <c r="P1161" s="13">
        <f>MIN(H1161:M1161)</f>
        <v/>
      </c>
      <c r="Q1161" s="13">
        <f>MAX(H1161:M1161)</f>
        <v/>
      </c>
      <c r="R1161" s="27">
        <f>IF(G1161,SUMPRODUCT(($G$76:$G$1505)*($N$76:$N$1505&gt;=N1161)*($O$76:$O$1505&lt;=O1161))=1,FALSE)</f>
        <v/>
      </c>
      <c r="S1161" s="16">
        <f>IF(R1161,ABS((O1161-$AC$76)/MAX(0.0001,$AC$77-$AC$76)-(N1161-$AC$78)/MAX(0.0001,$AC$79-$AC$78)),-1)</f>
        <v/>
      </c>
      <c r="T1161" s="14">
        <f>IF(G1161,O1161,NA())</f>
        <v/>
      </c>
      <c r="U1161" s="13">
        <f>IF(G1161,N1161,NA())</f>
        <v/>
      </c>
      <c r="V1161" s="14">
        <f>IF(R1161,O1161,NA())</f>
        <v/>
      </c>
      <c r="W1161" s="13">
        <f>IF(R1161,N1161,NA())</f>
        <v/>
      </c>
      <c r="X1161" s="27">
        <f>IF(G1161,P1161,"")</f>
        <v/>
      </c>
      <c r="Y1161" s="27">
        <f>IF(G1161,N1161,"")</f>
        <v/>
      </c>
      <c r="Z1161" s="27">
        <f>IF(R1161,O1161,"")</f>
        <v/>
      </c>
      <c r="AA1161" s="27">
        <f>IF(R1161,N1161,"")</f>
        <v/>
      </c>
    </row>
    <row r="1162">
      <c r="A1162" s="31" t="n">
        <v>0.4</v>
      </c>
      <c r="B1162" s="31" t="n">
        <v>0.2</v>
      </c>
      <c r="C1162" s="31" t="n">
        <v>0.2</v>
      </c>
      <c r="D1162" s="31" t="n">
        <v>0.2</v>
      </c>
      <c r="E1162" s="27" t="inlineStr">
        <is>
          <t>ON 40%/1M 20%/2M 20%/3M 20%</t>
        </is>
      </c>
      <c r="F1162" s="27" t="n">
        <v>25</v>
      </c>
      <c r="G1162" s="27">
        <f>A1162*$B$7&gt;=$B$9</f>
        <v/>
      </c>
      <c r="H1162" s="13">
        <f>$B$7*(A1162*E$71+B1162*F$71+C1162*G$71+D1162*H$71)+F1162/100*$B$7*J$71-$C$71</f>
        <v/>
      </c>
      <c r="I1162" s="13">
        <f>$B$7*(A1162*L$71+B1162*M$71+C1162*N$71+D1162*O$71)+F1162/100*$B$7*Q$71-$C$71</f>
        <v/>
      </c>
      <c r="J1162" s="13">
        <f>$B$7*(A1162*S$71+B1162*T$71+C1162*U$71+D1162*V$71)+F1162/100*$B$7*X$71-$C$71</f>
        <v/>
      </c>
      <c r="K1162" s="13">
        <f>$B$7*(A1162*Z$71+B1162*AA$71+C1162*AB$71+D1162*AC$71)+F1162/100*$B$7*AE$71-$C$71</f>
        <v/>
      </c>
      <c r="L1162" s="13">
        <f>$B$7*(A1162*AG$71+B1162*AH$71+C1162*AI$71+D1162*AJ$71)+F1162/100*$B$7*AL$71-$C$71</f>
        <v/>
      </c>
      <c r="M1162" s="13">
        <f>$B$7*(A1162*AN$71+B1162*AO$71+C1162*AP$71+D1162*AQ$71)+F1162/100*$B$7*AS$71-$C$71</f>
        <v/>
      </c>
      <c r="N1162" s="13">
        <f>SUMPRODUCT($H$24:$M$24,H1162:M1162)</f>
        <v/>
      </c>
      <c r="O1162" s="14">
        <f>SQRT(SUMPRODUCT($H$24:$M$24,(H1162:M1162-N1162)^2))</f>
        <v/>
      </c>
      <c r="P1162" s="13">
        <f>MIN(H1162:M1162)</f>
        <v/>
      </c>
      <c r="Q1162" s="13">
        <f>MAX(H1162:M1162)</f>
        <v/>
      </c>
      <c r="R1162" s="27">
        <f>IF(G1162,SUMPRODUCT(($G$76:$G$1505)*($N$76:$N$1505&gt;=N1162)*($O$76:$O$1505&lt;=O1162))=1,FALSE)</f>
        <v/>
      </c>
      <c r="S1162" s="16">
        <f>IF(R1162,ABS((O1162-$AC$76)/MAX(0.0001,$AC$77-$AC$76)-(N1162-$AC$78)/MAX(0.0001,$AC$79-$AC$78)),-1)</f>
        <v/>
      </c>
      <c r="T1162" s="14">
        <f>IF(G1162,O1162,NA())</f>
        <v/>
      </c>
      <c r="U1162" s="13">
        <f>IF(G1162,N1162,NA())</f>
        <v/>
      </c>
      <c r="V1162" s="14">
        <f>IF(R1162,O1162,NA())</f>
        <v/>
      </c>
      <c r="W1162" s="13">
        <f>IF(R1162,N1162,NA())</f>
        <v/>
      </c>
      <c r="X1162" s="27">
        <f>IF(G1162,P1162,"")</f>
        <v/>
      </c>
      <c r="Y1162" s="27">
        <f>IF(G1162,N1162,"")</f>
        <v/>
      </c>
      <c r="Z1162" s="27">
        <f>IF(R1162,O1162,"")</f>
        <v/>
      </c>
      <c r="AA1162" s="27">
        <f>IF(R1162,N1162,"")</f>
        <v/>
      </c>
    </row>
    <row r="1163">
      <c r="A1163" s="31" t="n">
        <v>0.4</v>
      </c>
      <c r="B1163" s="31" t="n">
        <v>0.2</v>
      </c>
      <c r="C1163" s="31" t="n">
        <v>0.2</v>
      </c>
      <c r="D1163" s="31" t="n">
        <v>0.2</v>
      </c>
      <c r="E1163" s="27" t="inlineStr">
        <is>
          <t>ON 40%/1M 20%/2M 20%/3M 20%</t>
        </is>
      </c>
      <c r="F1163" s="27" t="n">
        <v>50</v>
      </c>
      <c r="G1163" s="27">
        <f>A1163*$B$7&gt;=$B$9</f>
        <v/>
      </c>
      <c r="H1163" s="13">
        <f>$B$7*(A1163*E$71+B1163*F$71+C1163*G$71+D1163*H$71)+F1163/100*$B$7*J$71-$C$71</f>
        <v/>
      </c>
      <c r="I1163" s="13">
        <f>$B$7*(A1163*L$71+B1163*M$71+C1163*N$71+D1163*O$71)+F1163/100*$B$7*Q$71-$C$71</f>
        <v/>
      </c>
      <c r="J1163" s="13">
        <f>$B$7*(A1163*S$71+B1163*T$71+C1163*U$71+D1163*V$71)+F1163/100*$B$7*X$71-$C$71</f>
        <v/>
      </c>
      <c r="K1163" s="13">
        <f>$B$7*(A1163*Z$71+B1163*AA$71+C1163*AB$71+D1163*AC$71)+F1163/100*$B$7*AE$71-$C$71</f>
        <v/>
      </c>
      <c r="L1163" s="13">
        <f>$B$7*(A1163*AG$71+B1163*AH$71+C1163*AI$71+D1163*AJ$71)+F1163/100*$B$7*AL$71-$C$71</f>
        <v/>
      </c>
      <c r="M1163" s="13">
        <f>$B$7*(A1163*AN$71+B1163*AO$71+C1163*AP$71+D1163*AQ$71)+F1163/100*$B$7*AS$71-$C$71</f>
        <v/>
      </c>
      <c r="N1163" s="13">
        <f>SUMPRODUCT($H$24:$M$24,H1163:M1163)</f>
        <v/>
      </c>
      <c r="O1163" s="14">
        <f>SQRT(SUMPRODUCT($H$24:$M$24,(H1163:M1163-N1163)^2))</f>
        <v/>
      </c>
      <c r="P1163" s="13">
        <f>MIN(H1163:M1163)</f>
        <v/>
      </c>
      <c r="Q1163" s="13">
        <f>MAX(H1163:M1163)</f>
        <v/>
      </c>
      <c r="R1163" s="27">
        <f>IF(G1163,SUMPRODUCT(($G$76:$G$1505)*($N$76:$N$1505&gt;=N1163)*($O$76:$O$1505&lt;=O1163))=1,FALSE)</f>
        <v/>
      </c>
      <c r="S1163" s="16">
        <f>IF(R1163,ABS((O1163-$AC$76)/MAX(0.0001,$AC$77-$AC$76)-(N1163-$AC$78)/MAX(0.0001,$AC$79-$AC$78)),-1)</f>
        <v/>
      </c>
      <c r="T1163" s="14">
        <f>IF(G1163,O1163,NA())</f>
        <v/>
      </c>
      <c r="U1163" s="13">
        <f>IF(G1163,N1163,NA())</f>
        <v/>
      </c>
      <c r="V1163" s="14">
        <f>IF(R1163,O1163,NA())</f>
        <v/>
      </c>
      <c r="W1163" s="13">
        <f>IF(R1163,N1163,NA())</f>
        <v/>
      </c>
      <c r="X1163" s="27">
        <f>IF(G1163,P1163,"")</f>
        <v/>
      </c>
      <c r="Y1163" s="27">
        <f>IF(G1163,N1163,"")</f>
        <v/>
      </c>
      <c r="Z1163" s="27">
        <f>IF(R1163,O1163,"")</f>
        <v/>
      </c>
      <c r="AA1163" s="27">
        <f>IF(R1163,N1163,"")</f>
        <v/>
      </c>
    </row>
    <row r="1164">
      <c r="A1164" s="31" t="n">
        <v>0.4</v>
      </c>
      <c r="B1164" s="31" t="n">
        <v>0.2</v>
      </c>
      <c r="C1164" s="31" t="n">
        <v>0.2</v>
      </c>
      <c r="D1164" s="31" t="n">
        <v>0.2</v>
      </c>
      <c r="E1164" s="27" t="inlineStr">
        <is>
          <t>ON 40%/1M 20%/2M 20%/3M 20%</t>
        </is>
      </c>
      <c r="F1164" s="27" t="n">
        <v>75</v>
      </c>
      <c r="G1164" s="27">
        <f>A1164*$B$7&gt;=$B$9</f>
        <v/>
      </c>
      <c r="H1164" s="13">
        <f>$B$7*(A1164*E$71+B1164*F$71+C1164*G$71+D1164*H$71)+F1164/100*$B$7*J$71-$C$71</f>
        <v/>
      </c>
      <c r="I1164" s="13">
        <f>$B$7*(A1164*L$71+B1164*M$71+C1164*N$71+D1164*O$71)+F1164/100*$B$7*Q$71-$C$71</f>
        <v/>
      </c>
      <c r="J1164" s="13">
        <f>$B$7*(A1164*S$71+B1164*T$71+C1164*U$71+D1164*V$71)+F1164/100*$B$7*X$71-$C$71</f>
        <v/>
      </c>
      <c r="K1164" s="13">
        <f>$B$7*(A1164*Z$71+B1164*AA$71+C1164*AB$71+D1164*AC$71)+F1164/100*$B$7*AE$71-$C$71</f>
        <v/>
      </c>
      <c r="L1164" s="13">
        <f>$B$7*(A1164*AG$71+B1164*AH$71+C1164*AI$71+D1164*AJ$71)+F1164/100*$B$7*AL$71-$C$71</f>
        <v/>
      </c>
      <c r="M1164" s="13">
        <f>$B$7*(A1164*AN$71+B1164*AO$71+C1164*AP$71+D1164*AQ$71)+F1164/100*$B$7*AS$71-$C$71</f>
        <v/>
      </c>
      <c r="N1164" s="13">
        <f>SUMPRODUCT($H$24:$M$24,H1164:M1164)</f>
        <v/>
      </c>
      <c r="O1164" s="14">
        <f>SQRT(SUMPRODUCT($H$24:$M$24,(H1164:M1164-N1164)^2))</f>
        <v/>
      </c>
      <c r="P1164" s="13">
        <f>MIN(H1164:M1164)</f>
        <v/>
      </c>
      <c r="Q1164" s="13">
        <f>MAX(H1164:M1164)</f>
        <v/>
      </c>
      <c r="R1164" s="27">
        <f>IF(G1164,SUMPRODUCT(($G$76:$G$1505)*($N$76:$N$1505&gt;=N1164)*($O$76:$O$1505&lt;=O1164))=1,FALSE)</f>
        <v/>
      </c>
      <c r="S1164" s="16">
        <f>IF(R1164,ABS((O1164-$AC$76)/MAX(0.0001,$AC$77-$AC$76)-(N1164-$AC$78)/MAX(0.0001,$AC$79-$AC$78)),-1)</f>
        <v/>
      </c>
      <c r="T1164" s="14">
        <f>IF(G1164,O1164,NA())</f>
        <v/>
      </c>
      <c r="U1164" s="13">
        <f>IF(G1164,N1164,NA())</f>
        <v/>
      </c>
      <c r="V1164" s="14">
        <f>IF(R1164,O1164,NA())</f>
        <v/>
      </c>
      <c r="W1164" s="13">
        <f>IF(R1164,N1164,NA())</f>
        <v/>
      </c>
      <c r="X1164" s="27">
        <f>IF(G1164,P1164,"")</f>
        <v/>
      </c>
      <c r="Y1164" s="27">
        <f>IF(G1164,N1164,"")</f>
        <v/>
      </c>
      <c r="Z1164" s="27">
        <f>IF(R1164,O1164,"")</f>
        <v/>
      </c>
      <c r="AA1164" s="27">
        <f>IF(R1164,N1164,"")</f>
        <v/>
      </c>
    </row>
    <row r="1165">
      <c r="A1165" s="31" t="n">
        <v>0.4</v>
      </c>
      <c r="B1165" s="31" t="n">
        <v>0.2</v>
      </c>
      <c r="C1165" s="31" t="n">
        <v>0.2</v>
      </c>
      <c r="D1165" s="31" t="n">
        <v>0.2</v>
      </c>
      <c r="E1165" s="27" t="inlineStr">
        <is>
          <t>ON 40%/1M 20%/2M 20%/3M 20%</t>
        </is>
      </c>
      <c r="F1165" s="27" t="n">
        <v>100</v>
      </c>
      <c r="G1165" s="27">
        <f>A1165*$B$7&gt;=$B$9</f>
        <v/>
      </c>
      <c r="H1165" s="13">
        <f>$B$7*(A1165*E$71+B1165*F$71+C1165*G$71+D1165*H$71)+F1165/100*$B$7*J$71-$C$71</f>
        <v/>
      </c>
      <c r="I1165" s="13">
        <f>$B$7*(A1165*L$71+B1165*M$71+C1165*N$71+D1165*O$71)+F1165/100*$B$7*Q$71-$C$71</f>
        <v/>
      </c>
      <c r="J1165" s="13">
        <f>$B$7*(A1165*S$71+B1165*T$71+C1165*U$71+D1165*V$71)+F1165/100*$B$7*X$71-$C$71</f>
        <v/>
      </c>
      <c r="K1165" s="13">
        <f>$B$7*(A1165*Z$71+B1165*AA$71+C1165*AB$71+D1165*AC$71)+F1165/100*$B$7*AE$71-$C$71</f>
        <v/>
      </c>
      <c r="L1165" s="13">
        <f>$B$7*(A1165*AG$71+B1165*AH$71+C1165*AI$71+D1165*AJ$71)+F1165/100*$B$7*AL$71-$C$71</f>
        <v/>
      </c>
      <c r="M1165" s="13">
        <f>$B$7*(A1165*AN$71+B1165*AO$71+C1165*AP$71+D1165*AQ$71)+F1165/100*$B$7*AS$71-$C$71</f>
        <v/>
      </c>
      <c r="N1165" s="13">
        <f>SUMPRODUCT($H$24:$M$24,H1165:M1165)</f>
        <v/>
      </c>
      <c r="O1165" s="14">
        <f>SQRT(SUMPRODUCT($H$24:$M$24,(H1165:M1165-N1165)^2))</f>
        <v/>
      </c>
      <c r="P1165" s="13">
        <f>MIN(H1165:M1165)</f>
        <v/>
      </c>
      <c r="Q1165" s="13">
        <f>MAX(H1165:M1165)</f>
        <v/>
      </c>
      <c r="R1165" s="27">
        <f>IF(G1165,SUMPRODUCT(($G$76:$G$1505)*($N$76:$N$1505&gt;=N1165)*($O$76:$O$1505&lt;=O1165))=1,FALSE)</f>
        <v/>
      </c>
      <c r="S1165" s="16">
        <f>IF(R1165,ABS((O1165-$AC$76)/MAX(0.0001,$AC$77-$AC$76)-(N1165-$AC$78)/MAX(0.0001,$AC$79-$AC$78)),-1)</f>
        <v/>
      </c>
      <c r="T1165" s="14">
        <f>IF(G1165,O1165,NA())</f>
        <v/>
      </c>
      <c r="U1165" s="13">
        <f>IF(G1165,N1165,NA())</f>
        <v/>
      </c>
      <c r="V1165" s="14">
        <f>IF(R1165,O1165,NA())</f>
        <v/>
      </c>
      <c r="W1165" s="13">
        <f>IF(R1165,N1165,NA())</f>
        <v/>
      </c>
      <c r="X1165" s="27">
        <f>IF(G1165,P1165,"")</f>
        <v/>
      </c>
      <c r="Y1165" s="27">
        <f>IF(G1165,N1165,"")</f>
        <v/>
      </c>
      <c r="Z1165" s="27">
        <f>IF(R1165,O1165,"")</f>
        <v/>
      </c>
      <c r="AA1165" s="27">
        <f>IF(R1165,N1165,"")</f>
        <v/>
      </c>
    </row>
    <row r="1166">
      <c r="A1166" s="31" t="n">
        <v>0.4</v>
      </c>
      <c r="B1166" s="31" t="n">
        <v>0.2</v>
      </c>
      <c r="C1166" s="31" t="n">
        <v>0.3</v>
      </c>
      <c r="D1166" s="31" t="n">
        <v>0.1</v>
      </c>
      <c r="E1166" s="27" t="inlineStr">
        <is>
          <t>ON 40%/1M 20%/2M 30%/3M 10%</t>
        </is>
      </c>
      <c r="F1166" s="27" t="n">
        <v>0</v>
      </c>
      <c r="G1166" s="27">
        <f>A1166*$B$7&gt;=$B$9</f>
        <v/>
      </c>
      <c r="H1166" s="13">
        <f>$B$7*(A1166*E$71+B1166*F$71+C1166*G$71+D1166*H$71)+F1166/100*$B$7*J$71-$C$71</f>
        <v/>
      </c>
      <c r="I1166" s="13">
        <f>$B$7*(A1166*L$71+B1166*M$71+C1166*N$71+D1166*O$71)+F1166/100*$B$7*Q$71-$C$71</f>
        <v/>
      </c>
      <c r="J1166" s="13">
        <f>$B$7*(A1166*S$71+B1166*T$71+C1166*U$71+D1166*V$71)+F1166/100*$B$7*X$71-$C$71</f>
        <v/>
      </c>
      <c r="K1166" s="13">
        <f>$B$7*(A1166*Z$71+B1166*AA$71+C1166*AB$71+D1166*AC$71)+F1166/100*$B$7*AE$71-$C$71</f>
        <v/>
      </c>
      <c r="L1166" s="13">
        <f>$B$7*(A1166*AG$71+B1166*AH$71+C1166*AI$71+D1166*AJ$71)+F1166/100*$B$7*AL$71-$C$71</f>
        <v/>
      </c>
      <c r="M1166" s="13">
        <f>$B$7*(A1166*AN$71+B1166*AO$71+C1166*AP$71+D1166*AQ$71)+F1166/100*$B$7*AS$71-$C$71</f>
        <v/>
      </c>
      <c r="N1166" s="13">
        <f>SUMPRODUCT($H$24:$M$24,H1166:M1166)</f>
        <v/>
      </c>
      <c r="O1166" s="14">
        <f>SQRT(SUMPRODUCT($H$24:$M$24,(H1166:M1166-N1166)^2))</f>
        <v/>
      </c>
      <c r="P1166" s="13">
        <f>MIN(H1166:M1166)</f>
        <v/>
      </c>
      <c r="Q1166" s="13">
        <f>MAX(H1166:M1166)</f>
        <v/>
      </c>
      <c r="R1166" s="27">
        <f>IF(G1166,SUMPRODUCT(($G$76:$G$1505)*($N$76:$N$1505&gt;=N1166)*($O$76:$O$1505&lt;=O1166))=1,FALSE)</f>
        <v/>
      </c>
      <c r="S1166" s="16">
        <f>IF(R1166,ABS((O1166-$AC$76)/MAX(0.0001,$AC$77-$AC$76)-(N1166-$AC$78)/MAX(0.0001,$AC$79-$AC$78)),-1)</f>
        <v/>
      </c>
      <c r="T1166" s="14">
        <f>IF(G1166,O1166,NA())</f>
        <v/>
      </c>
      <c r="U1166" s="13">
        <f>IF(G1166,N1166,NA())</f>
        <v/>
      </c>
      <c r="V1166" s="14">
        <f>IF(R1166,O1166,NA())</f>
        <v/>
      </c>
      <c r="W1166" s="13">
        <f>IF(R1166,N1166,NA())</f>
        <v/>
      </c>
      <c r="X1166" s="27">
        <f>IF(G1166,P1166,"")</f>
        <v/>
      </c>
      <c r="Y1166" s="27">
        <f>IF(G1166,N1166,"")</f>
        <v/>
      </c>
      <c r="Z1166" s="27">
        <f>IF(R1166,O1166,"")</f>
        <v/>
      </c>
      <c r="AA1166" s="27">
        <f>IF(R1166,N1166,"")</f>
        <v/>
      </c>
    </row>
    <row r="1167">
      <c r="A1167" s="31" t="n">
        <v>0.4</v>
      </c>
      <c r="B1167" s="31" t="n">
        <v>0.2</v>
      </c>
      <c r="C1167" s="31" t="n">
        <v>0.3</v>
      </c>
      <c r="D1167" s="31" t="n">
        <v>0.1</v>
      </c>
      <c r="E1167" s="27" t="inlineStr">
        <is>
          <t>ON 40%/1M 20%/2M 30%/3M 10%</t>
        </is>
      </c>
      <c r="F1167" s="27" t="n">
        <v>25</v>
      </c>
      <c r="G1167" s="27">
        <f>A1167*$B$7&gt;=$B$9</f>
        <v/>
      </c>
      <c r="H1167" s="13">
        <f>$B$7*(A1167*E$71+B1167*F$71+C1167*G$71+D1167*H$71)+F1167/100*$B$7*J$71-$C$71</f>
        <v/>
      </c>
      <c r="I1167" s="13">
        <f>$B$7*(A1167*L$71+B1167*M$71+C1167*N$71+D1167*O$71)+F1167/100*$B$7*Q$71-$C$71</f>
        <v/>
      </c>
      <c r="J1167" s="13">
        <f>$B$7*(A1167*S$71+B1167*T$71+C1167*U$71+D1167*V$71)+F1167/100*$B$7*X$71-$C$71</f>
        <v/>
      </c>
      <c r="K1167" s="13">
        <f>$B$7*(A1167*Z$71+B1167*AA$71+C1167*AB$71+D1167*AC$71)+F1167/100*$B$7*AE$71-$C$71</f>
        <v/>
      </c>
      <c r="L1167" s="13">
        <f>$B$7*(A1167*AG$71+B1167*AH$71+C1167*AI$71+D1167*AJ$71)+F1167/100*$B$7*AL$71-$C$71</f>
        <v/>
      </c>
      <c r="M1167" s="13">
        <f>$B$7*(A1167*AN$71+B1167*AO$71+C1167*AP$71+D1167*AQ$71)+F1167/100*$B$7*AS$71-$C$71</f>
        <v/>
      </c>
      <c r="N1167" s="13">
        <f>SUMPRODUCT($H$24:$M$24,H1167:M1167)</f>
        <v/>
      </c>
      <c r="O1167" s="14">
        <f>SQRT(SUMPRODUCT($H$24:$M$24,(H1167:M1167-N1167)^2))</f>
        <v/>
      </c>
      <c r="P1167" s="13">
        <f>MIN(H1167:M1167)</f>
        <v/>
      </c>
      <c r="Q1167" s="13">
        <f>MAX(H1167:M1167)</f>
        <v/>
      </c>
      <c r="R1167" s="27">
        <f>IF(G1167,SUMPRODUCT(($G$76:$G$1505)*($N$76:$N$1505&gt;=N1167)*($O$76:$O$1505&lt;=O1167))=1,FALSE)</f>
        <v/>
      </c>
      <c r="S1167" s="16">
        <f>IF(R1167,ABS((O1167-$AC$76)/MAX(0.0001,$AC$77-$AC$76)-(N1167-$AC$78)/MAX(0.0001,$AC$79-$AC$78)),-1)</f>
        <v/>
      </c>
      <c r="T1167" s="14">
        <f>IF(G1167,O1167,NA())</f>
        <v/>
      </c>
      <c r="U1167" s="13">
        <f>IF(G1167,N1167,NA())</f>
        <v/>
      </c>
      <c r="V1167" s="14">
        <f>IF(R1167,O1167,NA())</f>
        <v/>
      </c>
      <c r="W1167" s="13">
        <f>IF(R1167,N1167,NA())</f>
        <v/>
      </c>
      <c r="X1167" s="27">
        <f>IF(G1167,P1167,"")</f>
        <v/>
      </c>
      <c r="Y1167" s="27">
        <f>IF(G1167,N1167,"")</f>
        <v/>
      </c>
      <c r="Z1167" s="27">
        <f>IF(R1167,O1167,"")</f>
        <v/>
      </c>
      <c r="AA1167" s="27">
        <f>IF(R1167,N1167,"")</f>
        <v/>
      </c>
    </row>
    <row r="1168">
      <c r="A1168" s="31" t="n">
        <v>0.4</v>
      </c>
      <c r="B1168" s="31" t="n">
        <v>0.2</v>
      </c>
      <c r="C1168" s="31" t="n">
        <v>0.3</v>
      </c>
      <c r="D1168" s="31" t="n">
        <v>0.1</v>
      </c>
      <c r="E1168" s="27" t="inlineStr">
        <is>
          <t>ON 40%/1M 20%/2M 30%/3M 10%</t>
        </is>
      </c>
      <c r="F1168" s="27" t="n">
        <v>50</v>
      </c>
      <c r="G1168" s="27">
        <f>A1168*$B$7&gt;=$B$9</f>
        <v/>
      </c>
      <c r="H1168" s="13">
        <f>$B$7*(A1168*E$71+B1168*F$71+C1168*G$71+D1168*H$71)+F1168/100*$B$7*J$71-$C$71</f>
        <v/>
      </c>
      <c r="I1168" s="13">
        <f>$B$7*(A1168*L$71+B1168*M$71+C1168*N$71+D1168*O$71)+F1168/100*$B$7*Q$71-$C$71</f>
        <v/>
      </c>
      <c r="J1168" s="13">
        <f>$B$7*(A1168*S$71+B1168*T$71+C1168*U$71+D1168*V$71)+F1168/100*$B$7*X$71-$C$71</f>
        <v/>
      </c>
      <c r="K1168" s="13">
        <f>$B$7*(A1168*Z$71+B1168*AA$71+C1168*AB$71+D1168*AC$71)+F1168/100*$B$7*AE$71-$C$71</f>
        <v/>
      </c>
      <c r="L1168" s="13">
        <f>$B$7*(A1168*AG$71+B1168*AH$71+C1168*AI$71+D1168*AJ$71)+F1168/100*$B$7*AL$71-$C$71</f>
        <v/>
      </c>
      <c r="M1168" s="13">
        <f>$B$7*(A1168*AN$71+B1168*AO$71+C1168*AP$71+D1168*AQ$71)+F1168/100*$B$7*AS$71-$C$71</f>
        <v/>
      </c>
      <c r="N1168" s="13">
        <f>SUMPRODUCT($H$24:$M$24,H1168:M1168)</f>
        <v/>
      </c>
      <c r="O1168" s="14">
        <f>SQRT(SUMPRODUCT($H$24:$M$24,(H1168:M1168-N1168)^2))</f>
        <v/>
      </c>
      <c r="P1168" s="13">
        <f>MIN(H1168:M1168)</f>
        <v/>
      </c>
      <c r="Q1168" s="13">
        <f>MAX(H1168:M1168)</f>
        <v/>
      </c>
      <c r="R1168" s="27">
        <f>IF(G1168,SUMPRODUCT(($G$76:$G$1505)*($N$76:$N$1505&gt;=N1168)*($O$76:$O$1505&lt;=O1168))=1,FALSE)</f>
        <v/>
      </c>
      <c r="S1168" s="16">
        <f>IF(R1168,ABS((O1168-$AC$76)/MAX(0.0001,$AC$77-$AC$76)-(N1168-$AC$78)/MAX(0.0001,$AC$79-$AC$78)),-1)</f>
        <v/>
      </c>
      <c r="T1168" s="14">
        <f>IF(G1168,O1168,NA())</f>
        <v/>
      </c>
      <c r="U1168" s="13">
        <f>IF(G1168,N1168,NA())</f>
        <v/>
      </c>
      <c r="V1168" s="14">
        <f>IF(R1168,O1168,NA())</f>
        <v/>
      </c>
      <c r="W1168" s="13">
        <f>IF(R1168,N1168,NA())</f>
        <v/>
      </c>
      <c r="X1168" s="27">
        <f>IF(G1168,P1168,"")</f>
        <v/>
      </c>
      <c r="Y1168" s="27">
        <f>IF(G1168,N1168,"")</f>
        <v/>
      </c>
      <c r="Z1168" s="27">
        <f>IF(R1168,O1168,"")</f>
        <v/>
      </c>
      <c r="AA1168" s="27">
        <f>IF(R1168,N1168,"")</f>
        <v/>
      </c>
    </row>
    <row r="1169">
      <c r="A1169" s="31" t="n">
        <v>0.4</v>
      </c>
      <c r="B1169" s="31" t="n">
        <v>0.2</v>
      </c>
      <c r="C1169" s="31" t="n">
        <v>0.3</v>
      </c>
      <c r="D1169" s="31" t="n">
        <v>0.1</v>
      </c>
      <c r="E1169" s="27" t="inlineStr">
        <is>
          <t>ON 40%/1M 20%/2M 30%/3M 10%</t>
        </is>
      </c>
      <c r="F1169" s="27" t="n">
        <v>75</v>
      </c>
      <c r="G1169" s="27">
        <f>A1169*$B$7&gt;=$B$9</f>
        <v/>
      </c>
      <c r="H1169" s="13">
        <f>$B$7*(A1169*E$71+B1169*F$71+C1169*G$71+D1169*H$71)+F1169/100*$B$7*J$71-$C$71</f>
        <v/>
      </c>
      <c r="I1169" s="13">
        <f>$B$7*(A1169*L$71+B1169*M$71+C1169*N$71+D1169*O$71)+F1169/100*$B$7*Q$71-$C$71</f>
        <v/>
      </c>
      <c r="J1169" s="13">
        <f>$B$7*(A1169*S$71+B1169*T$71+C1169*U$71+D1169*V$71)+F1169/100*$B$7*X$71-$C$71</f>
        <v/>
      </c>
      <c r="K1169" s="13">
        <f>$B$7*(A1169*Z$71+B1169*AA$71+C1169*AB$71+D1169*AC$71)+F1169/100*$B$7*AE$71-$C$71</f>
        <v/>
      </c>
      <c r="L1169" s="13">
        <f>$B$7*(A1169*AG$71+B1169*AH$71+C1169*AI$71+D1169*AJ$71)+F1169/100*$B$7*AL$71-$C$71</f>
        <v/>
      </c>
      <c r="M1169" s="13">
        <f>$B$7*(A1169*AN$71+B1169*AO$71+C1169*AP$71+D1169*AQ$71)+F1169/100*$B$7*AS$71-$C$71</f>
        <v/>
      </c>
      <c r="N1169" s="13">
        <f>SUMPRODUCT($H$24:$M$24,H1169:M1169)</f>
        <v/>
      </c>
      <c r="O1169" s="14">
        <f>SQRT(SUMPRODUCT($H$24:$M$24,(H1169:M1169-N1169)^2))</f>
        <v/>
      </c>
      <c r="P1169" s="13">
        <f>MIN(H1169:M1169)</f>
        <v/>
      </c>
      <c r="Q1169" s="13">
        <f>MAX(H1169:M1169)</f>
        <v/>
      </c>
      <c r="R1169" s="27">
        <f>IF(G1169,SUMPRODUCT(($G$76:$G$1505)*($N$76:$N$1505&gt;=N1169)*($O$76:$O$1505&lt;=O1169))=1,FALSE)</f>
        <v/>
      </c>
      <c r="S1169" s="16">
        <f>IF(R1169,ABS((O1169-$AC$76)/MAX(0.0001,$AC$77-$AC$76)-(N1169-$AC$78)/MAX(0.0001,$AC$79-$AC$78)),-1)</f>
        <v/>
      </c>
      <c r="T1169" s="14">
        <f>IF(G1169,O1169,NA())</f>
        <v/>
      </c>
      <c r="U1169" s="13">
        <f>IF(G1169,N1169,NA())</f>
        <v/>
      </c>
      <c r="V1169" s="14">
        <f>IF(R1169,O1169,NA())</f>
        <v/>
      </c>
      <c r="W1169" s="13">
        <f>IF(R1169,N1169,NA())</f>
        <v/>
      </c>
      <c r="X1169" s="27">
        <f>IF(G1169,P1169,"")</f>
        <v/>
      </c>
      <c r="Y1169" s="27">
        <f>IF(G1169,N1169,"")</f>
        <v/>
      </c>
      <c r="Z1169" s="27">
        <f>IF(R1169,O1169,"")</f>
        <v/>
      </c>
      <c r="AA1169" s="27">
        <f>IF(R1169,N1169,"")</f>
        <v/>
      </c>
    </row>
    <row r="1170">
      <c r="A1170" s="31" t="n">
        <v>0.4</v>
      </c>
      <c r="B1170" s="31" t="n">
        <v>0.2</v>
      </c>
      <c r="C1170" s="31" t="n">
        <v>0.3</v>
      </c>
      <c r="D1170" s="31" t="n">
        <v>0.1</v>
      </c>
      <c r="E1170" s="27" t="inlineStr">
        <is>
          <t>ON 40%/1M 20%/2M 30%/3M 10%</t>
        </is>
      </c>
      <c r="F1170" s="27" t="n">
        <v>100</v>
      </c>
      <c r="G1170" s="27">
        <f>A1170*$B$7&gt;=$B$9</f>
        <v/>
      </c>
      <c r="H1170" s="13">
        <f>$B$7*(A1170*E$71+B1170*F$71+C1170*G$71+D1170*H$71)+F1170/100*$B$7*J$71-$C$71</f>
        <v/>
      </c>
      <c r="I1170" s="13">
        <f>$B$7*(A1170*L$71+B1170*M$71+C1170*N$71+D1170*O$71)+F1170/100*$B$7*Q$71-$C$71</f>
        <v/>
      </c>
      <c r="J1170" s="13">
        <f>$B$7*(A1170*S$71+B1170*T$71+C1170*U$71+D1170*V$71)+F1170/100*$B$7*X$71-$C$71</f>
        <v/>
      </c>
      <c r="K1170" s="13">
        <f>$B$7*(A1170*Z$71+B1170*AA$71+C1170*AB$71+D1170*AC$71)+F1170/100*$B$7*AE$71-$C$71</f>
        <v/>
      </c>
      <c r="L1170" s="13">
        <f>$B$7*(A1170*AG$71+B1170*AH$71+C1170*AI$71+D1170*AJ$71)+F1170/100*$B$7*AL$71-$C$71</f>
        <v/>
      </c>
      <c r="M1170" s="13">
        <f>$B$7*(A1170*AN$71+B1170*AO$71+C1170*AP$71+D1170*AQ$71)+F1170/100*$B$7*AS$71-$C$71</f>
        <v/>
      </c>
      <c r="N1170" s="13">
        <f>SUMPRODUCT($H$24:$M$24,H1170:M1170)</f>
        <v/>
      </c>
      <c r="O1170" s="14">
        <f>SQRT(SUMPRODUCT($H$24:$M$24,(H1170:M1170-N1170)^2))</f>
        <v/>
      </c>
      <c r="P1170" s="13">
        <f>MIN(H1170:M1170)</f>
        <v/>
      </c>
      <c r="Q1170" s="13">
        <f>MAX(H1170:M1170)</f>
        <v/>
      </c>
      <c r="R1170" s="27">
        <f>IF(G1170,SUMPRODUCT(($G$76:$G$1505)*($N$76:$N$1505&gt;=N1170)*($O$76:$O$1505&lt;=O1170))=1,FALSE)</f>
        <v/>
      </c>
      <c r="S1170" s="16">
        <f>IF(R1170,ABS((O1170-$AC$76)/MAX(0.0001,$AC$77-$AC$76)-(N1170-$AC$78)/MAX(0.0001,$AC$79-$AC$78)),-1)</f>
        <v/>
      </c>
      <c r="T1170" s="14">
        <f>IF(G1170,O1170,NA())</f>
        <v/>
      </c>
      <c r="U1170" s="13">
        <f>IF(G1170,N1170,NA())</f>
        <v/>
      </c>
      <c r="V1170" s="14">
        <f>IF(R1170,O1170,NA())</f>
        <v/>
      </c>
      <c r="W1170" s="13">
        <f>IF(R1170,N1170,NA())</f>
        <v/>
      </c>
      <c r="X1170" s="27">
        <f>IF(G1170,P1170,"")</f>
        <v/>
      </c>
      <c r="Y1170" s="27">
        <f>IF(G1170,N1170,"")</f>
        <v/>
      </c>
      <c r="Z1170" s="27">
        <f>IF(R1170,O1170,"")</f>
        <v/>
      </c>
      <c r="AA1170" s="27">
        <f>IF(R1170,N1170,"")</f>
        <v/>
      </c>
    </row>
    <row r="1171">
      <c r="A1171" s="31" t="n">
        <v>0.4</v>
      </c>
      <c r="B1171" s="31" t="n">
        <v>0.2</v>
      </c>
      <c r="C1171" s="31" t="n">
        <v>0.4</v>
      </c>
      <c r="D1171" s="31" t="n">
        <v>0</v>
      </c>
      <c r="E1171" s="27" t="inlineStr">
        <is>
          <t>ON 40%/1M 20%/2M 40%</t>
        </is>
      </c>
      <c r="F1171" s="27" t="n">
        <v>0</v>
      </c>
      <c r="G1171" s="27">
        <f>A1171*$B$7&gt;=$B$9</f>
        <v/>
      </c>
      <c r="H1171" s="13">
        <f>$B$7*(A1171*E$71+B1171*F$71+C1171*G$71+D1171*H$71)+F1171/100*$B$7*J$71-$C$71</f>
        <v/>
      </c>
      <c r="I1171" s="13">
        <f>$B$7*(A1171*L$71+B1171*M$71+C1171*N$71+D1171*O$71)+F1171/100*$B$7*Q$71-$C$71</f>
        <v/>
      </c>
      <c r="J1171" s="13">
        <f>$B$7*(A1171*S$71+B1171*T$71+C1171*U$71+D1171*V$71)+F1171/100*$B$7*X$71-$C$71</f>
        <v/>
      </c>
      <c r="K1171" s="13">
        <f>$B$7*(A1171*Z$71+B1171*AA$71+C1171*AB$71+D1171*AC$71)+F1171/100*$B$7*AE$71-$C$71</f>
        <v/>
      </c>
      <c r="L1171" s="13">
        <f>$B$7*(A1171*AG$71+B1171*AH$71+C1171*AI$71+D1171*AJ$71)+F1171/100*$B$7*AL$71-$C$71</f>
        <v/>
      </c>
      <c r="M1171" s="13">
        <f>$B$7*(A1171*AN$71+B1171*AO$71+C1171*AP$71+D1171*AQ$71)+F1171/100*$B$7*AS$71-$C$71</f>
        <v/>
      </c>
      <c r="N1171" s="13">
        <f>SUMPRODUCT($H$24:$M$24,H1171:M1171)</f>
        <v/>
      </c>
      <c r="O1171" s="14">
        <f>SQRT(SUMPRODUCT($H$24:$M$24,(H1171:M1171-N1171)^2))</f>
        <v/>
      </c>
      <c r="P1171" s="13">
        <f>MIN(H1171:M1171)</f>
        <v/>
      </c>
      <c r="Q1171" s="13">
        <f>MAX(H1171:M1171)</f>
        <v/>
      </c>
      <c r="R1171" s="27">
        <f>IF(G1171,SUMPRODUCT(($G$76:$G$1505)*($N$76:$N$1505&gt;=N1171)*($O$76:$O$1505&lt;=O1171))=1,FALSE)</f>
        <v/>
      </c>
      <c r="S1171" s="16">
        <f>IF(R1171,ABS((O1171-$AC$76)/MAX(0.0001,$AC$77-$AC$76)-(N1171-$AC$78)/MAX(0.0001,$AC$79-$AC$78)),-1)</f>
        <v/>
      </c>
      <c r="T1171" s="14">
        <f>IF(G1171,O1171,NA())</f>
        <v/>
      </c>
      <c r="U1171" s="13">
        <f>IF(G1171,N1171,NA())</f>
        <v/>
      </c>
      <c r="V1171" s="14">
        <f>IF(R1171,O1171,NA())</f>
        <v/>
      </c>
      <c r="W1171" s="13">
        <f>IF(R1171,N1171,NA())</f>
        <v/>
      </c>
      <c r="X1171" s="27">
        <f>IF(G1171,P1171,"")</f>
        <v/>
      </c>
      <c r="Y1171" s="27">
        <f>IF(G1171,N1171,"")</f>
        <v/>
      </c>
      <c r="Z1171" s="27">
        <f>IF(R1171,O1171,"")</f>
        <v/>
      </c>
      <c r="AA1171" s="27">
        <f>IF(R1171,N1171,"")</f>
        <v/>
      </c>
    </row>
    <row r="1172">
      <c r="A1172" s="31" t="n">
        <v>0.4</v>
      </c>
      <c r="B1172" s="31" t="n">
        <v>0.2</v>
      </c>
      <c r="C1172" s="31" t="n">
        <v>0.4</v>
      </c>
      <c r="D1172" s="31" t="n">
        <v>0</v>
      </c>
      <c r="E1172" s="27" t="inlineStr">
        <is>
          <t>ON 40%/1M 20%/2M 40%</t>
        </is>
      </c>
      <c r="F1172" s="27" t="n">
        <v>25</v>
      </c>
      <c r="G1172" s="27">
        <f>A1172*$B$7&gt;=$B$9</f>
        <v/>
      </c>
      <c r="H1172" s="13">
        <f>$B$7*(A1172*E$71+B1172*F$71+C1172*G$71+D1172*H$71)+F1172/100*$B$7*J$71-$C$71</f>
        <v/>
      </c>
      <c r="I1172" s="13">
        <f>$B$7*(A1172*L$71+B1172*M$71+C1172*N$71+D1172*O$71)+F1172/100*$B$7*Q$71-$C$71</f>
        <v/>
      </c>
      <c r="J1172" s="13">
        <f>$B$7*(A1172*S$71+B1172*T$71+C1172*U$71+D1172*V$71)+F1172/100*$B$7*X$71-$C$71</f>
        <v/>
      </c>
      <c r="K1172" s="13">
        <f>$B$7*(A1172*Z$71+B1172*AA$71+C1172*AB$71+D1172*AC$71)+F1172/100*$B$7*AE$71-$C$71</f>
        <v/>
      </c>
      <c r="L1172" s="13">
        <f>$B$7*(A1172*AG$71+B1172*AH$71+C1172*AI$71+D1172*AJ$71)+F1172/100*$B$7*AL$71-$C$71</f>
        <v/>
      </c>
      <c r="M1172" s="13">
        <f>$B$7*(A1172*AN$71+B1172*AO$71+C1172*AP$71+D1172*AQ$71)+F1172/100*$B$7*AS$71-$C$71</f>
        <v/>
      </c>
      <c r="N1172" s="13">
        <f>SUMPRODUCT($H$24:$M$24,H1172:M1172)</f>
        <v/>
      </c>
      <c r="O1172" s="14">
        <f>SQRT(SUMPRODUCT($H$24:$M$24,(H1172:M1172-N1172)^2))</f>
        <v/>
      </c>
      <c r="P1172" s="13">
        <f>MIN(H1172:M1172)</f>
        <v/>
      </c>
      <c r="Q1172" s="13">
        <f>MAX(H1172:M1172)</f>
        <v/>
      </c>
      <c r="R1172" s="27">
        <f>IF(G1172,SUMPRODUCT(($G$76:$G$1505)*($N$76:$N$1505&gt;=N1172)*($O$76:$O$1505&lt;=O1172))=1,FALSE)</f>
        <v/>
      </c>
      <c r="S1172" s="16">
        <f>IF(R1172,ABS((O1172-$AC$76)/MAX(0.0001,$AC$77-$AC$76)-(N1172-$AC$78)/MAX(0.0001,$AC$79-$AC$78)),-1)</f>
        <v/>
      </c>
      <c r="T1172" s="14">
        <f>IF(G1172,O1172,NA())</f>
        <v/>
      </c>
      <c r="U1172" s="13">
        <f>IF(G1172,N1172,NA())</f>
        <v/>
      </c>
      <c r="V1172" s="14">
        <f>IF(R1172,O1172,NA())</f>
        <v/>
      </c>
      <c r="W1172" s="13">
        <f>IF(R1172,N1172,NA())</f>
        <v/>
      </c>
      <c r="X1172" s="27">
        <f>IF(G1172,P1172,"")</f>
        <v/>
      </c>
      <c r="Y1172" s="27">
        <f>IF(G1172,N1172,"")</f>
        <v/>
      </c>
      <c r="Z1172" s="27">
        <f>IF(R1172,O1172,"")</f>
        <v/>
      </c>
      <c r="AA1172" s="27">
        <f>IF(R1172,N1172,"")</f>
        <v/>
      </c>
    </row>
    <row r="1173">
      <c r="A1173" s="31" t="n">
        <v>0.4</v>
      </c>
      <c r="B1173" s="31" t="n">
        <v>0.2</v>
      </c>
      <c r="C1173" s="31" t="n">
        <v>0.4</v>
      </c>
      <c r="D1173" s="31" t="n">
        <v>0</v>
      </c>
      <c r="E1173" s="27" t="inlineStr">
        <is>
          <t>ON 40%/1M 20%/2M 40%</t>
        </is>
      </c>
      <c r="F1173" s="27" t="n">
        <v>50</v>
      </c>
      <c r="G1173" s="27">
        <f>A1173*$B$7&gt;=$B$9</f>
        <v/>
      </c>
      <c r="H1173" s="13">
        <f>$B$7*(A1173*E$71+B1173*F$71+C1173*G$71+D1173*H$71)+F1173/100*$B$7*J$71-$C$71</f>
        <v/>
      </c>
      <c r="I1173" s="13">
        <f>$B$7*(A1173*L$71+B1173*M$71+C1173*N$71+D1173*O$71)+F1173/100*$B$7*Q$71-$C$71</f>
        <v/>
      </c>
      <c r="J1173" s="13">
        <f>$B$7*(A1173*S$71+B1173*T$71+C1173*U$71+D1173*V$71)+F1173/100*$B$7*X$71-$C$71</f>
        <v/>
      </c>
      <c r="K1173" s="13">
        <f>$B$7*(A1173*Z$71+B1173*AA$71+C1173*AB$71+D1173*AC$71)+F1173/100*$B$7*AE$71-$C$71</f>
        <v/>
      </c>
      <c r="L1173" s="13">
        <f>$B$7*(A1173*AG$71+B1173*AH$71+C1173*AI$71+D1173*AJ$71)+F1173/100*$B$7*AL$71-$C$71</f>
        <v/>
      </c>
      <c r="M1173" s="13">
        <f>$B$7*(A1173*AN$71+B1173*AO$71+C1173*AP$71+D1173*AQ$71)+F1173/100*$B$7*AS$71-$C$71</f>
        <v/>
      </c>
      <c r="N1173" s="13">
        <f>SUMPRODUCT($H$24:$M$24,H1173:M1173)</f>
        <v/>
      </c>
      <c r="O1173" s="14">
        <f>SQRT(SUMPRODUCT($H$24:$M$24,(H1173:M1173-N1173)^2))</f>
        <v/>
      </c>
      <c r="P1173" s="13">
        <f>MIN(H1173:M1173)</f>
        <v/>
      </c>
      <c r="Q1173" s="13">
        <f>MAX(H1173:M1173)</f>
        <v/>
      </c>
      <c r="R1173" s="27">
        <f>IF(G1173,SUMPRODUCT(($G$76:$G$1505)*($N$76:$N$1505&gt;=N1173)*($O$76:$O$1505&lt;=O1173))=1,FALSE)</f>
        <v/>
      </c>
      <c r="S1173" s="16">
        <f>IF(R1173,ABS((O1173-$AC$76)/MAX(0.0001,$AC$77-$AC$76)-(N1173-$AC$78)/MAX(0.0001,$AC$79-$AC$78)),-1)</f>
        <v/>
      </c>
      <c r="T1173" s="14">
        <f>IF(G1173,O1173,NA())</f>
        <v/>
      </c>
      <c r="U1173" s="13">
        <f>IF(G1173,N1173,NA())</f>
        <v/>
      </c>
      <c r="V1173" s="14">
        <f>IF(R1173,O1173,NA())</f>
        <v/>
      </c>
      <c r="W1173" s="13">
        <f>IF(R1173,N1173,NA())</f>
        <v/>
      </c>
      <c r="X1173" s="27">
        <f>IF(G1173,P1173,"")</f>
        <v/>
      </c>
      <c r="Y1173" s="27">
        <f>IF(G1173,N1173,"")</f>
        <v/>
      </c>
      <c r="Z1173" s="27">
        <f>IF(R1173,O1173,"")</f>
        <v/>
      </c>
      <c r="AA1173" s="27">
        <f>IF(R1173,N1173,"")</f>
        <v/>
      </c>
    </row>
    <row r="1174">
      <c r="A1174" s="31" t="n">
        <v>0.4</v>
      </c>
      <c r="B1174" s="31" t="n">
        <v>0.2</v>
      </c>
      <c r="C1174" s="31" t="n">
        <v>0.4</v>
      </c>
      <c r="D1174" s="31" t="n">
        <v>0</v>
      </c>
      <c r="E1174" s="27" t="inlineStr">
        <is>
          <t>ON 40%/1M 20%/2M 40%</t>
        </is>
      </c>
      <c r="F1174" s="27" t="n">
        <v>75</v>
      </c>
      <c r="G1174" s="27">
        <f>A1174*$B$7&gt;=$B$9</f>
        <v/>
      </c>
      <c r="H1174" s="13">
        <f>$B$7*(A1174*E$71+B1174*F$71+C1174*G$71+D1174*H$71)+F1174/100*$B$7*J$71-$C$71</f>
        <v/>
      </c>
      <c r="I1174" s="13">
        <f>$B$7*(A1174*L$71+B1174*M$71+C1174*N$71+D1174*O$71)+F1174/100*$B$7*Q$71-$C$71</f>
        <v/>
      </c>
      <c r="J1174" s="13">
        <f>$B$7*(A1174*S$71+B1174*T$71+C1174*U$71+D1174*V$71)+F1174/100*$B$7*X$71-$C$71</f>
        <v/>
      </c>
      <c r="K1174" s="13">
        <f>$B$7*(A1174*Z$71+B1174*AA$71+C1174*AB$71+D1174*AC$71)+F1174/100*$B$7*AE$71-$C$71</f>
        <v/>
      </c>
      <c r="L1174" s="13">
        <f>$B$7*(A1174*AG$71+B1174*AH$71+C1174*AI$71+D1174*AJ$71)+F1174/100*$B$7*AL$71-$C$71</f>
        <v/>
      </c>
      <c r="M1174" s="13">
        <f>$B$7*(A1174*AN$71+B1174*AO$71+C1174*AP$71+D1174*AQ$71)+F1174/100*$B$7*AS$71-$C$71</f>
        <v/>
      </c>
      <c r="N1174" s="13">
        <f>SUMPRODUCT($H$24:$M$24,H1174:M1174)</f>
        <v/>
      </c>
      <c r="O1174" s="14">
        <f>SQRT(SUMPRODUCT($H$24:$M$24,(H1174:M1174-N1174)^2))</f>
        <v/>
      </c>
      <c r="P1174" s="13">
        <f>MIN(H1174:M1174)</f>
        <v/>
      </c>
      <c r="Q1174" s="13">
        <f>MAX(H1174:M1174)</f>
        <v/>
      </c>
      <c r="R1174" s="27">
        <f>IF(G1174,SUMPRODUCT(($G$76:$G$1505)*($N$76:$N$1505&gt;=N1174)*($O$76:$O$1505&lt;=O1174))=1,FALSE)</f>
        <v/>
      </c>
      <c r="S1174" s="16">
        <f>IF(R1174,ABS((O1174-$AC$76)/MAX(0.0001,$AC$77-$AC$76)-(N1174-$AC$78)/MAX(0.0001,$AC$79-$AC$78)),-1)</f>
        <v/>
      </c>
      <c r="T1174" s="14">
        <f>IF(G1174,O1174,NA())</f>
        <v/>
      </c>
      <c r="U1174" s="13">
        <f>IF(G1174,N1174,NA())</f>
        <v/>
      </c>
      <c r="V1174" s="14">
        <f>IF(R1174,O1174,NA())</f>
        <v/>
      </c>
      <c r="W1174" s="13">
        <f>IF(R1174,N1174,NA())</f>
        <v/>
      </c>
      <c r="X1174" s="27">
        <f>IF(G1174,P1174,"")</f>
        <v/>
      </c>
      <c r="Y1174" s="27">
        <f>IF(G1174,N1174,"")</f>
        <v/>
      </c>
      <c r="Z1174" s="27">
        <f>IF(R1174,O1174,"")</f>
        <v/>
      </c>
      <c r="AA1174" s="27">
        <f>IF(R1174,N1174,"")</f>
        <v/>
      </c>
    </row>
    <row r="1175">
      <c r="A1175" s="31" t="n">
        <v>0.4</v>
      </c>
      <c r="B1175" s="31" t="n">
        <v>0.2</v>
      </c>
      <c r="C1175" s="31" t="n">
        <v>0.4</v>
      </c>
      <c r="D1175" s="31" t="n">
        <v>0</v>
      </c>
      <c r="E1175" s="27" t="inlineStr">
        <is>
          <t>ON 40%/1M 20%/2M 40%</t>
        </is>
      </c>
      <c r="F1175" s="27" t="n">
        <v>100</v>
      </c>
      <c r="G1175" s="27">
        <f>A1175*$B$7&gt;=$B$9</f>
        <v/>
      </c>
      <c r="H1175" s="13">
        <f>$B$7*(A1175*E$71+B1175*F$71+C1175*G$71+D1175*H$71)+F1175/100*$B$7*J$71-$C$71</f>
        <v/>
      </c>
      <c r="I1175" s="13">
        <f>$B$7*(A1175*L$71+B1175*M$71+C1175*N$71+D1175*O$71)+F1175/100*$B$7*Q$71-$C$71</f>
        <v/>
      </c>
      <c r="J1175" s="13">
        <f>$B$7*(A1175*S$71+B1175*T$71+C1175*U$71+D1175*V$71)+F1175/100*$B$7*X$71-$C$71</f>
        <v/>
      </c>
      <c r="K1175" s="13">
        <f>$B$7*(A1175*Z$71+B1175*AA$71+C1175*AB$71+D1175*AC$71)+F1175/100*$B$7*AE$71-$C$71</f>
        <v/>
      </c>
      <c r="L1175" s="13">
        <f>$B$7*(A1175*AG$71+B1175*AH$71+C1175*AI$71+D1175*AJ$71)+F1175/100*$B$7*AL$71-$C$71</f>
        <v/>
      </c>
      <c r="M1175" s="13">
        <f>$B$7*(A1175*AN$71+B1175*AO$71+C1175*AP$71+D1175*AQ$71)+F1175/100*$B$7*AS$71-$C$71</f>
        <v/>
      </c>
      <c r="N1175" s="13">
        <f>SUMPRODUCT($H$24:$M$24,H1175:M1175)</f>
        <v/>
      </c>
      <c r="O1175" s="14">
        <f>SQRT(SUMPRODUCT($H$24:$M$24,(H1175:M1175-N1175)^2))</f>
        <v/>
      </c>
      <c r="P1175" s="13">
        <f>MIN(H1175:M1175)</f>
        <v/>
      </c>
      <c r="Q1175" s="13">
        <f>MAX(H1175:M1175)</f>
        <v/>
      </c>
      <c r="R1175" s="27">
        <f>IF(G1175,SUMPRODUCT(($G$76:$G$1505)*($N$76:$N$1505&gt;=N1175)*($O$76:$O$1505&lt;=O1175))=1,FALSE)</f>
        <v/>
      </c>
      <c r="S1175" s="16">
        <f>IF(R1175,ABS((O1175-$AC$76)/MAX(0.0001,$AC$77-$AC$76)-(N1175-$AC$78)/MAX(0.0001,$AC$79-$AC$78)),-1)</f>
        <v/>
      </c>
      <c r="T1175" s="14">
        <f>IF(G1175,O1175,NA())</f>
        <v/>
      </c>
      <c r="U1175" s="13">
        <f>IF(G1175,N1175,NA())</f>
        <v/>
      </c>
      <c r="V1175" s="14">
        <f>IF(R1175,O1175,NA())</f>
        <v/>
      </c>
      <c r="W1175" s="13">
        <f>IF(R1175,N1175,NA())</f>
        <v/>
      </c>
      <c r="X1175" s="27">
        <f>IF(G1175,P1175,"")</f>
        <v/>
      </c>
      <c r="Y1175" s="27">
        <f>IF(G1175,N1175,"")</f>
        <v/>
      </c>
      <c r="Z1175" s="27">
        <f>IF(R1175,O1175,"")</f>
        <v/>
      </c>
      <c r="AA1175" s="27">
        <f>IF(R1175,N1175,"")</f>
        <v/>
      </c>
    </row>
    <row r="1176">
      <c r="A1176" s="31" t="n">
        <v>0.4</v>
      </c>
      <c r="B1176" s="31" t="n">
        <v>0.3</v>
      </c>
      <c r="C1176" s="31" t="n">
        <v>0</v>
      </c>
      <c r="D1176" s="31" t="n">
        <v>0.3</v>
      </c>
      <c r="E1176" s="27" t="inlineStr">
        <is>
          <t>ON 40%/1M 30%/3M 30%</t>
        </is>
      </c>
      <c r="F1176" s="27" t="n">
        <v>0</v>
      </c>
      <c r="G1176" s="27">
        <f>A1176*$B$7&gt;=$B$9</f>
        <v/>
      </c>
      <c r="H1176" s="13">
        <f>$B$7*(A1176*E$71+B1176*F$71+C1176*G$71+D1176*H$71)+F1176/100*$B$7*J$71-$C$71</f>
        <v/>
      </c>
      <c r="I1176" s="13">
        <f>$B$7*(A1176*L$71+B1176*M$71+C1176*N$71+D1176*O$71)+F1176/100*$B$7*Q$71-$C$71</f>
        <v/>
      </c>
      <c r="J1176" s="13">
        <f>$B$7*(A1176*S$71+B1176*T$71+C1176*U$71+D1176*V$71)+F1176/100*$B$7*X$71-$C$71</f>
        <v/>
      </c>
      <c r="K1176" s="13">
        <f>$B$7*(A1176*Z$71+B1176*AA$71+C1176*AB$71+D1176*AC$71)+F1176/100*$B$7*AE$71-$C$71</f>
        <v/>
      </c>
      <c r="L1176" s="13">
        <f>$B$7*(A1176*AG$71+B1176*AH$71+C1176*AI$71+D1176*AJ$71)+F1176/100*$B$7*AL$71-$C$71</f>
        <v/>
      </c>
      <c r="M1176" s="13">
        <f>$B$7*(A1176*AN$71+B1176*AO$71+C1176*AP$71+D1176*AQ$71)+F1176/100*$B$7*AS$71-$C$71</f>
        <v/>
      </c>
      <c r="N1176" s="13">
        <f>SUMPRODUCT($H$24:$M$24,H1176:M1176)</f>
        <v/>
      </c>
      <c r="O1176" s="14">
        <f>SQRT(SUMPRODUCT($H$24:$M$24,(H1176:M1176-N1176)^2))</f>
        <v/>
      </c>
      <c r="P1176" s="13">
        <f>MIN(H1176:M1176)</f>
        <v/>
      </c>
      <c r="Q1176" s="13">
        <f>MAX(H1176:M1176)</f>
        <v/>
      </c>
      <c r="R1176" s="27">
        <f>IF(G1176,SUMPRODUCT(($G$76:$G$1505)*($N$76:$N$1505&gt;=N1176)*($O$76:$O$1505&lt;=O1176))=1,FALSE)</f>
        <v/>
      </c>
      <c r="S1176" s="16">
        <f>IF(R1176,ABS((O1176-$AC$76)/MAX(0.0001,$AC$77-$AC$76)-(N1176-$AC$78)/MAX(0.0001,$AC$79-$AC$78)),-1)</f>
        <v/>
      </c>
      <c r="T1176" s="14">
        <f>IF(G1176,O1176,NA())</f>
        <v/>
      </c>
      <c r="U1176" s="13">
        <f>IF(G1176,N1176,NA())</f>
        <v/>
      </c>
      <c r="V1176" s="14">
        <f>IF(R1176,O1176,NA())</f>
        <v/>
      </c>
      <c r="W1176" s="13">
        <f>IF(R1176,N1176,NA())</f>
        <v/>
      </c>
      <c r="X1176" s="27">
        <f>IF(G1176,P1176,"")</f>
        <v/>
      </c>
      <c r="Y1176" s="27">
        <f>IF(G1176,N1176,"")</f>
        <v/>
      </c>
      <c r="Z1176" s="27">
        <f>IF(R1176,O1176,"")</f>
        <v/>
      </c>
      <c r="AA1176" s="27">
        <f>IF(R1176,N1176,"")</f>
        <v/>
      </c>
    </row>
    <row r="1177">
      <c r="A1177" s="31" t="n">
        <v>0.4</v>
      </c>
      <c r="B1177" s="31" t="n">
        <v>0.3</v>
      </c>
      <c r="C1177" s="31" t="n">
        <v>0</v>
      </c>
      <c r="D1177" s="31" t="n">
        <v>0.3</v>
      </c>
      <c r="E1177" s="27" t="inlineStr">
        <is>
          <t>ON 40%/1M 30%/3M 30%</t>
        </is>
      </c>
      <c r="F1177" s="27" t="n">
        <v>25</v>
      </c>
      <c r="G1177" s="27">
        <f>A1177*$B$7&gt;=$B$9</f>
        <v/>
      </c>
      <c r="H1177" s="13">
        <f>$B$7*(A1177*E$71+B1177*F$71+C1177*G$71+D1177*H$71)+F1177/100*$B$7*J$71-$C$71</f>
        <v/>
      </c>
      <c r="I1177" s="13">
        <f>$B$7*(A1177*L$71+B1177*M$71+C1177*N$71+D1177*O$71)+F1177/100*$B$7*Q$71-$C$71</f>
        <v/>
      </c>
      <c r="J1177" s="13">
        <f>$B$7*(A1177*S$71+B1177*T$71+C1177*U$71+D1177*V$71)+F1177/100*$B$7*X$71-$C$71</f>
        <v/>
      </c>
      <c r="K1177" s="13">
        <f>$B$7*(A1177*Z$71+B1177*AA$71+C1177*AB$71+D1177*AC$71)+F1177/100*$B$7*AE$71-$C$71</f>
        <v/>
      </c>
      <c r="L1177" s="13">
        <f>$B$7*(A1177*AG$71+B1177*AH$71+C1177*AI$71+D1177*AJ$71)+F1177/100*$B$7*AL$71-$C$71</f>
        <v/>
      </c>
      <c r="M1177" s="13">
        <f>$B$7*(A1177*AN$71+B1177*AO$71+C1177*AP$71+D1177*AQ$71)+F1177/100*$B$7*AS$71-$C$71</f>
        <v/>
      </c>
      <c r="N1177" s="13">
        <f>SUMPRODUCT($H$24:$M$24,H1177:M1177)</f>
        <v/>
      </c>
      <c r="O1177" s="14">
        <f>SQRT(SUMPRODUCT($H$24:$M$24,(H1177:M1177-N1177)^2))</f>
        <v/>
      </c>
      <c r="P1177" s="13">
        <f>MIN(H1177:M1177)</f>
        <v/>
      </c>
      <c r="Q1177" s="13">
        <f>MAX(H1177:M1177)</f>
        <v/>
      </c>
      <c r="R1177" s="27">
        <f>IF(G1177,SUMPRODUCT(($G$76:$G$1505)*($N$76:$N$1505&gt;=N1177)*($O$76:$O$1505&lt;=O1177))=1,FALSE)</f>
        <v/>
      </c>
      <c r="S1177" s="16">
        <f>IF(R1177,ABS((O1177-$AC$76)/MAX(0.0001,$AC$77-$AC$76)-(N1177-$AC$78)/MAX(0.0001,$AC$79-$AC$78)),-1)</f>
        <v/>
      </c>
      <c r="T1177" s="14">
        <f>IF(G1177,O1177,NA())</f>
        <v/>
      </c>
      <c r="U1177" s="13">
        <f>IF(G1177,N1177,NA())</f>
        <v/>
      </c>
      <c r="V1177" s="14">
        <f>IF(R1177,O1177,NA())</f>
        <v/>
      </c>
      <c r="W1177" s="13">
        <f>IF(R1177,N1177,NA())</f>
        <v/>
      </c>
      <c r="X1177" s="27">
        <f>IF(G1177,P1177,"")</f>
        <v/>
      </c>
      <c r="Y1177" s="27">
        <f>IF(G1177,N1177,"")</f>
        <v/>
      </c>
      <c r="Z1177" s="27">
        <f>IF(R1177,O1177,"")</f>
        <v/>
      </c>
      <c r="AA1177" s="27">
        <f>IF(R1177,N1177,"")</f>
        <v/>
      </c>
    </row>
    <row r="1178">
      <c r="A1178" s="31" t="n">
        <v>0.4</v>
      </c>
      <c r="B1178" s="31" t="n">
        <v>0.3</v>
      </c>
      <c r="C1178" s="31" t="n">
        <v>0</v>
      </c>
      <c r="D1178" s="31" t="n">
        <v>0.3</v>
      </c>
      <c r="E1178" s="27" t="inlineStr">
        <is>
          <t>ON 40%/1M 30%/3M 30%</t>
        </is>
      </c>
      <c r="F1178" s="27" t="n">
        <v>50</v>
      </c>
      <c r="G1178" s="27">
        <f>A1178*$B$7&gt;=$B$9</f>
        <v/>
      </c>
      <c r="H1178" s="13">
        <f>$B$7*(A1178*E$71+B1178*F$71+C1178*G$71+D1178*H$71)+F1178/100*$B$7*J$71-$C$71</f>
        <v/>
      </c>
      <c r="I1178" s="13">
        <f>$B$7*(A1178*L$71+B1178*M$71+C1178*N$71+D1178*O$71)+F1178/100*$B$7*Q$71-$C$71</f>
        <v/>
      </c>
      <c r="J1178" s="13">
        <f>$B$7*(A1178*S$71+B1178*T$71+C1178*U$71+D1178*V$71)+F1178/100*$B$7*X$71-$C$71</f>
        <v/>
      </c>
      <c r="K1178" s="13">
        <f>$B$7*(A1178*Z$71+B1178*AA$71+C1178*AB$71+D1178*AC$71)+F1178/100*$B$7*AE$71-$C$71</f>
        <v/>
      </c>
      <c r="L1178" s="13">
        <f>$B$7*(A1178*AG$71+B1178*AH$71+C1178*AI$71+D1178*AJ$71)+F1178/100*$B$7*AL$71-$C$71</f>
        <v/>
      </c>
      <c r="M1178" s="13">
        <f>$B$7*(A1178*AN$71+B1178*AO$71+C1178*AP$71+D1178*AQ$71)+F1178/100*$B$7*AS$71-$C$71</f>
        <v/>
      </c>
      <c r="N1178" s="13">
        <f>SUMPRODUCT($H$24:$M$24,H1178:M1178)</f>
        <v/>
      </c>
      <c r="O1178" s="14">
        <f>SQRT(SUMPRODUCT($H$24:$M$24,(H1178:M1178-N1178)^2))</f>
        <v/>
      </c>
      <c r="P1178" s="13">
        <f>MIN(H1178:M1178)</f>
        <v/>
      </c>
      <c r="Q1178" s="13">
        <f>MAX(H1178:M1178)</f>
        <v/>
      </c>
      <c r="R1178" s="27">
        <f>IF(G1178,SUMPRODUCT(($G$76:$G$1505)*($N$76:$N$1505&gt;=N1178)*($O$76:$O$1505&lt;=O1178))=1,FALSE)</f>
        <v/>
      </c>
      <c r="S1178" s="16">
        <f>IF(R1178,ABS((O1178-$AC$76)/MAX(0.0001,$AC$77-$AC$76)-(N1178-$AC$78)/MAX(0.0001,$AC$79-$AC$78)),-1)</f>
        <v/>
      </c>
      <c r="T1178" s="14">
        <f>IF(G1178,O1178,NA())</f>
        <v/>
      </c>
      <c r="U1178" s="13">
        <f>IF(G1178,N1178,NA())</f>
        <v/>
      </c>
      <c r="V1178" s="14">
        <f>IF(R1178,O1178,NA())</f>
        <v/>
      </c>
      <c r="W1178" s="13">
        <f>IF(R1178,N1178,NA())</f>
        <v/>
      </c>
      <c r="X1178" s="27">
        <f>IF(G1178,P1178,"")</f>
        <v/>
      </c>
      <c r="Y1178" s="27">
        <f>IF(G1178,N1178,"")</f>
        <v/>
      </c>
      <c r="Z1178" s="27">
        <f>IF(R1178,O1178,"")</f>
        <v/>
      </c>
      <c r="AA1178" s="27">
        <f>IF(R1178,N1178,"")</f>
        <v/>
      </c>
    </row>
    <row r="1179">
      <c r="A1179" s="31" t="n">
        <v>0.4</v>
      </c>
      <c r="B1179" s="31" t="n">
        <v>0.3</v>
      </c>
      <c r="C1179" s="31" t="n">
        <v>0</v>
      </c>
      <c r="D1179" s="31" t="n">
        <v>0.3</v>
      </c>
      <c r="E1179" s="27" t="inlineStr">
        <is>
          <t>ON 40%/1M 30%/3M 30%</t>
        </is>
      </c>
      <c r="F1179" s="27" t="n">
        <v>75</v>
      </c>
      <c r="G1179" s="27">
        <f>A1179*$B$7&gt;=$B$9</f>
        <v/>
      </c>
      <c r="H1179" s="13">
        <f>$B$7*(A1179*E$71+B1179*F$71+C1179*G$71+D1179*H$71)+F1179/100*$B$7*J$71-$C$71</f>
        <v/>
      </c>
      <c r="I1179" s="13">
        <f>$B$7*(A1179*L$71+B1179*M$71+C1179*N$71+D1179*O$71)+F1179/100*$B$7*Q$71-$C$71</f>
        <v/>
      </c>
      <c r="J1179" s="13">
        <f>$B$7*(A1179*S$71+B1179*T$71+C1179*U$71+D1179*V$71)+F1179/100*$B$7*X$71-$C$71</f>
        <v/>
      </c>
      <c r="K1179" s="13">
        <f>$B$7*(A1179*Z$71+B1179*AA$71+C1179*AB$71+D1179*AC$71)+F1179/100*$B$7*AE$71-$C$71</f>
        <v/>
      </c>
      <c r="L1179" s="13">
        <f>$B$7*(A1179*AG$71+B1179*AH$71+C1179*AI$71+D1179*AJ$71)+F1179/100*$B$7*AL$71-$C$71</f>
        <v/>
      </c>
      <c r="M1179" s="13">
        <f>$B$7*(A1179*AN$71+B1179*AO$71+C1179*AP$71+D1179*AQ$71)+F1179/100*$B$7*AS$71-$C$71</f>
        <v/>
      </c>
      <c r="N1179" s="13">
        <f>SUMPRODUCT($H$24:$M$24,H1179:M1179)</f>
        <v/>
      </c>
      <c r="O1179" s="14">
        <f>SQRT(SUMPRODUCT($H$24:$M$24,(H1179:M1179-N1179)^2))</f>
        <v/>
      </c>
      <c r="P1179" s="13">
        <f>MIN(H1179:M1179)</f>
        <v/>
      </c>
      <c r="Q1179" s="13">
        <f>MAX(H1179:M1179)</f>
        <v/>
      </c>
      <c r="R1179" s="27">
        <f>IF(G1179,SUMPRODUCT(($G$76:$G$1505)*($N$76:$N$1505&gt;=N1179)*($O$76:$O$1505&lt;=O1179))=1,FALSE)</f>
        <v/>
      </c>
      <c r="S1179" s="16">
        <f>IF(R1179,ABS((O1179-$AC$76)/MAX(0.0001,$AC$77-$AC$76)-(N1179-$AC$78)/MAX(0.0001,$AC$79-$AC$78)),-1)</f>
        <v/>
      </c>
      <c r="T1179" s="14">
        <f>IF(G1179,O1179,NA())</f>
        <v/>
      </c>
      <c r="U1179" s="13">
        <f>IF(G1179,N1179,NA())</f>
        <v/>
      </c>
      <c r="V1179" s="14">
        <f>IF(R1179,O1179,NA())</f>
        <v/>
      </c>
      <c r="W1179" s="13">
        <f>IF(R1179,N1179,NA())</f>
        <v/>
      </c>
      <c r="X1179" s="27">
        <f>IF(G1179,P1179,"")</f>
        <v/>
      </c>
      <c r="Y1179" s="27">
        <f>IF(G1179,N1179,"")</f>
        <v/>
      </c>
      <c r="Z1179" s="27">
        <f>IF(R1179,O1179,"")</f>
        <v/>
      </c>
      <c r="AA1179" s="27">
        <f>IF(R1179,N1179,"")</f>
        <v/>
      </c>
    </row>
    <row r="1180">
      <c r="A1180" s="31" t="n">
        <v>0.4</v>
      </c>
      <c r="B1180" s="31" t="n">
        <v>0.3</v>
      </c>
      <c r="C1180" s="31" t="n">
        <v>0</v>
      </c>
      <c r="D1180" s="31" t="n">
        <v>0.3</v>
      </c>
      <c r="E1180" s="27" t="inlineStr">
        <is>
          <t>ON 40%/1M 30%/3M 30%</t>
        </is>
      </c>
      <c r="F1180" s="27" t="n">
        <v>100</v>
      </c>
      <c r="G1180" s="27">
        <f>A1180*$B$7&gt;=$B$9</f>
        <v/>
      </c>
      <c r="H1180" s="13">
        <f>$B$7*(A1180*E$71+B1180*F$71+C1180*G$71+D1180*H$71)+F1180/100*$B$7*J$71-$C$71</f>
        <v/>
      </c>
      <c r="I1180" s="13">
        <f>$B$7*(A1180*L$71+B1180*M$71+C1180*N$71+D1180*O$71)+F1180/100*$B$7*Q$71-$C$71</f>
        <v/>
      </c>
      <c r="J1180" s="13">
        <f>$B$7*(A1180*S$71+B1180*T$71+C1180*U$71+D1180*V$71)+F1180/100*$B$7*X$71-$C$71</f>
        <v/>
      </c>
      <c r="K1180" s="13">
        <f>$B$7*(A1180*Z$71+B1180*AA$71+C1180*AB$71+D1180*AC$71)+F1180/100*$B$7*AE$71-$C$71</f>
        <v/>
      </c>
      <c r="L1180" s="13">
        <f>$B$7*(A1180*AG$71+B1180*AH$71+C1180*AI$71+D1180*AJ$71)+F1180/100*$B$7*AL$71-$C$71</f>
        <v/>
      </c>
      <c r="M1180" s="13">
        <f>$B$7*(A1180*AN$71+B1180*AO$71+C1180*AP$71+D1180*AQ$71)+F1180/100*$B$7*AS$71-$C$71</f>
        <v/>
      </c>
      <c r="N1180" s="13">
        <f>SUMPRODUCT($H$24:$M$24,H1180:M1180)</f>
        <v/>
      </c>
      <c r="O1180" s="14">
        <f>SQRT(SUMPRODUCT($H$24:$M$24,(H1180:M1180-N1180)^2))</f>
        <v/>
      </c>
      <c r="P1180" s="13">
        <f>MIN(H1180:M1180)</f>
        <v/>
      </c>
      <c r="Q1180" s="13">
        <f>MAX(H1180:M1180)</f>
        <v/>
      </c>
      <c r="R1180" s="27">
        <f>IF(G1180,SUMPRODUCT(($G$76:$G$1505)*($N$76:$N$1505&gt;=N1180)*($O$76:$O$1505&lt;=O1180))=1,FALSE)</f>
        <v/>
      </c>
      <c r="S1180" s="16">
        <f>IF(R1180,ABS((O1180-$AC$76)/MAX(0.0001,$AC$77-$AC$76)-(N1180-$AC$78)/MAX(0.0001,$AC$79-$AC$78)),-1)</f>
        <v/>
      </c>
      <c r="T1180" s="14">
        <f>IF(G1180,O1180,NA())</f>
        <v/>
      </c>
      <c r="U1180" s="13">
        <f>IF(G1180,N1180,NA())</f>
        <v/>
      </c>
      <c r="V1180" s="14">
        <f>IF(R1180,O1180,NA())</f>
        <v/>
      </c>
      <c r="W1180" s="13">
        <f>IF(R1180,N1180,NA())</f>
        <v/>
      </c>
      <c r="X1180" s="27">
        <f>IF(G1180,P1180,"")</f>
        <v/>
      </c>
      <c r="Y1180" s="27">
        <f>IF(G1180,N1180,"")</f>
        <v/>
      </c>
      <c r="Z1180" s="27">
        <f>IF(R1180,O1180,"")</f>
        <v/>
      </c>
      <c r="AA1180" s="27">
        <f>IF(R1180,N1180,"")</f>
        <v/>
      </c>
    </row>
    <row r="1181">
      <c r="A1181" s="31" t="n">
        <v>0.4</v>
      </c>
      <c r="B1181" s="31" t="n">
        <v>0.3</v>
      </c>
      <c r="C1181" s="31" t="n">
        <v>0.1</v>
      </c>
      <c r="D1181" s="31" t="n">
        <v>0.2</v>
      </c>
      <c r="E1181" s="27" t="inlineStr">
        <is>
          <t>ON 40%/1M 30%/2M 10%/3M 20%</t>
        </is>
      </c>
      <c r="F1181" s="27" t="n">
        <v>0</v>
      </c>
      <c r="G1181" s="27">
        <f>A1181*$B$7&gt;=$B$9</f>
        <v/>
      </c>
      <c r="H1181" s="13">
        <f>$B$7*(A1181*E$71+B1181*F$71+C1181*G$71+D1181*H$71)+F1181/100*$B$7*J$71-$C$71</f>
        <v/>
      </c>
      <c r="I1181" s="13">
        <f>$B$7*(A1181*L$71+B1181*M$71+C1181*N$71+D1181*O$71)+F1181/100*$B$7*Q$71-$C$71</f>
        <v/>
      </c>
      <c r="J1181" s="13">
        <f>$B$7*(A1181*S$71+B1181*T$71+C1181*U$71+D1181*V$71)+F1181/100*$B$7*X$71-$C$71</f>
        <v/>
      </c>
      <c r="K1181" s="13">
        <f>$B$7*(A1181*Z$71+B1181*AA$71+C1181*AB$71+D1181*AC$71)+F1181/100*$B$7*AE$71-$C$71</f>
        <v/>
      </c>
      <c r="L1181" s="13">
        <f>$B$7*(A1181*AG$71+B1181*AH$71+C1181*AI$71+D1181*AJ$71)+F1181/100*$B$7*AL$71-$C$71</f>
        <v/>
      </c>
      <c r="M1181" s="13">
        <f>$B$7*(A1181*AN$71+B1181*AO$71+C1181*AP$71+D1181*AQ$71)+F1181/100*$B$7*AS$71-$C$71</f>
        <v/>
      </c>
      <c r="N1181" s="13">
        <f>SUMPRODUCT($H$24:$M$24,H1181:M1181)</f>
        <v/>
      </c>
      <c r="O1181" s="14">
        <f>SQRT(SUMPRODUCT($H$24:$M$24,(H1181:M1181-N1181)^2))</f>
        <v/>
      </c>
      <c r="P1181" s="13">
        <f>MIN(H1181:M1181)</f>
        <v/>
      </c>
      <c r="Q1181" s="13">
        <f>MAX(H1181:M1181)</f>
        <v/>
      </c>
      <c r="R1181" s="27">
        <f>IF(G1181,SUMPRODUCT(($G$76:$G$1505)*($N$76:$N$1505&gt;=N1181)*($O$76:$O$1505&lt;=O1181))=1,FALSE)</f>
        <v/>
      </c>
      <c r="S1181" s="16">
        <f>IF(R1181,ABS((O1181-$AC$76)/MAX(0.0001,$AC$77-$AC$76)-(N1181-$AC$78)/MAX(0.0001,$AC$79-$AC$78)),-1)</f>
        <v/>
      </c>
      <c r="T1181" s="14">
        <f>IF(G1181,O1181,NA())</f>
        <v/>
      </c>
      <c r="U1181" s="13">
        <f>IF(G1181,N1181,NA())</f>
        <v/>
      </c>
      <c r="V1181" s="14">
        <f>IF(R1181,O1181,NA())</f>
        <v/>
      </c>
      <c r="W1181" s="13">
        <f>IF(R1181,N1181,NA())</f>
        <v/>
      </c>
      <c r="X1181" s="27">
        <f>IF(G1181,P1181,"")</f>
        <v/>
      </c>
      <c r="Y1181" s="27">
        <f>IF(G1181,N1181,"")</f>
        <v/>
      </c>
      <c r="Z1181" s="27">
        <f>IF(R1181,O1181,"")</f>
        <v/>
      </c>
      <c r="AA1181" s="27">
        <f>IF(R1181,N1181,"")</f>
        <v/>
      </c>
    </row>
    <row r="1182">
      <c r="A1182" s="31" t="n">
        <v>0.4</v>
      </c>
      <c r="B1182" s="31" t="n">
        <v>0.3</v>
      </c>
      <c r="C1182" s="31" t="n">
        <v>0.1</v>
      </c>
      <c r="D1182" s="31" t="n">
        <v>0.2</v>
      </c>
      <c r="E1182" s="27" t="inlineStr">
        <is>
          <t>ON 40%/1M 30%/2M 10%/3M 20%</t>
        </is>
      </c>
      <c r="F1182" s="27" t="n">
        <v>25</v>
      </c>
      <c r="G1182" s="27">
        <f>A1182*$B$7&gt;=$B$9</f>
        <v/>
      </c>
      <c r="H1182" s="13">
        <f>$B$7*(A1182*E$71+B1182*F$71+C1182*G$71+D1182*H$71)+F1182/100*$B$7*J$71-$C$71</f>
        <v/>
      </c>
      <c r="I1182" s="13">
        <f>$B$7*(A1182*L$71+B1182*M$71+C1182*N$71+D1182*O$71)+F1182/100*$B$7*Q$71-$C$71</f>
        <v/>
      </c>
      <c r="J1182" s="13">
        <f>$B$7*(A1182*S$71+B1182*T$71+C1182*U$71+D1182*V$71)+F1182/100*$B$7*X$71-$C$71</f>
        <v/>
      </c>
      <c r="K1182" s="13">
        <f>$B$7*(A1182*Z$71+B1182*AA$71+C1182*AB$71+D1182*AC$71)+F1182/100*$B$7*AE$71-$C$71</f>
        <v/>
      </c>
      <c r="L1182" s="13">
        <f>$B$7*(A1182*AG$71+B1182*AH$71+C1182*AI$71+D1182*AJ$71)+F1182/100*$B$7*AL$71-$C$71</f>
        <v/>
      </c>
      <c r="M1182" s="13">
        <f>$B$7*(A1182*AN$71+B1182*AO$71+C1182*AP$71+D1182*AQ$71)+F1182/100*$B$7*AS$71-$C$71</f>
        <v/>
      </c>
      <c r="N1182" s="13">
        <f>SUMPRODUCT($H$24:$M$24,H1182:M1182)</f>
        <v/>
      </c>
      <c r="O1182" s="14">
        <f>SQRT(SUMPRODUCT($H$24:$M$24,(H1182:M1182-N1182)^2))</f>
        <v/>
      </c>
      <c r="P1182" s="13">
        <f>MIN(H1182:M1182)</f>
        <v/>
      </c>
      <c r="Q1182" s="13">
        <f>MAX(H1182:M1182)</f>
        <v/>
      </c>
      <c r="R1182" s="27">
        <f>IF(G1182,SUMPRODUCT(($G$76:$G$1505)*($N$76:$N$1505&gt;=N1182)*($O$76:$O$1505&lt;=O1182))=1,FALSE)</f>
        <v/>
      </c>
      <c r="S1182" s="16">
        <f>IF(R1182,ABS((O1182-$AC$76)/MAX(0.0001,$AC$77-$AC$76)-(N1182-$AC$78)/MAX(0.0001,$AC$79-$AC$78)),-1)</f>
        <v/>
      </c>
      <c r="T1182" s="14">
        <f>IF(G1182,O1182,NA())</f>
        <v/>
      </c>
      <c r="U1182" s="13">
        <f>IF(G1182,N1182,NA())</f>
        <v/>
      </c>
      <c r="V1182" s="14">
        <f>IF(R1182,O1182,NA())</f>
        <v/>
      </c>
      <c r="W1182" s="13">
        <f>IF(R1182,N1182,NA())</f>
        <v/>
      </c>
      <c r="X1182" s="27">
        <f>IF(G1182,P1182,"")</f>
        <v/>
      </c>
      <c r="Y1182" s="27">
        <f>IF(G1182,N1182,"")</f>
        <v/>
      </c>
      <c r="Z1182" s="27">
        <f>IF(R1182,O1182,"")</f>
        <v/>
      </c>
      <c r="AA1182" s="27">
        <f>IF(R1182,N1182,"")</f>
        <v/>
      </c>
    </row>
    <row r="1183">
      <c r="A1183" s="31" t="n">
        <v>0.4</v>
      </c>
      <c r="B1183" s="31" t="n">
        <v>0.3</v>
      </c>
      <c r="C1183" s="31" t="n">
        <v>0.1</v>
      </c>
      <c r="D1183" s="31" t="n">
        <v>0.2</v>
      </c>
      <c r="E1183" s="27" t="inlineStr">
        <is>
          <t>ON 40%/1M 30%/2M 10%/3M 20%</t>
        </is>
      </c>
      <c r="F1183" s="27" t="n">
        <v>50</v>
      </c>
      <c r="G1183" s="27">
        <f>A1183*$B$7&gt;=$B$9</f>
        <v/>
      </c>
      <c r="H1183" s="13">
        <f>$B$7*(A1183*E$71+B1183*F$71+C1183*G$71+D1183*H$71)+F1183/100*$B$7*J$71-$C$71</f>
        <v/>
      </c>
      <c r="I1183" s="13">
        <f>$B$7*(A1183*L$71+B1183*M$71+C1183*N$71+D1183*O$71)+F1183/100*$B$7*Q$71-$C$71</f>
        <v/>
      </c>
      <c r="J1183" s="13">
        <f>$B$7*(A1183*S$71+B1183*T$71+C1183*U$71+D1183*V$71)+F1183/100*$B$7*X$71-$C$71</f>
        <v/>
      </c>
      <c r="K1183" s="13">
        <f>$B$7*(A1183*Z$71+B1183*AA$71+C1183*AB$71+D1183*AC$71)+F1183/100*$B$7*AE$71-$C$71</f>
        <v/>
      </c>
      <c r="L1183" s="13">
        <f>$B$7*(A1183*AG$71+B1183*AH$71+C1183*AI$71+D1183*AJ$71)+F1183/100*$B$7*AL$71-$C$71</f>
        <v/>
      </c>
      <c r="M1183" s="13">
        <f>$B$7*(A1183*AN$71+B1183*AO$71+C1183*AP$71+D1183*AQ$71)+F1183/100*$B$7*AS$71-$C$71</f>
        <v/>
      </c>
      <c r="N1183" s="13">
        <f>SUMPRODUCT($H$24:$M$24,H1183:M1183)</f>
        <v/>
      </c>
      <c r="O1183" s="14">
        <f>SQRT(SUMPRODUCT($H$24:$M$24,(H1183:M1183-N1183)^2))</f>
        <v/>
      </c>
      <c r="P1183" s="13">
        <f>MIN(H1183:M1183)</f>
        <v/>
      </c>
      <c r="Q1183" s="13">
        <f>MAX(H1183:M1183)</f>
        <v/>
      </c>
      <c r="R1183" s="27">
        <f>IF(G1183,SUMPRODUCT(($G$76:$G$1505)*($N$76:$N$1505&gt;=N1183)*($O$76:$O$1505&lt;=O1183))=1,FALSE)</f>
        <v/>
      </c>
      <c r="S1183" s="16">
        <f>IF(R1183,ABS((O1183-$AC$76)/MAX(0.0001,$AC$77-$AC$76)-(N1183-$AC$78)/MAX(0.0001,$AC$79-$AC$78)),-1)</f>
        <v/>
      </c>
      <c r="T1183" s="14">
        <f>IF(G1183,O1183,NA())</f>
        <v/>
      </c>
      <c r="U1183" s="13">
        <f>IF(G1183,N1183,NA())</f>
        <v/>
      </c>
      <c r="V1183" s="14">
        <f>IF(R1183,O1183,NA())</f>
        <v/>
      </c>
      <c r="W1183" s="13">
        <f>IF(R1183,N1183,NA())</f>
        <v/>
      </c>
      <c r="X1183" s="27">
        <f>IF(G1183,P1183,"")</f>
        <v/>
      </c>
      <c r="Y1183" s="27">
        <f>IF(G1183,N1183,"")</f>
        <v/>
      </c>
      <c r="Z1183" s="27">
        <f>IF(R1183,O1183,"")</f>
        <v/>
      </c>
      <c r="AA1183" s="27">
        <f>IF(R1183,N1183,"")</f>
        <v/>
      </c>
    </row>
    <row r="1184">
      <c r="A1184" s="31" t="n">
        <v>0.4</v>
      </c>
      <c r="B1184" s="31" t="n">
        <v>0.3</v>
      </c>
      <c r="C1184" s="31" t="n">
        <v>0.1</v>
      </c>
      <c r="D1184" s="31" t="n">
        <v>0.2</v>
      </c>
      <c r="E1184" s="27" t="inlineStr">
        <is>
          <t>ON 40%/1M 30%/2M 10%/3M 20%</t>
        </is>
      </c>
      <c r="F1184" s="27" t="n">
        <v>75</v>
      </c>
      <c r="G1184" s="27">
        <f>A1184*$B$7&gt;=$B$9</f>
        <v/>
      </c>
      <c r="H1184" s="13">
        <f>$B$7*(A1184*E$71+B1184*F$71+C1184*G$71+D1184*H$71)+F1184/100*$B$7*J$71-$C$71</f>
        <v/>
      </c>
      <c r="I1184" s="13">
        <f>$B$7*(A1184*L$71+B1184*M$71+C1184*N$71+D1184*O$71)+F1184/100*$B$7*Q$71-$C$71</f>
        <v/>
      </c>
      <c r="J1184" s="13">
        <f>$B$7*(A1184*S$71+B1184*T$71+C1184*U$71+D1184*V$71)+F1184/100*$B$7*X$71-$C$71</f>
        <v/>
      </c>
      <c r="K1184" s="13">
        <f>$B$7*(A1184*Z$71+B1184*AA$71+C1184*AB$71+D1184*AC$71)+F1184/100*$B$7*AE$71-$C$71</f>
        <v/>
      </c>
      <c r="L1184" s="13">
        <f>$B$7*(A1184*AG$71+B1184*AH$71+C1184*AI$71+D1184*AJ$71)+F1184/100*$B$7*AL$71-$C$71</f>
        <v/>
      </c>
      <c r="M1184" s="13">
        <f>$B$7*(A1184*AN$71+B1184*AO$71+C1184*AP$71+D1184*AQ$71)+F1184/100*$B$7*AS$71-$C$71</f>
        <v/>
      </c>
      <c r="N1184" s="13">
        <f>SUMPRODUCT($H$24:$M$24,H1184:M1184)</f>
        <v/>
      </c>
      <c r="O1184" s="14">
        <f>SQRT(SUMPRODUCT($H$24:$M$24,(H1184:M1184-N1184)^2))</f>
        <v/>
      </c>
      <c r="P1184" s="13">
        <f>MIN(H1184:M1184)</f>
        <v/>
      </c>
      <c r="Q1184" s="13">
        <f>MAX(H1184:M1184)</f>
        <v/>
      </c>
      <c r="R1184" s="27">
        <f>IF(G1184,SUMPRODUCT(($G$76:$G$1505)*($N$76:$N$1505&gt;=N1184)*($O$76:$O$1505&lt;=O1184))=1,FALSE)</f>
        <v/>
      </c>
      <c r="S1184" s="16">
        <f>IF(R1184,ABS((O1184-$AC$76)/MAX(0.0001,$AC$77-$AC$76)-(N1184-$AC$78)/MAX(0.0001,$AC$79-$AC$78)),-1)</f>
        <v/>
      </c>
      <c r="T1184" s="14">
        <f>IF(G1184,O1184,NA())</f>
        <v/>
      </c>
      <c r="U1184" s="13">
        <f>IF(G1184,N1184,NA())</f>
        <v/>
      </c>
      <c r="V1184" s="14">
        <f>IF(R1184,O1184,NA())</f>
        <v/>
      </c>
      <c r="W1184" s="13">
        <f>IF(R1184,N1184,NA())</f>
        <v/>
      </c>
      <c r="X1184" s="27">
        <f>IF(G1184,P1184,"")</f>
        <v/>
      </c>
      <c r="Y1184" s="27">
        <f>IF(G1184,N1184,"")</f>
        <v/>
      </c>
      <c r="Z1184" s="27">
        <f>IF(R1184,O1184,"")</f>
        <v/>
      </c>
      <c r="AA1184" s="27">
        <f>IF(R1184,N1184,"")</f>
        <v/>
      </c>
    </row>
    <row r="1185">
      <c r="A1185" s="31" t="n">
        <v>0.4</v>
      </c>
      <c r="B1185" s="31" t="n">
        <v>0.3</v>
      </c>
      <c r="C1185" s="31" t="n">
        <v>0.1</v>
      </c>
      <c r="D1185" s="31" t="n">
        <v>0.2</v>
      </c>
      <c r="E1185" s="27" t="inlineStr">
        <is>
          <t>ON 40%/1M 30%/2M 10%/3M 20%</t>
        </is>
      </c>
      <c r="F1185" s="27" t="n">
        <v>100</v>
      </c>
      <c r="G1185" s="27">
        <f>A1185*$B$7&gt;=$B$9</f>
        <v/>
      </c>
      <c r="H1185" s="13">
        <f>$B$7*(A1185*E$71+B1185*F$71+C1185*G$71+D1185*H$71)+F1185/100*$B$7*J$71-$C$71</f>
        <v/>
      </c>
      <c r="I1185" s="13">
        <f>$B$7*(A1185*L$71+B1185*M$71+C1185*N$71+D1185*O$71)+F1185/100*$B$7*Q$71-$C$71</f>
        <v/>
      </c>
      <c r="J1185" s="13">
        <f>$B$7*(A1185*S$71+B1185*T$71+C1185*U$71+D1185*V$71)+F1185/100*$B$7*X$71-$C$71</f>
        <v/>
      </c>
      <c r="K1185" s="13">
        <f>$B$7*(A1185*Z$71+B1185*AA$71+C1185*AB$71+D1185*AC$71)+F1185/100*$B$7*AE$71-$C$71</f>
        <v/>
      </c>
      <c r="L1185" s="13">
        <f>$B$7*(A1185*AG$71+B1185*AH$71+C1185*AI$71+D1185*AJ$71)+F1185/100*$B$7*AL$71-$C$71</f>
        <v/>
      </c>
      <c r="M1185" s="13">
        <f>$B$7*(A1185*AN$71+B1185*AO$71+C1185*AP$71+D1185*AQ$71)+F1185/100*$B$7*AS$71-$C$71</f>
        <v/>
      </c>
      <c r="N1185" s="13">
        <f>SUMPRODUCT($H$24:$M$24,H1185:M1185)</f>
        <v/>
      </c>
      <c r="O1185" s="14">
        <f>SQRT(SUMPRODUCT($H$24:$M$24,(H1185:M1185-N1185)^2))</f>
        <v/>
      </c>
      <c r="P1185" s="13">
        <f>MIN(H1185:M1185)</f>
        <v/>
      </c>
      <c r="Q1185" s="13">
        <f>MAX(H1185:M1185)</f>
        <v/>
      </c>
      <c r="R1185" s="27">
        <f>IF(G1185,SUMPRODUCT(($G$76:$G$1505)*($N$76:$N$1505&gt;=N1185)*($O$76:$O$1505&lt;=O1185))=1,FALSE)</f>
        <v/>
      </c>
      <c r="S1185" s="16">
        <f>IF(R1185,ABS((O1185-$AC$76)/MAX(0.0001,$AC$77-$AC$76)-(N1185-$AC$78)/MAX(0.0001,$AC$79-$AC$78)),-1)</f>
        <v/>
      </c>
      <c r="T1185" s="14">
        <f>IF(G1185,O1185,NA())</f>
        <v/>
      </c>
      <c r="U1185" s="13">
        <f>IF(G1185,N1185,NA())</f>
        <v/>
      </c>
      <c r="V1185" s="14">
        <f>IF(R1185,O1185,NA())</f>
        <v/>
      </c>
      <c r="W1185" s="13">
        <f>IF(R1185,N1185,NA())</f>
        <v/>
      </c>
      <c r="X1185" s="27">
        <f>IF(G1185,P1185,"")</f>
        <v/>
      </c>
      <c r="Y1185" s="27">
        <f>IF(G1185,N1185,"")</f>
        <v/>
      </c>
      <c r="Z1185" s="27">
        <f>IF(R1185,O1185,"")</f>
        <v/>
      </c>
      <c r="AA1185" s="27">
        <f>IF(R1185,N1185,"")</f>
        <v/>
      </c>
    </row>
    <row r="1186">
      <c r="A1186" s="31" t="n">
        <v>0.4</v>
      </c>
      <c r="B1186" s="31" t="n">
        <v>0.3</v>
      </c>
      <c r="C1186" s="31" t="n">
        <v>0.2</v>
      </c>
      <c r="D1186" s="31" t="n">
        <v>0.1</v>
      </c>
      <c r="E1186" s="27" t="inlineStr">
        <is>
          <t>ON 40%/1M 30%/2M 20%/3M 10%</t>
        </is>
      </c>
      <c r="F1186" s="27" t="n">
        <v>0</v>
      </c>
      <c r="G1186" s="27">
        <f>A1186*$B$7&gt;=$B$9</f>
        <v/>
      </c>
      <c r="H1186" s="13">
        <f>$B$7*(A1186*E$71+B1186*F$71+C1186*G$71+D1186*H$71)+F1186/100*$B$7*J$71-$C$71</f>
        <v/>
      </c>
      <c r="I1186" s="13">
        <f>$B$7*(A1186*L$71+B1186*M$71+C1186*N$71+D1186*O$71)+F1186/100*$B$7*Q$71-$C$71</f>
        <v/>
      </c>
      <c r="J1186" s="13">
        <f>$B$7*(A1186*S$71+B1186*T$71+C1186*U$71+D1186*V$71)+F1186/100*$B$7*X$71-$C$71</f>
        <v/>
      </c>
      <c r="K1186" s="13">
        <f>$B$7*(A1186*Z$71+B1186*AA$71+C1186*AB$71+D1186*AC$71)+F1186/100*$B$7*AE$71-$C$71</f>
        <v/>
      </c>
      <c r="L1186" s="13">
        <f>$B$7*(A1186*AG$71+B1186*AH$71+C1186*AI$71+D1186*AJ$71)+F1186/100*$B$7*AL$71-$C$71</f>
        <v/>
      </c>
      <c r="M1186" s="13">
        <f>$B$7*(A1186*AN$71+B1186*AO$71+C1186*AP$71+D1186*AQ$71)+F1186/100*$B$7*AS$71-$C$71</f>
        <v/>
      </c>
      <c r="N1186" s="13">
        <f>SUMPRODUCT($H$24:$M$24,H1186:M1186)</f>
        <v/>
      </c>
      <c r="O1186" s="14">
        <f>SQRT(SUMPRODUCT($H$24:$M$24,(H1186:M1186-N1186)^2))</f>
        <v/>
      </c>
      <c r="P1186" s="13">
        <f>MIN(H1186:M1186)</f>
        <v/>
      </c>
      <c r="Q1186" s="13">
        <f>MAX(H1186:M1186)</f>
        <v/>
      </c>
      <c r="R1186" s="27">
        <f>IF(G1186,SUMPRODUCT(($G$76:$G$1505)*($N$76:$N$1505&gt;=N1186)*($O$76:$O$1505&lt;=O1186))=1,FALSE)</f>
        <v/>
      </c>
      <c r="S1186" s="16">
        <f>IF(R1186,ABS((O1186-$AC$76)/MAX(0.0001,$AC$77-$AC$76)-(N1186-$AC$78)/MAX(0.0001,$AC$79-$AC$78)),-1)</f>
        <v/>
      </c>
      <c r="T1186" s="14">
        <f>IF(G1186,O1186,NA())</f>
        <v/>
      </c>
      <c r="U1186" s="13">
        <f>IF(G1186,N1186,NA())</f>
        <v/>
      </c>
      <c r="V1186" s="14">
        <f>IF(R1186,O1186,NA())</f>
        <v/>
      </c>
      <c r="W1186" s="13">
        <f>IF(R1186,N1186,NA())</f>
        <v/>
      </c>
      <c r="X1186" s="27">
        <f>IF(G1186,P1186,"")</f>
        <v/>
      </c>
      <c r="Y1186" s="27">
        <f>IF(G1186,N1186,"")</f>
        <v/>
      </c>
      <c r="Z1186" s="27">
        <f>IF(R1186,O1186,"")</f>
        <v/>
      </c>
      <c r="AA1186" s="27">
        <f>IF(R1186,N1186,"")</f>
        <v/>
      </c>
    </row>
    <row r="1187">
      <c r="A1187" s="31" t="n">
        <v>0.4</v>
      </c>
      <c r="B1187" s="31" t="n">
        <v>0.3</v>
      </c>
      <c r="C1187" s="31" t="n">
        <v>0.2</v>
      </c>
      <c r="D1187" s="31" t="n">
        <v>0.1</v>
      </c>
      <c r="E1187" s="27" t="inlineStr">
        <is>
          <t>ON 40%/1M 30%/2M 20%/3M 10%</t>
        </is>
      </c>
      <c r="F1187" s="27" t="n">
        <v>25</v>
      </c>
      <c r="G1187" s="27">
        <f>A1187*$B$7&gt;=$B$9</f>
        <v/>
      </c>
      <c r="H1187" s="13">
        <f>$B$7*(A1187*E$71+B1187*F$71+C1187*G$71+D1187*H$71)+F1187/100*$B$7*J$71-$C$71</f>
        <v/>
      </c>
      <c r="I1187" s="13">
        <f>$B$7*(A1187*L$71+B1187*M$71+C1187*N$71+D1187*O$71)+F1187/100*$B$7*Q$71-$C$71</f>
        <v/>
      </c>
      <c r="J1187" s="13">
        <f>$B$7*(A1187*S$71+B1187*T$71+C1187*U$71+D1187*V$71)+F1187/100*$B$7*X$71-$C$71</f>
        <v/>
      </c>
      <c r="K1187" s="13">
        <f>$B$7*(A1187*Z$71+B1187*AA$71+C1187*AB$71+D1187*AC$71)+F1187/100*$B$7*AE$71-$C$71</f>
        <v/>
      </c>
      <c r="L1187" s="13">
        <f>$B$7*(A1187*AG$71+B1187*AH$71+C1187*AI$71+D1187*AJ$71)+F1187/100*$B$7*AL$71-$C$71</f>
        <v/>
      </c>
      <c r="M1187" s="13">
        <f>$B$7*(A1187*AN$71+B1187*AO$71+C1187*AP$71+D1187*AQ$71)+F1187/100*$B$7*AS$71-$C$71</f>
        <v/>
      </c>
      <c r="N1187" s="13">
        <f>SUMPRODUCT($H$24:$M$24,H1187:M1187)</f>
        <v/>
      </c>
      <c r="O1187" s="14">
        <f>SQRT(SUMPRODUCT($H$24:$M$24,(H1187:M1187-N1187)^2))</f>
        <v/>
      </c>
      <c r="P1187" s="13">
        <f>MIN(H1187:M1187)</f>
        <v/>
      </c>
      <c r="Q1187" s="13">
        <f>MAX(H1187:M1187)</f>
        <v/>
      </c>
      <c r="R1187" s="27">
        <f>IF(G1187,SUMPRODUCT(($G$76:$G$1505)*($N$76:$N$1505&gt;=N1187)*($O$76:$O$1505&lt;=O1187))=1,FALSE)</f>
        <v/>
      </c>
      <c r="S1187" s="16">
        <f>IF(R1187,ABS((O1187-$AC$76)/MAX(0.0001,$AC$77-$AC$76)-(N1187-$AC$78)/MAX(0.0001,$AC$79-$AC$78)),-1)</f>
        <v/>
      </c>
      <c r="T1187" s="14">
        <f>IF(G1187,O1187,NA())</f>
        <v/>
      </c>
      <c r="U1187" s="13">
        <f>IF(G1187,N1187,NA())</f>
        <v/>
      </c>
      <c r="V1187" s="14">
        <f>IF(R1187,O1187,NA())</f>
        <v/>
      </c>
      <c r="W1187" s="13">
        <f>IF(R1187,N1187,NA())</f>
        <v/>
      </c>
      <c r="X1187" s="27">
        <f>IF(G1187,P1187,"")</f>
        <v/>
      </c>
      <c r="Y1187" s="27">
        <f>IF(G1187,N1187,"")</f>
        <v/>
      </c>
      <c r="Z1187" s="27">
        <f>IF(R1187,O1187,"")</f>
        <v/>
      </c>
      <c r="AA1187" s="27">
        <f>IF(R1187,N1187,"")</f>
        <v/>
      </c>
    </row>
    <row r="1188">
      <c r="A1188" s="31" t="n">
        <v>0.4</v>
      </c>
      <c r="B1188" s="31" t="n">
        <v>0.3</v>
      </c>
      <c r="C1188" s="31" t="n">
        <v>0.2</v>
      </c>
      <c r="D1188" s="31" t="n">
        <v>0.1</v>
      </c>
      <c r="E1188" s="27" t="inlineStr">
        <is>
          <t>ON 40%/1M 30%/2M 20%/3M 10%</t>
        </is>
      </c>
      <c r="F1188" s="27" t="n">
        <v>50</v>
      </c>
      <c r="G1188" s="27">
        <f>A1188*$B$7&gt;=$B$9</f>
        <v/>
      </c>
      <c r="H1188" s="13">
        <f>$B$7*(A1188*E$71+B1188*F$71+C1188*G$71+D1188*H$71)+F1188/100*$B$7*J$71-$C$71</f>
        <v/>
      </c>
      <c r="I1188" s="13">
        <f>$B$7*(A1188*L$71+B1188*M$71+C1188*N$71+D1188*O$71)+F1188/100*$B$7*Q$71-$C$71</f>
        <v/>
      </c>
      <c r="J1188" s="13">
        <f>$B$7*(A1188*S$71+B1188*T$71+C1188*U$71+D1188*V$71)+F1188/100*$B$7*X$71-$C$71</f>
        <v/>
      </c>
      <c r="K1188" s="13">
        <f>$B$7*(A1188*Z$71+B1188*AA$71+C1188*AB$71+D1188*AC$71)+F1188/100*$B$7*AE$71-$C$71</f>
        <v/>
      </c>
      <c r="L1188" s="13">
        <f>$B$7*(A1188*AG$71+B1188*AH$71+C1188*AI$71+D1188*AJ$71)+F1188/100*$B$7*AL$71-$C$71</f>
        <v/>
      </c>
      <c r="M1188" s="13">
        <f>$B$7*(A1188*AN$71+B1188*AO$71+C1188*AP$71+D1188*AQ$71)+F1188/100*$B$7*AS$71-$C$71</f>
        <v/>
      </c>
      <c r="N1188" s="13">
        <f>SUMPRODUCT($H$24:$M$24,H1188:M1188)</f>
        <v/>
      </c>
      <c r="O1188" s="14">
        <f>SQRT(SUMPRODUCT($H$24:$M$24,(H1188:M1188-N1188)^2))</f>
        <v/>
      </c>
      <c r="P1188" s="13">
        <f>MIN(H1188:M1188)</f>
        <v/>
      </c>
      <c r="Q1188" s="13">
        <f>MAX(H1188:M1188)</f>
        <v/>
      </c>
      <c r="R1188" s="27">
        <f>IF(G1188,SUMPRODUCT(($G$76:$G$1505)*($N$76:$N$1505&gt;=N1188)*($O$76:$O$1505&lt;=O1188))=1,FALSE)</f>
        <v/>
      </c>
      <c r="S1188" s="16">
        <f>IF(R1188,ABS((O1188-$AC$76)/MAX(0.0001,$AC$77-$AC$76)-(N1188-$AC$78)/MAX(0.0001,$AC$79-$AC$78)),-1)</f>
        <v/>
      </c>
      <c r="T1188" s="14">
        <f>IF(G1188,O1188,NA())</f>
        <v/>
      </c>
      <c r="U1188" s="13">
        <f>IF(G1188,N1188,NA())</f>
        <v/>
      </c>
      <c r="V1188" s="14">
        <f>IF(R1188,O1188,NA())</f>
        <v/>
      </c>
      <c r="W1188" s="13">
        <f>IF(R1188,N1188,NA())</f>
        <v/>
      </c>
      <c r="X1188" s="27">
        <f>IF(G1188,P1188,"")</f>
        <v/>
      </c>
      <c r="Y1188" s="27">
        <f>IF(G1188,N1188,"")</f>
        <v/>
      </c>
      <c r="Z1188" s="27">
        <f>IF(R1188,O1188,"")</f>
        <v/>
      </c>
      <c r="AA1188" s="27">
        <f>IF(R1188,N1188,"")</f>
        <v/>
      </c>
    </row>
    <row r="1189">
      <c r="A1189" s="31" t="n">
        <v>0.4</v>
      </c>
      <c r="B1189" s="31" t="n">
        <v>0.3</v>
      </c>
      <c r="C1189" s="31" t="n">
        <v>0.2</v>
      </c>
      <c r="D1189" s="31" t="n">
        <v>0.1</v>
      </c>
      <c r="E1189" s="27" t="inlineStr">
        <is>
          <t>ON 40%/1M 30%/2M 20%/3M 10%</t>
        </is>
      </c>
      <c r="F1189" s="27" t="n">
        <v>75</v>
      </c>
      <c r="G1189" s="27">
        <f>A1189*$B$7&gt;=$B$9</f>
        <v/>
      </c>
      <c r="H1189" s="13">
        <f>$B$7*(A1189*E$71+B1189*F$71+C1189*G$71+D1189*H$71)+F1189/100*$B$7*J$71-$C$71</f>
        <v/>
      </c>
      <c r="I1189" s="13">
        <f>$B$7*(A1189*L$71+B1189*M$71+C1189*N$71+D1189*O$71)+F1189/100*$B$7*Q$71-$C$71</f>
        <v/>
      </c>
      <c r="J1189" s="13">
        <f>$B$7*(A1189*S$71+B1189*T$71+C1189*U$71+D1189*V$71)+F1189/100*$B$7*X$71-$C$71</f>
        <v/>
      </c>
      <c r="K1189" s="13">
        <f>$B$7*(A1189*Z$71+B1189*AA$71+C1189*AB$71+D1189*AC$71)+F1189/100*$B$7*AE$71-$C$71</f>
        <v/>
      </c>
      <c r="L1189" s="13">
        <f>$B$7*(A1189*AG$71+B1189*AH$71+C1189*AI$71+D1189*AJ$71)+F1189/100*$B$7*AL$71-$C$71</f>
        <v/>
      </c>
      <c r="M1189" s="13">
        <f>$B$7*(A1189*AN$71+B1189*AO$71+C1189*AP$71+D1189*AQ$71)+F1189/100*$B$7*AS$71-$C$71</f>
        <v/>
      </c>
      <c r="N1189" s="13">
        <f>SUMPRODUCT($H$24:$M$24,H1189:M1189)</f>
        <v/>
      </c>
      <c r="O1189" s="14">
        <f>SQRT(SUMPRODUCT($H$24:$M$24,(H1189:M1189-N1189)^2))</f>
        <v/>
      </c>
      <c r="P1189" s="13">
        <f>MIN(H1189:M1189)</f>
        <v/>
      </c>
      <c r="Q1189" s="13">
        <f>MAX(H1189:M1189)</f>
        <v/>
      </c>
      <c r="R1189" s="27">
        <f>IF(G1189,SUMPRODUCT(($G$76:$G$1505)*($N$76:$N$1505&gt;=N1189)*($O$76:$O$1505&lt;=O1189))=1,FALSE)</f>
        <v/>
      </c>
      <c r="S1189" s="16">
        <f>IF(R1189,ABS((O1189-$AC$76)/MAX(0.0001,$AC$77-$AC$76)-(N1189-$AC$78)/MAX(0.0001,$AC$79-$AC$78)),-1)</f>
        <v/>
      </c>
      <c r="T1189" s="14">
        <f>IF(G1189,O1189,NA())</f>
        <v/>
      </c>
      <c r="U1189" s="13">
        <f>IF(G1189,N1189,NA())</f>
        <v/>
      </c>
      <c r="V1189" s="14">
        <f>IF(R1189,O1189,NA())</f>
        <v/>
      </c>
      <c r="W1189" s="13">
        <f>IF(R1189,N1189,NA())</f>
        <v/>
      </c>
      <c r="X1189" s="27">
        <f>IF(G1189,P1189,"")</f>
        <v/>
      </c>
      <c r="Y1189" s="27">
        <f>IF(G1189,N1189,"")</f>
        <v/>
      </c>
      <c r="Z1189" s="27">
        <f>IF(R1189,O1189,"")</f>
        <v/>
      </c>
      <c r="AA1189" s="27">
        <f>IF(R1189,N1189,"")</f>
        <v/>
      </c>
    </row>
    <row r="1190">
      <c r="A1190" s="31" t="n">
        <v>0.4</v>
      </c>
      <c r="B1190" s="31" t="n">
        <v>0.3</v>
      </c>
      <c r="C1190" s="31" t="n">
        <v>0.2</v>
      </c>
      <c r="D1190" s="31" t="n">
        <v>0.1</v>
      </c>
      <c r="E1190" s="27" t="inlineStr">
        <is>
          <t>ON 40%/1M 30%/2M 20%/3M 10%</t>
        </is>
      </c>
      <c r="F1190" s="27" t="n">
        <v>100</v>
      </c>
      <c r="G1190" s="27">
        <f>A1190*$B$7&gt;=$B$9</f>
        <v/>
      </c>
      <c r="H1190" s="13">
        <f>$B$7*(A1190*E$71+B1190*F$71+C1190*G$71+D1190*H$71)+F1190/100*$B$7*J$71-$C$71</f>
        <v/>
      </c>
      <c r="I1190" s="13">
        <f>$B$7*(A1190*L$71+B1190*M$71+C1190*N$71+D1190*O$71)+F1190/100*$B$7*Q$71-$C$71</f>
        <v/>
      </c>
      <c r="J1190" s="13">
        <f>$B$7*(A1190*S$71+B1190*T$71+C1190*U$71+D1190*V$71)+F1190/100*$B$7*X$71-$C$71</f>
        <v/>
      </c>
      <c r="K1190" s="13">
        <f>$B$7*(A1190*Z$71+B1190*AA$71+C1190*AB$71+D1190*AC$71)+F1190/100*$B$7*AE$71-$C$71</f>
        <v/>
      </c>
      <c r="L1190" s="13">
        <f>$B$7*(A1190*AG$71+B1190*AH$71+C1190*AI$71+D1190*AJ$71)+F1190/100*$B$7*AL$71-$C$71</f>
        <v/>
      </c>
      <c r="M1190" s="13">
        <f>$B$7*(A1190*AN$71+B1190*AO$71+C1190*AP$71+D1190*AQ$71)+F1190/100*$B$7*AS$71-$C$71</f>
        <v/>
      </c>
      <c r="N1190" s="13">
        <f>SUMPRODUCT($H$24:$M$24,H1190:M1190)</f>
        <v/>
      </c>
      <c r="O1190" s="14">
        <f>SQRT(SUMPRODUCT($H$24:$M$24,(H1190:M1190-N1190)^2))</f>
        <v/>
      </c>
      <c r="P1190" s="13">
        <f>MIN(H1190:M1190)</f>
        <v/>
      </c>
      <c r="Q1190" s="13">
        <f>MAX(H1190:M1190)</f>
        <v/>
      </c>
      <c r="R1190" s="27">
        <f>IF(G1190,SUMPRODUCT(($G$76:$G$1505)*($N$76:$N$1505&gt;=N1190)*($O$76:$O$1505&lt;=O1190))=1,FALSE)</f>
        <v/>
      </c>
      <c r="S1190" s="16">
        <f>IF(R1190,ABS((O1190-$AC$76)/MAX(0.0001,$AC$77-$AC$76)-(N1190-$AC$78)/MAX(0.0001,$AC$79-$AC$78)),-1)</f>
        <v/>
      </c>
      <c r="T1190" s="14">
        <f>IF(G1190,O1190,NA())</f>
        <v/>
      </c>
      <c r="U1190" s="13">
        <f>IF(G1190,N1190,NA())</f>
        <v/>
      </c>
      <c r="V1190" s="14">
        <f>IF(R1190,O1190,NA())</f>
        <v/>
      </c>
      <c r="W1190" s="13">
        <f>IF(R1190,N1190,NA())</f>
        <v/>
      </c>
      <c r="X1190" s="27">
        <f>IF(G1190,P1190,"")</f>
        <v/>
      </c>
      <c r="Y1190" s="27">
        <f>IF(G1190,N1190,"")</f>
        <v/>
      </c>
      <c r="Z1190" s="27">
        <f>IF(R1190,O1190,"")</f>
        <v/>
      </c>
      <c r="AA1190" s="27">
        <f>IF(R1190,N1190,"")</f>
        <v/>
      </c>
    </row>
    <row r="1191">
      <c r="A1191" s="31" t="n">
        <v>0.4</v>
      </c>
      <c r="B1191" s="31" t="n">
        <v>0.3</v>
      </c>
      <c r="C1191" s="31" t="n">
        <v>0.3</v>
      </c>
      <c r="D1191" s="31" t="n">
        <v>0</v>
      </c>
      <c r="E1191" s="27" t="inlineStr">
        <is>
          <t>ON 40%/1M 30%/2M 30%</t>
        </is>
      </c>
      <c r="F1191" s="27" t="n">
        <v>0</v>
      </c>
      <c r="G1191" s="27">
        <f>A1191*$B$7&gt;=$B$9</f>
        <v/>
      </c>
      <c r="H1191" s="13">
        <f>$B$7*(A1191*E$71+B1191*F$71+C1191*G$71+D1191*H$71)+F1191/100*$B$7*J$71-$C$71</f>
        <v/>
      </c>
      <c r="I1191" s="13">
        <f>$B$7*(A1191*L$71+B1191*M$71+C1191*N$71+D1191*O$71)+F1191/100*$B$7*Q$71-$C$71</f>
        <v/>
      </c>
      <c r="J1191" s="13">
        <f>$B$7*(A1191*S$71+B1191*T$71+C1191*U$71+D1191*V$71)+F1191/100*$B$7*X$71-$C$71</f>
        <v/>
      </c>
      <c r="K1191" s="13">
        <f>$B$7*(A1191*Z$71+B1191*AA$71+C1191*AB$71+D1191*AC$71)+F1191/100*$B$7*AE$71-$C$71</f>
        <v/>
      </c>
      <c r="L1191" s="13">
        <f>$B$7*(A1191*AG$71+B1191*AH$71+C1191*AI$71+D1191*AJ$71)+F1191/100*$B$7*AL$71-$C$71</f>
        <v/>
      </c>
      <c r="M1191" s="13">
        <f>$B$7*(A1191*AN$71+B1191*AO$71+C1191*AP$71+D1191*AQ$71)+F1191/100*$B$7*AS$71-$C$71</f>
        <v/>
      </c>
      <c r="N1191" s="13">
        <f>SUMPRODUCT($H$24:$M$24,H1191:M1191)</f>
        <v/>
      </c>
      <c r="O1191" s="14">
        <f>SQRT(SUMPRODUCT($H$24:$M$24,(H1191:M1191-N1191)^2))</f>
        <v/>
      </c>
      <c r="P1191" s="13">
        <f>MIN(H1191:M1191)</f>
        <v/>
      </c>
      <c r="Q1191" s="13">
        <f>MAX(H1191:M1191)</f>
        <v/>
      </c>
      <c r="R1191" s="27">
        <f>IF(G1191,SUMPRODUCT(($G$76:$G$1505)*($N$76:$N$1505&gt;=N1191)*($O$76:$O$1505&lt;=O1191))=1,FALSE)</f>
        <v/>
      </c>
      <c r="S1191" s="16">
        <f>IF(R1191,ABS((O1191-$AC$76)/MAX(0.0001,$AC$77-$AC$76)-(N1191-$AC$78)/MAX(0.0001,$AC$79-$AC$78)),-1)</f>
        <v/>
      </c>
      <c r="T1191" s="14">
        <f>IF(G1191,O1191,NA())</f>
        <v/>
      </c>
      <c r="U1191" s="13">
        <f>IF(G1191,N1191,NA())</f>
        <v/>
      </c>
      <c r="V1191" s="14">
        <f>IF(R1191,O1191,NA())</f>
        <v/>
      </c>
      <c r="W1191" s="13">
        <f>IF(R1191,N1191,NA())</f>
        <v/>
      </c>
      <c r="X1191" s="27">
        <f>IF(G1191,P1191,"")</f>
        <v/>
      </c>
      <c r="Y1191" s="27">
        <f>IF(G1191,N1191,"")</f>
        <v/>
      </c>
      <c r="Z1191" s="27">
        <f>IF(R1191,O1191,"")</f>
        <v/>
      </c>
      <c r="AA1191" s="27">
        <f>IF(R1191,N1191,"")</f>
        <v/>
      </c>
    </row>
    <row r="1192">
      <c r="A1192" s="31" t="n">
        <v>0.4</v>
      </c>
      <c r="B1192" s="31" t="n">
        <v>0.3</v>
      </c>
      <c r="C1192" s="31" t="n">
        <v>0.3</v>
      </c>
      <c r="D1192" s="31" t="n">
        <v>0</v>
      </c>
      <c r="E1192" s="27" t="inlineStr">
        <is>
          <t>ON 40%/1M 30%/2M 30%</t>
        </is>
      </c>
      <c r="F1192" s="27" t="n">
        <v>25</v>
      </c>
      <c r="G1192" s="27">
        <f>A1192*$B$7&gt;=$B$9</f>
        <v/>
      </c>
      <c r="H1192" s="13">
        <f>$B$7*(A1192*E$71+B1192*F$71+C1192*G$71+D1192*H$71)+F1192/100*$B$7*J$71-$C$71</f>
        <v/>
      </c>
      <c r="I1192" s="13">
        <f>$B$7*(A1192*L$71+B1192*M$71+C1192*N$71+D1192*O$71)+F1192/100*$B$7*Q$71-$C$71</f>
        <v/>
      </c>
      <c r="J1192" s="13">
        <f>$B$7*(A1192*S$71+B1192*T$71+C1192*U$71+D1192*V$71)+F1192/100*$B$7*X$71-$C$71</f>
        <v/>
      </c>
      <c r="K1192" s="13">
        <f>$B$7*(A1192*Z$71+B1192*AA$71+C1192*AB$71+D1192*AC$71)+F1192/100*$B$7*AE$71-$C$71</f>
        <v/>
      </c>
      <c r="L1192" s="13">
        <f>$B$7*(A1192*AG$71+B1192*AH$71+C1192*AI$71+D1192*AJ$71)+F1192/100*$B$7*AL$71-$C$71</f>
        <v/>
      </c>
      <c r="M1192" s="13">
        <f>$B$7*(A1192*AN$71+B1192*AO$71+C1192*AP$71+D1192*AQ$71)+F1192/100*$B$7*AS$71-$C$71</f>
        <v/>
      </c>
      <c r="N1192" s="13">
        <f>SUMPRODUCT($H$24:$M$24,H1192:M1192)</f>
        <v/>
      </c>
      <c r="O1192" s="14">
        <f>SQRT(SUMPRODUCT($H$24:$M$24,(H1192:M1192-N1192)^2))</f>
        <v/>
      </c>
      <c r="P1192" s="13">
        <f>MIN(H1192:M1192)</f>
        <v/>
      </c>
      <c r="Q1192" s="13">
        <f>MAX(H1192:M1192)</f>
        <v/>
      </c>
      <c r="R1192" s="27">
        <f>IF(G1192,SUMPRODUCT(($G$76:$G$1505)*($N$76:$N$1505&gt;=N1192)*($O$76:$O$1505&lt;=O1192))=1,FALSE)</f>
        <v/>
      </c>
      <c r="S1192" s="16">
        <f>IF(R1192,ABS((O1192-$AC$76)/MAX(0.0001,$AC$77-$AC$76)-(N1192-$AC$78)/MAX(0.0001,$AC$79-$AC$78)),-1)</f>
        <v/>
      </c>
      <c r="T1192" s="14">
        <f>IF(G1192,O1192,NA())</f>
        <v/>
      </c>
      <c r="U1192" s="13">
        <f>IF(G1192,N1192,NA())</f>
        <v/>
      </c>
      <c r="V1192" s="14">
        <f>IF(R1192,O1192,NA())</f>
        <v/>
      </c>
      <c r="W1192" s="13">
        <f>IF(R1192,N1192,NA())</f>
        <v/>
      </c>
      <c r="X1192" s="27">
        <f>IF(G1192,P1192,"")</f>
        <v/>
      </c>
      <c r="Y1192" s="27">
        <f>IF(G1192,N1192,"")</f>
        <v/>
      </c>
      <c r="Z1192" s="27">
        <f>IF(R1192,O1192,"")</f>
        <v/>
      </c>
      <c r="AA1192" s="27">
        <f>IF(R1192,N1192,"")</f>
        <v/>
      </c>
    </row>
    <row r="1193">
      <c r="A1193" s="31" t="n">
        <v>0.4</v>
      </c>
      <c r="B1193" s="31" t="n">
        <v>0.3</v>
      </c>
      <c r="C1193" s="31" t="n">
        <v>0.3</v>
      </c>
      <c r="D1193" s="31" t="n">
        <v>0</v>
      </c>
      <c r="E1193" s="27" t="inlineStr">
        <is>
          <t>ON 40%/1M 30%/2M 30%</t>
        </is>
      </c>
      <c r="F1193" s="27" t="n">
        <v>50</v>
      </c>
      <c r="G1193" s="27">
        <f>A1193*$B$7&gt;=$B$9</f>
        <v/>
      </c>
      <c r="H1193" s="13">
        <f>$B$7*(A1193*E$71+B1193*F$71+C1193*G$71+D1193*H$71)+F1193/100*$B$7*J$71-$C$71</f>
        <v/>
      </c>
      <c r="I1193" s="13">
        <f>$B$7*(A1193*L$71+B1193*M$71+C1193*N$71+D1193*O$71)+F1193/100*$B$7*Q$71-$C$71</f>
        <v/>
      </c>
      <c r="J1193" s="13">
        <f>$B$7*(A1193*S$71+B1193*T$71+C1193*U$71+D1193*V$71)+F1193/100*$B$7*X$71-$C$71</f>
        <v/>
      </c>
      <c r="K1193" s="13">
        <f>$B$7*(A1193*Z$71+B1193*AA$71+C1193*AB$71+D1193*AC$71)+F1193/100*$B$7*AE$71-$C$71</f>
        <v/>
      </c>
      <c r="L1193" s="13">
        <f>$B$7*(A1193*AG$71+B1193*AH$71+C1193*AI$71+D1193*AJ$71)+F1193/100*$B$7*AL$71-$C$71</f>
        <v/>
      </c>
      <c r="M1193" s="13">
        <f>$B$7*(A1193*AN$71+B1193*AO$71+C1193*AP$71+D1193*AQ$71)+F1193/100*$B$7*AS$71-$C$71</f>
        <v/>
      </c>
      <c r="N1193" s="13">
        <f>SUMPRODUCT($H$24:$M$24,H1193:M1193)</f>
        <v/>
      </c>
      <c r="O1193" s="14">
        <f>SQRT(SUMPRODUCT($H$24:$M$24,(H1193:M1193-N1193)^2))</f>
        <v/>
      </c>
      <c r="P1193" s="13">
        <f>MIN(H1193:M1193)</f>
        <v/>
      </c>
      <c r="Q1193" s="13">
        <f>MAX(H1193:M1193)</f>
        <v/>
      </c>
      <c r="R1193" s="27">
        <f>IF(G1193,SUMPRODUCT(($G$76:$G$1505)*($N$76:$N$1505&gt;=N1193)*($O$76:$O$1505&lt;=O1193))=1,FALSE)</f>
        <v/>
      </c>
      <c r="S1193" s="16">
        <f>IF(R1193,ABS((O1193-$AC$76)/MAX(0.0001,$AC$77-$AC$76)-(N1193-$AC$78)/MAX(0.0001,$AC$79-$AC$78)),-1)</f>
        <v/>
      </c>
      <c r="T1193" s="14">
        <f>IF(G1193,O1193,NA())</f>
        <v/>
      </c>
      <c r="U1193" s="13">
        <f>IF(G1193,N1193,NA())</f>
        <v/>
      </c>
      <c r="V1193" s="14">
        <f>IF(R1193,O1193,NA())</f>
        <v/>
      </c>
      <c r="W1193" s="13">
        <f>IF(R1193,N1193,NA())</f>
        <v/>
      </c>
      <c r="X1193" s="27">
        <f>IF(G1193,P1193,"")</f>
        <v/>
      </c>
      <c r="Y1193" s="27">
        <f>IF(G1193,N1193,"")</f>
        <v/>
      </c>
      <c r="Z1193" s="27">
        <f>IF(R1193,O1193,"")</f>
        <v/>
      </c>
      <c r="AA1193" s="27">
        <f>IF(R1193,N1193,"")</f>
        <v/>
      </c>
    </row>
    <row r="1194">
      <c r="A1194" s="31" t="n">
        <v>0.4</v>
      </c>
      <c r="B1194" s="31" t="n">
        <v>0.3</v>
      </c>
      <c r="C1194" s="31" t="n">
        <v>0.3</v>
      </c>
      <c r="D1194" s="31" t="n">
        <v>0</v>
      </c>
      <c r="E1194" s="27" t="inlineStr">
        <is>
          <t>ON 40%/1M 30%/2M 30%</t>
        </is>
      </c>
      <c r="F1194" s="27" t="n">
        <v>75</v>
      </c>
      <c r="G1194" s="27">
        <f>A1194*$B$7&gt;=$B$9</f>
        <v/>
      </c>
      <c r="H1194" s="13">
        <f>$B$7*(A1194*E$71+B1194*F$71+C1194*G$71+D1194*H$71)+F1194/100*$B$7*J$71-$C$71</f>
        <v/>
      </c>
      <c r="I1194" s="13">
        <f>$B$7*(A1194*L$71+B1194*M$71+C1194*N$71+D1194*O$71)+F1194/100*$B$7*Q$71-$C$71</f>
        <v/>
      </c>
      <c r="J1194" s="13">
        <f>$B$7*(A1194*S$71+B1194*T$71+C1194*U$71+D1194*V$71)+F1194/100*$B$7*X$71-$C$71</f>
        <v/>
      </c>
      <c r="K1194" s="13">
        <f>$B$7*(A1194*Z$71+B1194*AA$71+C1194*AB$71+D1194*AC$71)+F1194/100*$B$7*AE$71-$C$71</f>
        <v/>
      </c>
      <c r="L1194" s="13">
        <f>$B$7*(A1194*AG$71+B1194*AH$71+C1194*AI$71+D1194*AJ$71)+F1194/100*$B$7*AL$71-$C$71</f>
        <v/>
      </c>
      <c r="M1194" s="13">
        <f>$B$7*(A1194*AN$71+B1194*AO$71+C1194*AP$71+D1194*AQ$71)+F1194/100*$B$7*AS$71-$C$71</f>
        <v/>
      </c>
      <c r="N1194" s="13">
        <f>SUMPRODUCT($H$24:$M$24,H1194:M1194)</f>
        <v/>
      </c>
      <c r="O1194" s="14">
        <f>SQRT(SUMPRODUCT($H$24:$M$24,(H1194:M1194-N1194)^2))</f>
        <v/>
      </c>
      <c r="P1194" s="13">
        <f>MIN(H1194:M1194)</f>
        <v/>
      </c>
      <c r="Q1194" s="13">
        <f>MAX(H1194:M1194)</f>
        <v/>
      </c>
      <c r="R1194" s="27">
        <f>IF(G1194,SUMPRODUCT(($G$76:$G$1505)*($N$76:$N$1505&gt;=N1194)*($O$76:$O$1505&lt;=O1194))=1,FALSE)</f>
        <v/>
      </c>
      <c r="S1194" s="16">
        <f>IF(R1194,ABS((O1194-$AC$76)/MAX(0.0001,$AC$77-$AC$76)-(N1194-$AC$78)/MAX(0.0001,$AC$79-$AC$78)),-1)</f>
        <v/>
      </c>
      <c r="T1194" s="14">
        <f>IF(G1194,O1194,NA())</f>
        <v/>
      </c>
      <c r="U1194" s="13">
        <f>IF(G1194,N1194,NA())</f>
        <v/>
      </c>
      <c r="V1194" s="14">
        <f>IF(R1194,O1194,NA())</f>
        <v/>
      </c>
      <c r="W1194" s="13">
        <f>IF(R1194,N1194,NA())</f>
        <v/>
      </c>
      <c r="X1194" s="27">
        <f>IF(G1194,P1194,"")</f>
        <v/>
      </c>
      <c r="Y1194" s="27">
        <f>IF(G1194,N1194,"")</f>
        <v/>
      </c>
      <c r="Z1194" s="27">
        <f>IF(R1194,O1194,"")</f>
        <v/>
      </c>
      <c r="AA1194" s="27">
        <f>IF(R1194,N1194,"")</f>
        <v/>
      </c>
    </row>
    <row r="1195">
      <c r="A1195" s="31" t="n">
        <v>0.4</v>
      </c>
      <c r="B1195" s="31" t="n">
        <v>0.3</v>
      </c>
      <c r="C1195" s="31" t="n">
        <v>0.3</v>
      </c>
      <c r="D1195" s="31" t="n">
        <v>0</v>
      </c>
      <c r="E1195" s="27" t="inlineStr">
        <is>
          <t>ON 40%/1M 30%/2M 30%</t>
        </is>
      </c>
      <c r="F1195" s="27" t="n">
        <v>100</v>
      </c>
      <c r="G1195" s="27">
        <f>A1195*$B$7&gt;=$B$9</f>
        <v/>
      </c>
      <c r="H1195" s="13">
        <f>$B$7*(A1195*E$71+B1195*F$71+C1195*G$71+D1195*H$71)+F1195/100*$B$7*J$71-$C$71</f>
        <v/>
      </c>
      <c r="I1195" s="13">
        <f>$B$7*(A1195*L$71+B1195*M$71+C1195*N$71+D1195*O$71)+F1195/100*$B$7*Q$71-$C$71</f>
        <v/>
      </c>
      <c r="J1195" s="13">
        <f>$B$7*(A1195*S$71+B1195*T$71+C1195*U$71+D1195*V$71)+F1195/100*$B$7*X$71-$C$71</f>
        <v/>
      </c>
      <c r="K1195" s="13">
        <f>$B$7*(A1195*Z$71+B1195*AA$71+C1195*AB$71+D1195*AC$71)+F1195/100*$B$7*AE$71-$C$71</f>
        <v/>
      </c>
      <c r="L1195" s="13">
        <f>$B$7*(A1195*AG$71+B1195*AH$71+C1195*AI$71+D1195*AJ$71)+F1195/100*$B$7*AL$71-$C$71</f>
        <v/>
      </c>
      <c r="M1195" s="13">
        <f>$B$7*(A1195*AN$71+B1195*AO$71+C1195*AP$71+D1195*AQ$71)+F1195/100*$B$7*AS$71-$C$71</f>
        <v/>
      </c>
      <c r="N1195" s="13">
        <f>SUMPRODUCT($H$24:$M$24,H1195:M1195)</f>
        <v/>
      </c>
      <c r="O1195" s="14">
        <f>SQRT(SUMPRODUCT($H$24:$M$24,(H1195:M1195-N1195)^2))</f>
        <v/>
      </c>
      <c r="P1195" s="13">
        <f>MIN(H1195:M1195)</f>
        <v/>
      </c>
      <c r="Q1195" s="13">
        <f>MAX(H1195:M1195)</f>
        <v/>
      </c>
      <c r="R1195" s="27">
        <f>IF(G1195,SUMPRODUCT(($G$76:$G$1505)*($N$76:$N$1505&gt;=N1195)*($O$76:$O$1505&lt;=O1195))=1,FALSE)</f>
        <v/>
      </c>
      <c r="S1195" s="16">
        <f>IF(R1195,ABS((O1195-$AC$76)/MAX(0.0001,$AC$77-$AC$76)-(N1195-$AC$78)/MAX(0.0001,$AC$79-$AC$78)),-1)</f>
        <v/>
      </c>
      <c r="T1195" s="14">
        <f>IF(G1195,O1195,NA())</f>
        <v/>
      </c>
      <c r="U1195" s="13">
        <f>IF(G1195,N1195,NA())</f>
        <v/>
      </c>
      <c r="V1195" s="14">
        <f>IF(R1195,O1195,NA())</f>
        <v/>
      </c>
      <c r="W1195" s="13">
        <f>IF(R1195,N1195,NA())</f>
        <v/>
      </c>
      <c r="X1195" s="27">
        <f>IF(G1195,P1195,"")</f>
        <v/>
      </c>
      <c r="Y1195" s="27">
        <f>IF(G1195,N1195,"")</f>
        <v/>
      </c>
      <c r="Z1195" s="27">
        <f>IF(R1195,O1195,"")</f>
        <v/>
      </c>
      <c r="AA1195" s="27">
        <f>IF(R1195,N1195,"")</f>
        <v/>
      </c>
    </row>
    <row r="1196">
      <c r="A1196" s="31" t="n">
        <v>0.4</v>
      </c>
      <c r="B1196" s="31" t="n">
        <v>0.4</v>
      </c>
      <c r="C1196" s="31" t="n">
        <v>0</v>
      </c>
      <c r="D1196" s="31" t="n">
        <v>0.2</v>
      </c>
      <c r="E1196" s="27" t="inlineStr">
        <is>
          <t>ON 40%/1M 40%/3M 20%</t>
        </is>
      </c>
      <c r="F1196" s="27" t="n">
        <v>0</v>
      </c>
      <c r="G1196" s="27">
        <f>A1196*$B$7&gt;=$B$9</f>
        <v/>
      </c>
      <c r="H1196" s="13">
        <f>$B$7*(A1196*E$71+B1196*F$71+C1196*G$71+D1196*H$71)+F1196/100*$B$7*J$71-$C$71</f>
        <v/>
      </c>
      <c r="I1196" s="13">
        <f>$B$7*(A1196*L$71+B1196*M$71+C1196*N$71+D1196*O$71)+F1196/100*$B$7*Q$71-$C$71</f>
        <v/>
      </c>
      <c r="J1196" s="13">
        <f>$B$7*(A1196*S$71+B1196*T$71+C1196*U$71+D1196*V$71)+F1196/100*$B$7*X$71-$C$71</f>
        <v/>
      </c>
      <c r="K1196" s="13">
        <f>$B$7*(A1196*Z$71+B1196*AA$71+C1196*AB$71+D1196*AC$71)+F1196/100*$B$7*AE$71-$C$71</f>
        <v/>
      </c>
      <c r="L1196" s="13">
        <f>$B$7*(A1196*AG$71+B1196*AH$71+C1196*AI$71+D1196*AJ$71)+F1196/100*$B$7*AL$71-$C$71</f>
        <v/>
      </c>
      <c r="M1196" s="13">
        <f>$B$7*(A1196*AN$71+B1196*AO$71+C1196*AP$71+D1196*AQ$71)+F1196/100*$B$7*AS$71-$C$71</f>
        <v/>
      </c>
      <c r="N1196" s="13">
        <f>SUMPRODUCT($H$24:$M$24,H1196:M1196)</f>
        <v/>
      </c>
      <c r="O1196" s="14">
        <f>SQRT(SUMPRODUCT($H$24:$M$24,(H1196:M1196-N1196)^2))</f>
        <v/>
      </c>
      <c r="P1196" s="13">
        <f>MIN(H1196:M1196)</f>
        <v/>
      </c>
      <c r="Q1196" s="13">
        <f>MAX(H1196:M1196)</f>
        <v/>
      </c>
      <c r="R1196" s="27">
        <f>IF(G1196,SUMPRODUCT(($G$76:$G$1505)*($N$76:$N$1505&gt;=N1196)*($O$76:$O$1505&lt;=O1196))=1,FALSE)</f>
        <v/>
      </c>
      <c r="S1196" s="16">
        <f>IF(R1196,ABS((O1196-$AC$76)/MAX(0.0001,$AC$77-$AC$76)-(N1196-$AC$78)/MAX(0.0001,$AC$79-$AC$78)),-1)</f>
        <v/>
      </c>
      <c r="T1196" s="14">
        <f>IF(G1196,O1196,NA())</f>
        <v/>
      </c>
      <c r="U1196" s="13">
        <f>IF(G1196,N1196,NA())</f>
        <v/>
      </c>
      <c r="V1196" s="14">
        <f>IF(R1196,O1196,NA())</f>
        <v/>
      </c>
      <c r="W1196" s="13">
        <f>IF(R1196,N1196,NA())</f>
        <v/>
      </c>
      <c r="X1196" s="27">
        <f>IF(G1196,P1196,"")</f>
        <v/>
      </c>
      <c r="Y1196" s="27">
        <f>IF(G1196,N1196,"")</f>
        <v/>
      </c>
      <c r="Z1196" s="27">
        <f>IF(R1196,O1196,"")</f>
        <v/>
      </c>
      <c r="AA1196" s="27">
        <f>IF(R1196,N1196,"")</f>
        <v/>
      </c>
    </row>
    <row r="1197">
      <c r="A1197" s="31" t="n">
        <v>0.4</v>
      </c>
      <c r="B1197" s="31" t="n">
        <v>0.4</v>
      </c>
      <c r="C1197" s="31" t="n">
        <v>0</v>
      </c>
      <c r="D1197" s="31" t="n">
        <v>0.2</v>
      </c>
      <c r="E1197" s="27" t="inlineStr">
        <is>
          <t>ON 40%/1M 40%/3M 20%</t>
        </is>
      </c>
      <c r="F1197" s="27" t="n">
        <v>25</v>
      </c>
      <c r="G1197" s="27">
        <f>A1197*$B$7&gt;=$B$9</f>
        <v/>
      </c>
      <c r="H1197" s="13">
        <f>$B$7*(A1197*E$71+B1197*F$71+C1197*G$71+D1197*H$71)+F1197/100*$B$7*J$71-$C$71</f>
        <v/>
      </c>
      <c r="I1197" s="13">
        <f>$B$7*(A1197*L$71+B1197*M$71+C1197*N$71+D1197*O$71)+F1197/100*$B$7*Q$71-$C$71</f>
        <v/>
      </c>
      <c r="J1197" s="13">
        <f>$B$7*(A1197*S$71+B1197*T$71+C1197*U$71+D1197*V$71)+F1197/100*$B$7*X$71-$C$71</f>
        <v/>
      </c>
      <c r="K1197" s="13">
        <f>$B$7*(A1197*Z$71+B1197*AA$71+C1197*AB$71+D1197*AC$71)+F1197/100*$B$7*AE$71-$C$71</f>
        <v/>
      </c>
      <c r="L1197" s="13">
        <f>$B$7*(A1197*AG$71+B1197*AH$71+C1197*AI$71+D1197*AJ$71)+F1197/100*$B$7*AL$71-$C$71</f>
        <v/>
      </c>
      <c r="M1197" s="13">
        <f>$B$7*(A1197*AN$71+B1197*AO$71+C1197*AP$71+D1197*AQ$71)+F1197/100*$B$7*AS$71-$C$71</f>
        <v/>
      </c>
      <c r="N1197" s="13">
        <f>SUMPRODUCT($H$24:$M$24,H1197:M1197)</f>
        <v/>
      </c>
      <c r="O1197" s="14">
        <f>SQRT(SUMPRODUCT($H$24:$M$24,(H1197:M1197-N1197)^2))</f>
        <v/>
      </c>
      <c r="P1197" s="13">
        <f>MIN(H1197:M1197)</f>
        <v/>
      </c>
      <c r="Q1197" s="13">
        <f>MAX(H1197:M1197)</f>
        <v/>
      </c>
      <c r="R1197" s="27">
        <f>IF(G1197,SUMPRODUCT(($G$76:$G$1505)*($N$76:$N$1505&gt;=N1197)*($O$76:$O$1505&lt;=O1197))=1,FALSE)</f>
        <v/>
      </c>
      <c r="S1197" s="16">
        <f>IF(R1197,ABS((O1197-$AC$76)/MAX(0.0001,$AC$77-$AC$76)-(N1197-$AC$78)/MAX(0.0001,$AC$79-$AC$78)),-1)</f>
        <v/>
      </c>
      <c r="T1197" s="14">
        <f>IF(G1197,O1197,NA())</f>
        <v/>
      </c>
      <c r="U1197" s="13">
        <f>IF(G1197,N1197,NA())</f>
        <v/>
      </c>
      <c r="V1197" s="14">
        <f>IF(R1197,O1197,NA())</f>
        <v/>
      </c>
      <c r="W1197" s="13">
        <f>IF(R1197,N1197,NA())</f>
        <v/>
      </c>
      <c r="X1197" s="27">
        <f>IF(G1197,P1197,"")</f>
        <v/>
      </c>
      <c r="Y1197" s="27">
        <f>IF(G1197,N1197,"")</f>
        <v/>
      </c>
      <c r="Z1197" s="27">
        <f>IF(R1197,O1197,"")</f>
        <v/>
      </c>
      <c r="AA1197" s="27">
        <f>IF(R1197,N1197,"")</f>
        <v/>
      </c>
    </row>
    <row r="1198">
      <c r="A1198" s="31" t="n">
        <v>0.4</v>
      </c>
      <c r="B1198" s="31" t="n">
        <v>0.4</v>
      </c>
      <c r="C1198" s="31" t="n">
        <v>0</v>
      </c>
      <c r="D1198" s="31" t="n">
        <v>0.2</v>
      </c>
      <c r="E1198" s="27" t="inlineStr">
        <is>
          <t>ON 40%/1M 40%/3M 20%</t>
        </is>
      </c>
      <c r="F1198" s="27" t="n">
        <v>50</v>
      </c>
      <c r="G1198" s="27">
        <f>A1198*$B$7&gt;=$B$9</f>
        <v/>
      </c>
      <c r="H1198" s="13">
        <f>$B$7*(A1198*E$71+B1198*F$71+C1198*G$71+D1198*H$71)+F1198/100*$B$7*J$71-$C$71</f>
        <v/>
      </c>
      <c r="I1198" s="13">
        <f>$B$7*(A1198*L$71+B1198*M$71+C1198*N$71+D1198*O$71)+F1198/100*$B$7*Q$71-$C$71</f>
        <v/>
      </c>
      <c r="J1198" s="13">
        <f>$B$7*(A1198*S$71+B1198*T$71+C1198*U$71+D1198*V$71)+F1198/100*$B$7*X$71-$C$71</f>
        <v/>
      </c>
      <c r="K1198" s="13">
        <f>$B$7*(A1198*Z$71+B1198*AA$71+C1198*AB$71+D1198*AC$71)+F1198/100*$B$7*AE$71-$C$71</f>
        <v/>
      </c>
      <c r="L1198" s="13">
        <f>$B$7*(A1198*AG$71+B1198*AH$71+C1198*AI$71+D1198*AJ$71)+F1198/100*$B$7*AL$71-$C$71</f>
        <v/>
      </c>
      <c r="M1198" s="13">
        <f>$B$7*(A1198*AN$71+B1198*AO$71+C1198*AP$71+D1198*AQ$71)+F1198/100*$B$7*AS$71-$C$71</f>
        <v/>
      </c>
      <c r="N1198" s="13">
        <f>SUMPRODUCT($H$24:$M$24,H1198:M1198)</f>
        <v/>
      </c>
      <c r="O1198" s="14">
        <f>SQRT(SUMPRODUCT($H$24:$M$24,(H1198:M1198-N1198)^2))</f>
        <v/>
      </c>
      <c r="P1198" s="13">
        <f>MIN(H1198:M1198)</f>
        <v/>
      </c>
      <c r="Q1198" s="13">
        <f>MAX(H1198:M1198)</f>
        <v/>
      </c>
      <c r="R1198" s="27">
        <f>IF(G1198,SUMPRODUCT(($G$76:$G$1505)*($N$76:$N$1505&gt;=N1198)*($O$76:$O$1505&lt;=O1198))=1,FALSE)</f>
        <v/>
      </c>
      <c r="S1198" s="16">
        <f>IF(R1198,ABS((O1198-$AC$76)/MAX(0.0001,$AC$77-$AC$76)-(N1198-$AC$78)/MAX(0.0001,$AC$79-$AC$78)),-1)</f>
        <v/>
      </c>
      <c r="T1198" s="14">
        <f>IF(G1198,O1198,NA())</f>
        <v/>
      </c>
      <c r="U1198" s="13">
        <f>IF(G1198,N1198,NA())</f>
        <v/>
      </c>
      <c r="V1198" s="14">
        <f>IF(R1198,O1198,NA())</f>
        <v/>
      </c>
      <c r="W1198" s="13">
        <f>IF(R1198,N1198,NA())</f>
        <v/>
      </c>
      <c r="X1198" s="27">
        <f>IF(G1198,P1198,"")</f>
        <v/>
      </c>
      <c r="Y1198" s="27">
        <f>IF(G1198,N1198,"")</f>
        <v/>
      </c>
      <c r="Z1198" s="27">
        <f>IF(R1198,O1198,"")</f>
        <v/>
      </c>
      <c r="AA1198" s="27">
        <f>IF(R1198,N1198,"")</f>
        <v/>
      </c>
    </row>
    <row r="1199">
      <c r="A1199" s="31" t="n">
        <v>0.4</v>
      </c>
      <c r="B1199" s="31" t="n">
        <v>0.4</v>
      </c>
      <c r="C1199" s="31" t="n">
        <v>0</v>
      </c>
      <c r="D1199" s="31" t="n">
        <v>0.2</v>
      </c>
      <c r="E1199" s="27" t="inlineStr">
        <is>
          <t>ON 40%/1M 40%/3M 20%</t>
        </is>
      </c>
      <c r="F1199" s="27" t="n">
        <v>75</v>
      </c>
      <c r="G1199" s="27">
        <f>A1199*$B$7&gt;=$B$9</f>
        <v/>
      </c>
      <c r="H1199" s="13">
        <f>$B$7*(A1199*E$71+B1199*F$71+C1199*G$71+D1199*H$71)+F1199/100*$B$7*J$71-$C$71</f>
        <v/>
      </c>
      <c r="I1199" s="13">
        <f>$B$7*(A1199*L$71+B1199*M$71+C1199*N$71+D1199*O$71)+F1199/100*$B$7*Q$71-$C$71</f>
        <v/>
      </c>
      <c r="J1199" s="13">
        <f>$B$7*(A1199*S$71+B1199*T$71+C1199*U$71+D1199*V$71)+F1199/100*$B$7*X$71-$C$71</f>
        <v/>
      </c>
      <c r="K1199" s="13">
        <f>$B$7*(A1199*Z$71+B1199*AA$71+C1199*AB$71+D1199*AC$71)+F1199/100*$B$7*AE$71-$C$71</f>
        <v/>
      </c>
      <c r="L1199" s="13">
        <f>$B$7*(A1199*AG$71+B1199*AH$71+C1199*AI$71+D1199*AJ$71)+F1199/100*$B$7*AL$71-$C$71</f>
        <v/>
      </c>
      <c r="M1199" s="13">
        <f>$B$7*(A1199*AN$71+B1199*AO$71+C1199*AP$71+D1199*AQ$71)+F1199/100*$B$7*AS$71-$C$71</f>
        <v/>
      </c>
      <c r="N1199" s="13">
        <f>SUMPRODUCT($H$24:$M$24,H1199:M1199)</f>
        <v/>
      </c>
      <c r="O1199" s="14">
        <f>SQRT(SUMPRODUCT($H$24:$M$24,(H1199:M1199-N1199)^2))</f>
        <v/>
      </c>
      <c r="P1199" s="13">
        <f>MIN(H1199:M1199)</f>
        <v/>
      </c>
      <c r="Q1199" s="13">
        <f>MAX(H1199:M1199)</f>
        <v/>
      </c>
      <c r="R1199" s="27">
        <f>IF(G1199,SUMPRODUCT(($G$76:$G$1505)*($N$76:$N$1505&gt;=N1199)*($O$76:$O$1505&lt;=O1199))=1,FALSE)</f>
        <v/>
      </c>
      <c r="S1199" s="16">
        <f>IF(R1199,ABS((O1199-$AC$76)/MAX(0.0001,$AC$77-$AC$76)-(N1199-$AC$78)/MAX(0.0001,$AC$79-$AC$78)),-1)</f>
        <v/>
      </c>
      <c r="T1199" s="14">
        <f>IF(G1199,O1199,NA())</f>
        <v/>
      </c>
      <c r="U1199" s="13">
        <f>IF(G1199,N1199,NA())</f>
        <v/>
      </c>
      <c r="V1199" s="14">
        <f>IF(R1199,O1199,NA())</f>
        <v/>
      </c>
      <c r="W1199" s="13">
        <f>IF(R1199,N1199,NA())</f>
        <v/>
      </c>
      <c r="X1199" s="27">
        <f>IF(G1199,P1199,"")</f>
        <v/>
      </c>
      <c r="Y1199" s="27">
        <f>IF(G1199,N1199,"")</f>
        <v/>
      </c>
      <c r="Z1199" s="27">
        <f>IF(R1199,O1199,"")</f>
        <v/>
      </c>
      <c r="AA1199" s="27">
        <f>IF(R1199,N1199,"")</f>
        <v/>
      </c>
    </row>
    <row r="1200">
      <c r="A1200" s="31" t="n">
        <v>0.4</v>
      </c>
      <c r="B1200" s="31" t="n">
        <v>0.4</v>
      </c>
      <c r="C1200" s="31" t="n">
        <v>0</v>
      </c>
      <c r="D1200" s="31" t="n">
        <v>0.2</v>
      </c>
      <c r="E1200" s="27" t="inlineStr">
        <is>
          <t>ON 40%/1M 40%/3M 20%</t>
        </is>
      </c>
      <c r="F1200" s="27" t="n">
        <v>100</v>
      </c>
      <c r="G1200" s="27">
        <f>A1200*$B$7&gt;=$B$9</f>
        <v/>
      </c>
      <c r="H1200" s="13">
        <f>$B$7*(A1200*E$71+B1200*F$71+C1200*G$71+D1200*H$71)+F1200/100*$B$7*J$71-$C$71</f>
        <v/>
      </c>
      <c r="I1200" s="13">
        <f>$B$7*(A1200*L$71+B1200*M$71+C1200*N$71+D1200*O$71)+F1200/100*$B$7*Q$71-$C$71</f>
        <v/>
      </c>
      <c r="J1200" s="13">
        <f>$B$7*(A1200*S$71+B1200*T$71+C1200*U$71+D1200*V$71)+F1200/100*$B$7*X$71-$C$71</f>
        <v/>
      </c>
      <c r="K1200" s="13">
        <f>$B$7*(A1200*Z$71+B1200*AA$71+C1200*AB$71+D1200*AC$71)+F1200/100*$B$7*AE$71-$C$71</f>
        <v/>
      </c>
      <c r="L1200" s="13">
        <f>$B$7*(A1200*AG$71+B1200*AH$71+C1200*AI$71+D1200*AJ$71)+F1200/100*$B$7*AL$71-$C$71</f>
        <v/>
      </c>
      <c r="M1200" s="13">
        <f>$B$7*(A1200*AN$71+B1200*AO$71+C1200*AP$71+D1200*AQ$71)+F1200/100*$B$7*AS$71-$C$71</f>
        <v/>
      </c>
      <c r="N1200" s="13">
        <f>SUMPRODUCT($H$24:$M$24,H1200:M1200)</f>
        <v/>
      </c>
      <c r="O1200" s="14">
        <f>SQRT(SUMPRODUCT($H$24:$M$24,(H1200:M1200-N1200)^2))</f>
        <v/>
      </c>
      <c r="P1200" s="13">
        <f>MIN(H1200:M1200)</f>
        <v/>
      </c>
      <c r="Q1200" s="13">
        <f>MAX(H1200:M1200)</f>
        <v/>
      </c>
      <c r="R1200" s="27">
        <f>IF(G1200,SUMPRODUCT(($G$76:$G$1505)*($N$76:$N$1505&gt;=N1200)*($O$76:$O$1505&lt;=O1200))=1,FALSE)</f>
        <v/>
      </c>
      <c r="S1200" s="16">
        <f>IF(R1200,ABS((O1200-$AC$76)/MAX(0.0001,$AC$77-$AC$76)-(N1200-$AC$78)/MAX(0.0001,$AC$79-$AC$78)),-1)</f>
        <v/>
      </c>
      <c r="T1200" s="14">
        <f>IF(G1200,O1200,NA())</f>
        <v/>
      </c>
      <c r="U1200" s="13">
        <f>IF(G1200,N1200,NA())</f>
        <v/>
      </c>
      <c r="V1200" s="14">
        <f>IF(R1200,O1200,NA())</f>
        <v/>
      </c>
      <c r="W1200" s="13">
        <f>IF(R1200,N1200,NA())</f>
        <v/>
      </c>
      <c r="X1200" s="27">
        <f>IF(G1200,P1200,"")</f>
        <v/>
      </c>
      <c r="Y1200" s="27">
        <f>IF(G1200,N1200,"")</f>
        <v/>
      </c>
      <c r="Z1200" s="27">
        <f>IF(R1200,O1200,"")</f>
        <v/>
      </c>
      <c r="AA1200" s="27">
        <f>IF(R1200,N1200,"")</f>
        <v/>
      </c>
    </row>
    <row r="1201">
      <c r="A1201" s="31" t="n">
        <v>0.4</v>
      </c>
      <c r="B1201" s="31" t="n">
        <v>0.4</v>
      </c>
      <c r="C1201" s="31" t="n">
        <v>0.1</v>
      </c>
      <c r="D1201" s="31" t="n">
        <v>0.1</v>
      </c>
      <c r="E1201" s="27" t="inlineStr">
        <is>
          <t>ON 40%/1M 40%/2M 10%/3M 10%</t>
        </is>
      </c>
      <c r="F1201" s="27" t="n">
        <v>0</v>
      </c>
      <c r="G1201" s="27">
        <f>A1201*$B$7&gt;=$B$9</f>
        <v/>
      </c>
      <c r="H1201" s="13">
        <f>$B$7*(A1201*E$71+B1201*F$71+C1201*G$71+D1201*H$71)+F1201/100*$B$7*J$71-$C$71</f>
        <v/>
      </c>
      <c r="I1201" s="13">
        <f>$B$7*(A1201*L$71+B1201*M$71+C1201*N$71+D1201*O$71)+F1201/100*$B$7*Q$71-$C$71</f>
        <v/>
      </c>
      <c r="J1201" s="13">
        <f>$B$7*(A1201*S$71+B1201*T$71+C1201*U$71+D1201*V$71)+F1201/100*$B$7*X$71-$C$71</f>
        <v/>
      </c>
      <c r="K1201" s="13">
        <f>$B$7*(A1201*Z$71+B1201*AA$71+C1201*AB$71+D1201*AC$71)+F1201/100*$B$7*AE$71-$C$71</f>
        <v/>
      </c>
      <c r="L1201" s="13">
        <f>$B$7*(A1201*AG$71+B1201*AH$71+C1201*AI$71+D1201*AJ$71)+F1201/100*$B$7*AL$71-$C$71</f>
        <v/>
      </c>
      <c r="M1201" s="13">
        <f>$B$7*(A1201*AN$71+B1201*AO$71+C1201*AP$71+D1201*AQ$71)+F1201/100*$B$7*AS$71-$C$71</f>
        <v/>
      </c>
      <c r="N1201" s="13">
        <f>SUMPRODUCT($H$24:$M$24,H1201:M1201)</f>
        <v/>
      </c>
      <c r="O1201" s="14">
        <f>SQRT(SUMPRODUCT($H$24:$M$24,(H1201:M1201-N1201)^2))</f>
        <v/>
      </c>
      <c r="P1201" s="13">
        <f>MIN(H1201:M1201)</f>
        <v/>
      </c>
      <c r="Q1201" s="13">
        <f>MAX(H1201:M1201)</f>
        <v/>
      </c>
      <c r="R1201" s="27">
        <f>IF(G1201,SUMPRODUCT(($G$76:$G$1505)*($N$76:$N$1505&gt;=N1201)*($O$76:$O$1505&lt;=O1201))=1,FALSE)</f>
        <v/>
      </c>
      <c r="S1201" s="16">
        <f>IF(R1201,ABS((O1201-$AC$76)/MAX(0.0001,$AC$77-$AC$76)-(N1201-$AC$78)/MAX(0.0001,$AC$79-$AC$78)),-1)</f>
        <v/>
      </c>
      <c r="T1201" s="14">
        <f>IF(G1201,O1201,NA())</f>
        <v/>
      </c>
      <c r="U1201" s="13">
        <f>IF(G1201,N1201,NA())</f>
        <v/>
      </c>
      <c r="V1201" s="14">
        <f>IF(R1201,O1201,NA())</f>
        <v/>
      </c>
      <c r="W1201" s="13">
        <f>IF(R1201,N1201,NA())</f>
        <v/>
      </c>
      <c r="X1201" s="27">
        <f>IF(G1201,P1201,"")</f>
        <v/>
      </c>
      <c r="Y1201" s="27">
        <f>IF(G1201,N1201,"")</f>
        <v/>
      </c>
      <c r="Z1201" s="27">
        <f>IF(R1201,O1201,"")</f>
        <v/>
      </c>
      <c r="AA1201" s="27">
        <f>IF(R1201,N1201,"")</f>
        <v/>
      </c>
    </row>
    <row r="1202">
      <c r="A1202" s="31" t="n">
        <v>0.4</v>
      </c>
      <c r="B1202" s="31" t="n">
        <v>0.4</v>
      </c>
      <c r="C1202" s="31" t="n">
        <v>0.1</v>
      </c>
      <c r="D1202" s="31" t="n">
        <v>0.1</v>
      </c>
      <c r="E1202" s="27" t="inlineStr">
        <is>
          <t>ON 40%/1M 40%/2M 10%/3M 10%</t>
        </is>
      </c>
      <c r="F1202" s="27" t="n">
        <v>25</v>
      </c>
      <c r="G1202" s="27">
        <f>A1202*$B$7&gt;=$B$9</f>
        <v/>
      </c>
      <c r="H1202" s="13">
        <f>$B$7*(A1202*E$71+B1202*F$71+C1202*G$71+D1202*H$71)+F1202/100*$B$7*J$71-$C$71</f>
        <v/>
      </c>
      <c r="I1202" s="13">
        <f>$B$7*(A1202*L$71+B1202*M$71+C1202*N$71+D1202*O$71)+F1202/100*$B$7*Q$71-$C$71</f>
        <v/>
      </c>
      <c r="J1202" s="13">
        <f>$B$7*(A1202*S$71+B1202*T$71+C1202*U$71+D1202*V$71)+F1202/100*$B$7*X$71-$C$71</f>
        <v/>
      </c>
      <c r="K1202" s="13">
        <f>$B$7*(A1202*Z$71+B1202*AA$71+C1202*AB$71+D1202*AC$71)+F1202/100*$B$7*AE$71-$C$71</f>
        <v/>
      </c>
      <c r="L1202" s="13">
        <f>$B$7*(A1202*AG$71+B1202*AH$71+C1202*AI$71+D1202*AJ$71)+F1202/100*$B$7*AL$71-$C$71</f>
        <v/>
      </c>
      <c r="M1202" s="13">
        <f>$B$7*(A1202*AN$71+B1202*AO$71+C1202*AP$71+D1202*AQ$71)+F1202/100*$B$7*AS$71-$C$71</f>
        <v/>
      </c>
      <c r="N1202" s="13">
        <f>SUMPRODUCT($H$24:$M$24,H1202:M1202)</f>
        <v/>
      </c>
      <c r="O1202" s="14">
        <f>SQRT(SUMPRODUCT($H$24:$M$24,(H1202:M1202-N1202)^2))</f>
        <v/>
      </c>
      <c r="P1202" s="13">
        <f>MIN(H1202:M1202)</f>
        <v/>
      </c>
      <c r="Q1202" s="13">
        <f>MAX(H1202:M1202)</f>
        <v/>
      </c>
      <c r="R1202" s="27">
        <f>IF(G1202,SUMPRODUCT(($G$76:$G$1505)*($N$76:$N$1505&gt;=N1202)*($O$76:$O$1505&lt;=O1202))=1,FALSE)</f>
        <v/>
      </c>
      <c r="S1202" s="16">
        <f>IF(R1202,ABS((O1202-$AC$76)/MAX(0.0001,$AC$77-$AC$76)-(N1202-$AC$78)/MAX(0.0001,$AC$79-$AC$78)),-1)</f>
        <v/>
      </c>
      <c r="T1202" s="14">
        <f>IF(G1202,O1202,NA())</f>
        <v/>
      </c>
      <c r="U1202" s="13">
        <f>IF(G1202,N1202,NA())</f>
        <v/>
      </c>
      <c r="V1202" s="14">
        <f>IF(R1202,O1202,NA())</f>
        <v/>
      </c>
      <c r="W1202" s="13">
        <f>IF(R1202,N1202,NA())</f>
        <v/>
      </c>
      <c r="X1202" s="27">
        <f>IF(G1202,P1202,"")</f>
        <v/>
      </c>
      <c r="Y1202" s="27">
        <f>IF(G1202,N1202,"")</f>
        <v/>
      </c>
      <c r="Z1202" s="27">
        <f>IF(R1202,O1202,"")</f>
        <v/>
      </c>
      <c r="AA1202" s="27">
        <f>IF(R1202,N1202,"")</f>
        <v/>
      </c>
    </row>
    <row r="1203">
      <c r="A1203" s="31" t="n">
        <v>0.4</v>
      </c>
      <c r="B1203" s="31" t="n">
        <v>0.4</v>
      </c>
      <c r="C1203" s="31" t="n">
        <v>0.1</v>
      </c>
      <c r="D1203" s="31" t="n">
        <v>0.1</v>
      </c>
      <c r="E1203" s="27" t="inlineStr">
        <is>
          <t>ON 40%/1M 40%/2M 10%/3M 10%</t>
        </is>
      </c>
      <c r="F1203" s="27" t="n">
        <v>50</v>
      </c>
      <c r="G1203" s="27">
        <f>A1203*$B$7&gt;=$B$9</f>
        <v/>
      </c>
      <c r="H1203" s="13">
        <f>$B$7*(A1203*E$71+B1203*F$71+C1203*G$71+D1203*H$71)+F1203/100*$B$7*J$71-$C$71</f>
        <v/>
      </c>
      <c r="I1203" s="13">
        <f>$B$7*(A1203*L$71+B1203*M$71+C1203*N$71+D1203*O$71)+F1203/100*$B$7*Q$71-$C$71</f>
        <v/>
      </c>
      <c r="J1203" s="13">
        <f>$B$7*(A1203*S$71+B1203*T$71+C1203*U$71+D1203*V$71)+F1203/100*$B$7*X$71-$C$71</f>
        <v/>
      </c>
      <c r="K1203" s="13">
        <f>$B$7*(A1203*Z$71+B1203*AA$71+C1203*AB$71+D1203*AC$71)+F1203/100*$B$7*AE$71-$C$71</f>
        <v/>
      </c>
      <c r="L1203" s="13">
        <f>$B$7*(A1203*AG$71+B1203*AH$71+C1203*AI$71+D1203*AJ$71)+F1203/100*$B$7*AL$71-$C$71</f>
        <v/>
      </c>
      <c r="M1203" s="13">
        <f>$B$7*(A1203*AN$71+B1203*AO$71+C1203*AP$71+D1203*AQ$71)+F1203/100*$B$7*AS$71-$C$71</f>
        <v/>
      </c>
      <c r="N1203" s="13">
        <f>SUMPRODUCT($H$24:$M$24,H1203:M1203)</f>
        <v/>
      </c>
      <c r="O1203" s="14">
        <f>SQRT(SUMPRODUCT($H$24:$M$24,(H1203:M1203-N1203)^2))</f>
        <v/>
      </c>
      <c r="P1203" s="13">
        <f>MIN(H1203:M1203)</f>
        <v/>
      </c>
      <c r="Q1203" s="13">
        <f>MAX(H1203:M1203)</f>
        <v/>
      </c>
      <c r="R1203" s="27">
        <f>IF(G1203,SUMPRODUCT(($G$76:$G$1505)*($N$76:$N$1505&gt;=N1203)*($O$76:$O$1505&lt;=O1203))=1,FALSE)</f>
        <v/>
      </c>
      <c r="S1203" s="16">
        <f>IF(R1203,ABS((O1203-$AC$76)/MAX(0.0001,$AC$77-$AC$76)-(N1203-$AC$78)/MAX(0.0001,$AC$79-$AC$78)),-1)</f>
        <v/>
      </c>
      <c r="T1203" s="14">
        <f>IF(G1203,O1203,NA())</f>
        <v/>
      </c>
      <c r="U1203" s="13">
        <f>IF(G1203,N1203,NA())</f>
        <v/>
      </c>
      <c r="V1203" s="14">
        <f>IF(R1203,O1203,NA())</f>
        <v/>
      </c>
      <c r="W1203" s="13">
        <f>IF(R1203,N1203,NA())</f>
        <v/>
      </c>
      <c r="X1203" s="27">
        <f>IF(G1203,P1203,"")</f>
        <v/>
      </c>
      <c r="Y1203" s="27">
        <f>IF(G1203,N1203,"")</f>
        <v/>
      </c>
      <c r="Z1203" s="27">
        <f>IF(R1203,O1203,"")</f>
        <v/>
      </c>
      <c r="AA1203" s="27">
        <f>IF(R1203,N1203,"")</f>
        <v/>
      </c>
    </row>
    <row r="1204">
      <c r="A1204" s="31" t="n">
        <v>0.4</v>
      </c>
      <c r="B1204" s="31" t="n">
        <v>0.4</v>
      </c>
      <c r="C1204" s="31" t="n">
        <v>0.1</v>
      </c>
      <c r="D1204" s="31" t="n">
        <v>0.1</v>
      </c>
      <c r="E1204" s="27" t="inlineStr">
        <is>
          <t>ON 40%/1M 40%/2M 10%/3M 10%</t>
        </is>
      </c>
      <c r="F1204" s="27" t="n">
        <v>75</v>
      </c>
      <c r="G1204" s="27">
        <f>A1204*$B$7&gt;=$B$9</f>
        <v/>
      </c>
      <c r="H1204" s="13">
        <f>$B$7*(A1204*E$71+B1204*F$71+C1204*G$71+D1204*H$71)+F1204/100*$B$7*J$71-$C$71</f>
        <v/>
      </c>
      <c r="I1204" s="13">
        <f>$B$7*(A1204*L$71+B1204*M$71+C1204*N$71+D1204*O$71)+F1204/100*$B$7*Q$71-$C$71</f>
        <v/>
      </c>
      <c r="J1204" s="13">
        <f>$B$7*(A1204*S$71+B1204*T$71+C1204*U$71+D1204*V$71)+F1204/100*$B$7*X$71-$C$71</f>
        <v/>
      </c>
      <c r="K1204" s="13">
        <f>$B$7*(A1204*Z$71+B1204*AA$71+C1204*AB$71+D1204*AC$71)+F1204/100*$B$7*AE$71-$C$71</f>
        <v/>
      </c>
      <c r="L1204" s="13">
        <f>$B$7*(A1204*AG$71+B1204*AH$71+C1204*AI$71+D1204*AJ$71)+F1204/100*$B$7*AL$71-$C$71</f>
        <v/>
      </c>
      <c r="M1204" s="13">
        <f>$B$7*(A1204*AN$71+B1204*AO$71+C1204*AP$71+D1204*AQ$71)+F1204/100*$B$7*AS$71-$C$71</f>
        <v/>
      </c>
      <c r="N1204" s="13">
        <f>SUMPRODUCT($H$24:$M$24,H1204:M1204)</f>
        <v/>
      </c>
      <c r="O1204" s="14">
        <f>SQRT(SUMPRODUCT($H$24:$M$24,(H1204:M1204-N1204)^2))</f>
        <v/>
      </c>
      <c r="P1204" s="13">
        <f>MIN(H1204:M1204)</f>
        <v/>
      </c>
      <c r="Q1204" s="13">
        <f>MAX(H1204:M1204)</f>
        <v/>
      </c>
      <c r="R1204" s="27">
        <f>IF(G1204,SUMPRODUCT(($G$76:$G$1505)*($N$76:$N$1505&gt;=N1204)*($O$76:$O$1505&lt;=O1204))=1,FALSE)</f>
        <v/>
      </c>
      <c r="S1204" s="16">
        <f>IF(R1204,ABS((O1204-$AC$76)/MAX(0.0001,$AC$77-$AC$76)-(N1204-$AC$78)/MAX(0.0001,$AC$79-$AC$78)),-1)</f>
        <v/>
      </c>
      <c r="T1204" s="14">
        <f>IF(G1204,O1204,NA())</f>
        <v/>
      </c>
      <c r="U1204" s="13">
        <f>IF(G1204,N1204,NA())</f>
        <v/>
      </c>
      <c r="V1204" s="14">
        <f>IF(R1204,O1204,NA())</f>
        <v/>
      </c>
      <c r="W1204" s="13">
        <f>IF(R1204,N1204,NA())</f>
        <v/>
      </c>
      <c r="X1204" s="27">
        <f>IF(G1204,P1204,"")</f>
        <v/>
      </c>
      <c r="Y1204" s="27">
        <f>IF(G1204,N1204,"")</f>
        <v/>
      </c>
      <c r="Z1204" s="27">
        <f>IF(R1204,O1204,"")</f>
        <v/>
      </c>
      <c r="AA1204" s="27">
        <f>IF(R1204,N1204,"")</f>
        <v/>
      </c>
    </row>
    <row r="1205">
      <c r="A1205" s="31" t="n">
        <v>0.4</v>
      </c>
      <c r="B1205" s="31" t="n">
        <v>0.4</v>
      </c>
      <c r="C1205" s="31" t="n">
        <v>0.1</v>
      </c>
      <c r="D1205" s="31" t="n">
        <v>0.1</v>
      </c>
      <c r="E1205" s="27" t="inlineStr">
        <is>
          <t>ON 40%/1M 40%/2M 10%/3M 10%</t>
        </is>
      </c>
      <c r="F1205" s="27" t="n">
        <v>100</v>
      </c>
      <c r="G1205" s="27">
        <f>A1205*$B$7&gt;=$B$9</f>
        <v/>
      </c>
      <c r="H1205" s="13">
        <f>$B$7*(A1205*E$71+B1205*F$71+C1205*G$71+D1205*H$71)+F1205/100*$B$7*J$71-$C$71</f>
        <v/>
      </c>
      <c r="I1205" s="13">
        <f>$B$7*(A1205*L$71+B1205*M$71+C1205*N$71+D1205*O$71)+F1205/100*$B$7*Q$71-$C$71</f>
        <v/>
      </c>
      <c r="J1205" s="13">
        <f>$B$7*(A1205*S$71+B1205*T$71+C1205*U$71+D1205*V$71)+F1205/100*$B$7*X$71-$C$71</f>
        <v/>
      </c>
      <c r="K1205" s="13">
        <f>$B$7*(A1205*Z$71+B1205*AA$71+C1205*AB$71+D1205*AC$71)+F1205/100*$B$7*AE$71-$C$71</f>
        <v/>
      </c>
      <c r="L1205" s="13">
        <f>$B$7*(A1205*AG$71+B1205*AH$71+C1205*AI$71+D1205*AJ$71)+F1205/100*$B$7*AL$71-$C$71</f>
        <v/>
      </c>
      <c r="M1205" s="13">
        <f>$B$7*(A1205*AN$71+B1205*AO$71+C1205*AP$71+D1205*AQ$71)+F1205/100*$B$7*AS$71-$C$71</f>
        <v/>
      </c>
      <c r="N1205" s="13">
        <f>SUMPRODUCT($H$24:$M$24,H1205:M1205)</f>
        <v/>
      </c>
      <c r="O1205" s="14">
        <f>SQRT(SUMPRODUCT($H$24:$M$24,(H1205:M1205-N1205)^2))</f>
        <v/>
      </c>
      <c r="P1205" s="13">
        <f>MIN(H1205:M1205)</f>
        <v/>
      </c>
      <c r="Q1205" s="13">
        <f>MAX(H1205:M1205)</f>
        <v/>
      </c>
      <c r="R1205" s="27">
        <f>IF(G1205,SUMPRODUCT(($G$76:$G$1505)*($N$76:$N$1505&gt;=N1205)*($O$76:$O$1505&lt;=O1205))=1,FALSE)</f>
        <v/>
      </c>
      <c r="S1205" s="16">
        <f>IF(R1205,ABS((O1205-$AC$76)/MAX(0.0001,$AC$77-$AC$76)-(N1205-$AC$78)/MAX(0.0001,$AC$79-$AC$78)),-1)</f>
        <v/>
      </c>
      <c r="T1205" s="14">
        <f>IF(G1205,O1205,NA())</f>
        <v/>
      </c>
      <c r="U1205" s="13">
        <f>IF(G1205,N1205,NA())</f>
        <v/>
      </c>
      <c r="V1205" s="14">
        <f>IF(R1205,O1205,NA())</f>
        <v/>
      </c>
      <c r="W1205" s="13">
        <f>IF(R1205,N1205,NA())</f>
        <v/>
      </c>
      <c r="X1205" s="27">
        <f>IF(G1205,P1205,"")</f>
        <v/>
      </c>
      <c r="Y1205" s="27">
        <f>IF(G1205,N1205,"")</f>
        <v/>
      </c>
      <c r="Z1205" s="27">
        <f>IF(R1205,O1205,"")</f>
        <v/>
      </c>
      <c r="AA1205" s="27">
        <f>IF(R1205,N1205,"")</f>
        <v/>
      </c>
    </row>
    <row r="1206">
      <c r="A1206" s="31" t="n">
        <v>0.4</v>
      </c>
      <c r="B1206" s="31" t="n">
        <v>0.4</v>
      </c>
      <c r="C1206" s="31" t="n">
        <v>0.2</v>
      </c>
      <c r="D1206" s="31" t="n">
        <v>0</v>
      </c>
      <c r="E1206" s="27" t="inlineStr">
        <is>
          <t>ON 40%/1M 40%/2M 20%</t>
        </is>
      </c>
      <c r="F1206" s="27" t="n">
        <v>0</v>
      </c>
      <c r="G1206" s="27">
        <f>A1206*$B$7&gt;=$B$9</f>
        <v/>
      </c>
      <c r="H1206" s="13">
        <f>$B$7*(A1206*E$71+B1206*F$71+C1206*G$71+D1206*H$71)+F1206/100*$B$7*J$71-$C$71</f>
        <v/>
      </c>
      <c r="I1206" s="13">
        <f>$B$7*(A1206*L$71+B1206*M$71+C1206*N$71+D1206*O$71)+F1206/100*$B$7*Q$71-$C$71</f>
        <v/>
      </c>
      <c r="J1206" s="13">
        <f>$B$7*(A1206*S$71+B1206*T$71+C1206*U$71+D1206*V$71)+F1206/100*$B$7*X$71-$C$71</f>
        <v/>
      </c>
      <c r="K1206" s="13">
        <f>$B$7*(A1206*Z$71+B1206*AA$71+C1206*AB$71+D1206*AC$71)+F1206/100*$B$7*AE$71-$C$71</f>
        <v/>
      </c>
      <c r="L1206" s="13">
        <f>$B$7*(A1206*AG$71+B1206*AH$71+C1206*AI$71+D1206*AJ$71)+F1206/100*$B$7*AL$71-$C$71</f>
        <v/>
      </c>
      <c r="M1206" s="13">
        <f>$B$7*(A1206*AN$71+B1206*AO$71+C1206*AP$71+D1206*AQ$71)+F1206/100*$B$7*AS$71-$C$71</f>
        <v/>
      </c>
      <c r="N1206" s="13">
        <f>SUMPRODUCT($H$24:$M$24,H1206:M1206)</f>
        <v/>
      </c>
      <c r="O1206" s="14">
        <f>SQRT(SUMPRODUCT($H$24:$M$24,(H1206:M1206-N1206)^2))</f>
        <v/>
      </c>
      <c r="P1206" s="13">
        <f>MIN(H1206:M1206)</f>
        <v/>
      </c>
      <c r="Q1206" s="13">
        <f>MAX(H1206:M1206)</f>
        <v/>
      </c>
      <c r="R1206" s="27">
        <f>IF(G1206,SUMPRODUCT(($G$76:$G$1505)*($N$76:$N$1505&gt;=N1206)*($O$76:$O$1505&lt;=O1206))=1,FALSE)</f>
        <v/>
      </c>
      <c r="S1206" s="16">
        <f>IF(R1206,ABS((O1206-$AC$76)/MAX(0.0001,$AC$77-$AC$76)-(N1206-$AC$78)/MAX(0.0001,$AC$79-$AC$78)),-1)</f>
        <v/>
      </c>
      <c r="T1206" s="14">
        <f>IF(G1206,O1206,NA())</f>
        <v/>
      </c>
      <c r="U1206" s="13">
        <f>IF(G1206,N1206,NA())</f>
        <v/>
      </c>
      <c r="V1206" s="14">
        <f>IF(R1206,O1206,NA())</f>
        <v/>
      </c>
      <c r="W1206" s="13">
        <f>IF(R1206,N1206,NA())</f>
        <v/>
      </c>
      <c r="X1206" s="27">
        <f>IF(G1206,P1206,"")</f>
        <v/>
      </c>
      <c r="Y1206" s="27">
        <f>IF(G1206,N1206,"")</f>
        <v/>
      </c>
      <c r="Z1206" s="27">
        <f>IF(R1206,O1206,"")</f>
        <v/>
      </c>
      <c r="AA1206" s="27">
        <f>IF(R1206,N1206,"")</f>
        <v/>
      </c>
    </row>
    <row r="1207">
      <c r="A1207" s="31" t="n">
        <v>0.4</v>
      </c>
      <c r="B1207" s="31" t="n">
        <v>0.4</v>
      </c>
      <c r="C1207" s="31" t="n">
        <v>0.2</v>
      </c>
      <c r="D1207" s="31" t="n">
        <v>0</v>
      </c>
      <c r="E1207" s="27" t="inlineStr">
        <is>
          <t>ON 40%/1M 40%/2M 20%</t>
        </is>
      </c>
      <c r="F1207" s="27" t="n">
        <v>25</v>
      </c>
      <c r="G1207" s="27">
        <f>A1207*$B$7&gt;=$B$9</f>
        <v/>
      </c>
      <c r="H1207" s="13">
        <f>$B$7*(A1207*E$71+B1207*F$71+C1207*G$71+D1207*H$71)+F1207/100*$B$7*J$71-$C$71</f>
        <v/>
      </c>
      <c r="I1207" s="13">
        <f>$B$7*(A1207*L$71+B1207*M$71+C1207*N$71+D1207*O$71)+F1207/100*$B$7*Q$71-$C$71</f>
        <v/>
      </c>
      <c r="J1207" s="13">
        <f>$B$7*(A1207*S$71+B1207*T$71+C1207*U$71+D1207*V$71)+F1207/100*$B$7*X$71-$C$71</f>
        <v/>
      </c>
      <c r="K1207" s="13">
        <f>$B$7*(A1207*Z$71+B1207*AA$71+C1207*AB$71+D1207*AC$71)+F1207/100*$B$7*AE$71-$C$71</f>
        <v/>
      </c>
      <c r="L1207" s="13">
        <f>$B$7*(A1207*AG$71+B1207*AH$71+C1207*AI$71+D1207*AJ$71)+F1207/100*$B$7*AL$71-$C$71</f>
        <v/>
      </c>
      <c r="M1207" s="13">
        <f>$B$7*(A1207*AN$71+B1207*AO$71+C1207*AP$71+D1207*AQ$71)+F1207/100*$B$7*AS$71-$C$71</f>
        <v/>
      </c>
      <c r="N1207" s="13">
        <f>SUMPRODUCT($H$24:$M$24,H1207:M1207)</f>
        <v/>
      </c>
      <c r="O1207" s="14">
        <f>SQRT(SUMPRODUCT($H$24:$M$24,(H1207:M1207-N1207)^2))</f>
        <v/>
      </c>
      <c r="P1207" s="13">
        <f>MIN(H1207:M1207)</f>
        <v/>
      </c>
      <c r="Q1207" s="13">
        <f>MAX(H1207:M1207)</f>
        <v/>
      </c>
      <c r="R1207" s="27">
        <f>IF(G1207,SUMPRODUCT(($G$76:$G$1505)*($N$76:$N$1505&gt;=N1207)*($O$76:$O$1505&lt;=O1207))=1,FALSE)</f>
        <v/>
      </c>
      <c r="S1207" s="16">
        <f>IF(R1207,ABS((O1207-$AC$76)/MAX(0.0001,$AC$77-$AC$76)-(N1207-$AC$78)/MAX(0.0001,$AC$79-$AC$78)),-1)</f>
        <v/>
      </c>
      <c r="T1207" s="14">
        <f>IF(G1207,O1207,NA())</f>
        <v/>
      </c>
      <c r="U1207" s="13">
        <f>IF(G1207,N1207,NA())</f>
        <v/>
      </c>
      <c r="V1207" s="14">
        <f>IF(R1207,O1207,NA())</f>
        <v/>
      </c>
      <c r="W1207" s="13">
        <f>IF(R1207,N1207,NA())</f>
        <v/>
      </c>
      <c r="X1207" s="27">
        <f>IF(G1207,P1207,"")</f>
        <v/>
      </c>
      <c r="Y1207" s="27">
        <f>IF(G1207,N1207,"")</f>
        <v/>
      </c>
      <c r="Z1207" s="27">
        <f>IF(R1207,O1207,"")</f>
        <v/>
      </c>
      <c r="AA1207" s="27">
        <f>IF(R1207,N1207,"")</f>
        <v/>
      </c>
    </row>
    <row r="1208">
      <c r="A1208" s="31" t="n">
        <v>0.4</v>
      </c>
      <c r="B1208" s="31" t="n">
        <v>0.4</v>
      </c>
      <c r="C1208" s="31" t="n">
        <v>0.2</v>
      </c>
      <c r="D1208" s="31" t="n">
        <v>0</v>
      </c>
      <c r="E1208" s="27" t="inlineStr">
        <is>
          <t>ON 40%/1M 40%/2M 20%</t>
        </is>
      </c>
      <c r="F1208" s="27" t="n">
        <v>50</v>
      </c>
      <c r="G1208" s="27">
        <f>A1208*$B$7&gt;=$B$9</f>
        <v/>
      </c>
      <c r="H1208" s="13">
        <f>$B$7*(A1208*E$71+B1208*F$71+C1208*G$71+D1208*H$71)+F1208/100*$B$7*J$71-$C$71</f>
        <v/>
      </c>
      <c r="I1208" s="13">
        <f>$B$7*(A1208*L$71+B1208*M$71+C1208*N$71+D1208*O$71)+F1208/100*$B$7*Q$71-$C$71</f>
        <v/>
      </c>
      <c r="J1208" s="13">
        <f>$B$7*(A1208*S$71+B1208*T$71+C1208*U$71+D1208*V$71)+F1208/100*$B$7*X$71-$C$71</f>
        <v/>
      </c>
      <c r="K1208" s="13">
        <f>$B$7*(A1208*Z$71+B1208*AA$71+C1208*AB$71+D1208*AC$71)+F1208/100*$B$7*AE$71-$C$71</f>
        <v/>
      </c>
      <c r="L1208" s="13">
        <f>$B$7*(A1208*AG$71+B1208*AH$71+C1208*AI$71+D1208*AJ$71)+F1208/100*$B$7*AL$71-$C$71</f>
        <v/>
      </c>
      <c r="M1208" s="13">
        <f>$B$7*(A1208*AN$71+B1208*AO$71+C1208*AP$71+D1208*AQ$71)+F1208/100*$B$7*AS$71-$C$71</f>
        <v/>
      </c>
      <c r="N1208" s="13">
        <f>SUMPRODUCT($H$24:$M$24,H1208:M1208)</f>
        <v/>
      </c>
      <c r="O1208" s="14">
        <f>SQRT(SUMPRODUCT($H$24:$M$24,(H1208:M1208-N1208)^2))</f>
        <v/>
      </c>
      <c r="P1208" s="13">
        <f>MIN(H1208:M1208)</f>
        <v/>
      </c>
      <c r="Q1208" s="13">
        <f>MAX(H1208:M1208)</f>
        <v/>
      </c>
      <c r="R1208" s="27">
        <f>IF(G1208,SUMPRODUCT(($G$76:$G$1505)*($N$76:$N$1505&gt;=N1208)*($O$76:$O$1505&lt;=O1208))=1,FALSE)</f>
        <v/>
      </c>
      <c r="S1208" s="16">
        <f>IF(R1208,ABS((O1208-$AC$76)/MAX(0.0001,$AC$77-$AC$76)-(N1208-$AC$78)/MAX(0.0001,$AC$79-$AC$78)),-1)</f>
        <v/>
      </c>
      <c r="T1208" s="14">
        <f>IF(G1208,O1208,NA())</f>
        <v/>
      </c>
      <c r="U1208" s="13">
        <f>IF(G1208,N1208,NA())</f>
        <v/>
      </c>
      <c r="V1208" s="14">
        <f>IF(R1208,O1208,NA())</f>
        <v/>
      </c>
      <c r="W1208" s="13">
        <f>IF(R1208,N1208,NA())</f>
        <v/>
      </c>
      <c r="X1208" s="27">
        <f>IF(G1208,P1208,"")</f>
        <v/>
      </c>
      <c r="Y1208" s="27">
        <f>IF(G1208,N1208,"")</f>
        <v/>
      </c>
      <c r="Z1208" s="27">
        <f>IF(R1208,O1208,"")</f>
        <v/>
      </c>
      <c r="AA1208" s="27">
        <f>IF(R1208,N1208,"")</f>
        <v/>
      </c>
    </row>
    <row r="1209">
      <c r="A1209" s="31" t="n">
        <v>0.4</v>
      </c>
      <c r="B1209" s="31" t="n">
        <v>0.4</v>
      </c>
      <c r="C1209" s="31" t="n">
        <v>0.2</v>
      </c>
      <c r="D1209" s="31" t="n">
        <v>0</v>
      </c>
      <c r="E1209" s="27" t="inlineStr">
        <is>
          <t>ON 40%/1M 40%/2M 20%</t>
        </is>
      </c>
      <c r="F1209" s="27" t="n">
        <v>75</v>
      </c>
      <c r="G1209" s="27">
        <f>A1209*$B$7&gt;=$B$9</f>
        <v/>
      </c>
      <c r="H1209" s="13">
        <f>$B$7*(A1209*E$71+B1209*F$71+C1209*G$71+D1209*H$71)+F1209/100*$B$7*J$71-$C$71</f>
        <v/>
      </c>
      <c r="I1209" s="13">
        <f>$B$7*(A1209*L$71+B1209*M$71+C1209*N$71+D1209*O$71)+F1209/100*$B$7*Q$71-$C$71</f>
        <v/>
      </c>
      <c r="J1209" s="13">
        <f>$B$7*(A1209*S$71+B1209*T$71+C1209*U$71+D1209*V$71)+F1209/100*$B$7*X$71-$C$71</f>
        <v/>
      </c>
      <c r="K1209" s="13">
        <f>$B$7*(A1209*Z$71+B1209*AA$71+C1209*AB$71+D1209*AC$71)+F1209/100*$B$7*AE$71-$C$71</f>
        <v/>
      </c>
      <c r="L1209" s="13">
        <f>$B$7*(A1209*AG$71+B1209*AH$71+C1209*AI$71+D1209*AJ$71)+F1209/100*$B$7*AL$71-$C$71</f>
        <v/>
      </c>
      <c r="M1209" s="13">
        <f>$B$7*(A1209*AN$71+B1209*AO$71+C1209*AP$71+D1209*AQ$71)+F1209/100*$B$7*AS$71-$C$71</f>
        <v/>
      </c>
      <c r="N1209" s="13">
        <f>SUMPRODUCT($H$24:$M$24,H1209:M1209)</f>
        <v/>
      </c>
      <c r="O1209" s="14">
        <f>SQRT(SUMPRODUCT($H$24:$M$24,(H1209:M1209-N1209)^2))</f>
        <v/>
      </c>
      <c r="P1209" s="13">
        <f>MIN(H1209:M1209)</f>
        <v/>
      </c>
      <c r="Q1209" s="13">
        <f>MAX(H1209:M1209)</f>
        <v/>
      </c>
      <c r="R1209" s="27">
        <f>IF(G1209,SUMPRODUCT(($G$76:$G$1505)*($N$76:$N$1505&gt;=N1209)*($O$76:$O$1505&lt;=O1209))=1,FALSE)</f>
        <v/>
      </c>
      <c r="S1209" s="16">
        <f>IF(R1209,ABS((O1209-$AC$76)/MAX(0.0001,$AC$77-$AC$76)-(N1209-$AC$78)/MAX(0.0001,$AC$79-$AC$78)),-1)</f>
        <v/>
      </c>
      <c r="T1209" s="14">
        <f>IF(G1209,O1209,NA())</f>
        <v/>
      </c>
      <c r="U1209" s="13">
        <f>IF(G1209,N1209,NA())</f>
        <v/>
      </c>
      <c r="V1209" s="14">
        <f>IF(R1209,O1209,NA())</f>
        <v/>
      </c>
      <c r="W1209" s="13">
        <f>IF(R1209,N1209,NA())</f>
        <v/>
      </c>
      <c r="X1209" s="27">
        <f>IF(G1209,P1209,"")</f>
        <v/>
      </c>
      <c r="Y1209" s="27">
        <f>IF(G1209,N1209,"")</f>
        <v/>
      </c>
      <c r="Z1209" s="27">
        <f>IF(R1209,O1209,"")</f>
        <v/>
      </c>
      <c r="AA1209" s="27">
        <f>IF(R1209,N1209,"")</f>
        <v/>
      </c>
    </row>
    <row r="1210">
      <c r="A1210" s="31" t="n">
        <v>0.4</v>
      </c>
      <c r="B1210" s="31" t="n">
        <v>0.4</v>
      </c>
      <c r="C1210" s="31" t="n">
        <v>0.2</v>
      </c>
      <c r="D1210" s="31" t="n">
        <v>0</v>
      </c>
      <c r="E1210" s="27" t="inlineStr">
        <is>
          <t>ON 40%/1M 40%/2M 20%</t>
        </is>
      </c>
      <c r="F1210" s="27" t="n">
        <v>100</v>
      </c>
      <c r="G1210" s="27">
        <f>A1210*$B$7&gt;=$B$9</f>
        <v/>
      </c>
      <c r="H1210" s="13">
        <f>$B$7*(A1210*E$71+B1210*F$71+C1210*G$71+D1210*H$71)+F1210/100*$B$7*J$71-$C$71</f>
        <v/>
      </c>
      <c r="I1210" s="13">
        <f>$B$7*(A1210*L$71+B1210*M$71+C1210*N$71+D1210*O$71)+F1210/100*$B$7*Q$71-$C$71</f>
        <v/>
      </c>
      <c r="J1210" s="13">
        <f>$B$7*(A1210*S$71+B1210*T$71+C1210*U$71+D1210*V$71)+F1210/100*$B$7*X$71-$C$71</f>
        <v/>
      </c>
      <c r="K1210" s="13">
        <f>$B$7*(A1210*Z$71+B1210*AA$71+C1210*AB$71+D1210*AC$71)+F1210/100*$B$7*AE$71-$C$71</f>
        <v/>
      </c>
      <c r="L1210" s="13">
        <f>$B$7*(A1210*AG$71+B1210*AH$71+C1210*AI$71+D1210*AJ$71)+F1210/100*$B$7*AL$71-$C$71</f>
        <v/>
      </c>
      <c r="M1210" s="13">
        <f>$B$7*(A1210*AN$71+B1210*AO$71+C1210*AP$71+D1210*AQ$71)+F1210/100*$B$7*AS$71-$C$71</f>
        <v/>
      </c>
      <c r="N1210" s="13">
        <f>SUMPRODUCT($H$24:$M$24,H1210:M1210)</f>
        <v/>
      </c>
      <c r="O1210" s="14">
        <f>SQRT(SUMPRODUCT($H$24:$M$24,(H1210:M1210-N1210)^2))</f>
        <v/>
      </c>
      <c r="P1210" s="13">
        <f>MIN(H1210:M1210)</f>
        <v/>
      </c>
      <c r="Q1210" s="13">
        <f>MAX(H1210:M1210)</f>
        <v/>
      </c>
      <c r="R1210" s="27">
        <f>IF(G1210,SUMPRODUCT(($G$76:$G$1505)*($N$76:$N$1505&gt;=N1210)*($O$76:$O$1505&lt;=O1210))=1,FALSE)</f>
        <v/>
      </c>
      <c r="S1210" s="16">
        <f>IF(R1210,ABS((O1210-$AC$76)/MAX(0.0001,$AC$77-$AC$76)-(N1210-$AC$78)/MAX(0.0001,$AC$79-$AC$78)),-1)</f>
        <v/>
      </c>
      <c r="T1210" s="14">
        <f>IF(G1210,O1210,NA())</f>
        <v/>
      </c>
      <c r="U1210" s="13">
        <f>IF(G1210,N1210,NA())</f>
        <v/>
      </c>
      <c r="V1210" s="14">
        <f>IF(R1210,O1210,NA())</f>
        <v/>
      </c>
      <c r="W1210" s="13">
        <f>IF(R1210,N1210,NA())</f>
        <v/>
      </c>
      <c r="X1210" s="27">
        <f>IF(G1210,P1210,"")</f>
        <v/>
      </c>
      <c r="Y1210" s="27">
        <f>IF(G1210,N1210,"")</f>
        <v/>
      </c>
      <c r="Z1210" s="27">
        <f>IF(R1210,O1210,"")</f>
        <v/>
      </c>
      <c r="AA1210" s="27">
        <f>IF(R1210,N1210,"")</f>
        <v/>
      </c>
    </row>
    <row r="1211">
      <c r="A1211" s="31" t="n">
        <v>0.4</v>
      </c>
      <c r="B1211" s="31" t="n">
        <v>0.5</v>
      </c>
      <c r="C1211" s="31" t="n">
        <v>0</v>
      </c>
      <c r="D1211" s="31" t="n">
        <v>0.1</v>
      </c>
      <c r="E1211" s="27" t="inlineStr">
        <is>
          <t>ON 40%/1M 50%/3M 10%</t>
        </is>
      </c>
      <c r="F1211" s="27" t="n">
        <v>0</v>
      </c>
      <c r="G1211" s="27">
        <f>A1211*$B$7&gt;=$B$9</f>
        <v/>
      </c>
      <c r="H1211" s="13">
        <f>$B$7*(A1211*E$71+B1211*F$71+C1211*G$71+D1211*H$71)+F1211/100*$B$7*J$71-$C$71</f>
        <v/>
      </c>
      <c r="I1211" s="13">
        <f>$B$7*(A1211*L$71+B1211*M$71+C1211*N$71+D1211*O$71)+F1211/100*$B$7*Q$71-$C$71</f>
        <v/>
      </c>
      <c r="J1211" s="13">
        <f>$B$7*(A1211*S$71+B1211*T$71+C1211*U$71+D1211*V$71)+F1211/100*$B$7*X$71-$C$71</f>
        <v/>
      </c>
      <c r="K1211" s="13">
        <f>$B$7*(A1211*Z$71+B1211*AA$71+C1211*AB$71+D1211*AC$71)+F1211/100*$B$7*AE$71-$C$71</f>
        <v/>
      </c>
      <c r="L1211" s="13">
        <f>$B$7*(A1211*AG$71+B1211*AH$71+C1211*AI$71+D1211*AJ$71)+F1211/100*$B$7*AL$71-$C$71</f>
        <v/>
      </c>
      <c r="M1211" s="13">
        <f>$B$7*(A1211*AN$71+B1211*AO$71+C1211*AP$71+D1211*AQ$71)+F1211/100*$B$7*AS$71-$C$71</f>
        <v/>
      </c>
      <c r="N1211" s="13">
        <f>SUMPRODUCT($H$24:$M$24,H1211:M1211)</f>
        <v/>
      </c>
      <c r="O1211" s="14">
        <f>SQRT(SUMPRODUCT($H$24:$M$24,(H1211:M1211-N1211)^2))</f>
        <v/>
      </c>
      <c r="P1211" s="13">
        <f>MIN(H1211:M1211)</f>
        <v/>
      </c>
      <c r="Q1211" s="13">
        <f>MAX(H1211:M1211)</f>
        <v/>
      </c>
      <c r="R1211" s="27">
        <f>IF(G1211,SUMPRODUCT(($G$76:$G$1505)*($N$76:$N$1505&gt;=N1211)*($O$76:$O$1505&lt;=O1211))=1,FALSE)</f>
        <v/>
      </c>
      <c r="S1211" s="16">
        <f>IF(R1211,ABS((O1211-$AC$76)/MAX(0.0001,$AC$77-$AC$76)-(N1211-$AC$78)/MAX(0.0001,$AC$79-$AC$78)),-1)</f>
        <v/>
      </c>
      <c r="T1211" s="14">
        <f>IF(G1211,O1211,NA())</f>
        <v/>
      </c>
      <c r="U1211" s="13">
        <f>IF(G1211,N1211,NA())</f>
        <v/>
      </c>
      <c r="V1211" s="14">
        <f>IF(R1211,O1211,NA())</f>
        <v/>
      </c>
      <c r="W1211" s="13">
        <f>IF(R1211,N1211,NA())</f>
        <v/>
      </c>
      <c r="X1211" s="27">
        <f>IF(G1211,P1211,"")</f>
        <v/>
      </c>
      <c r="Y1211" s="27">
        <f>IF(G1211,N1211,"")</f>
        <v/>
      </c>
      <c r="Z1211" s="27">
        <f>IF(R1211,O1211,"")</f>
        <v/>
      </c>
      <c r="AA1211" s="27">
        <f>IF(R1211,N1211,"")</f>
        <v/>
      </c>
    </row>
    <row r="1212">
      <c r="A1212" s="31" t="n">
        <v>0.4</v>
      </c>
      <c r="B1212" s="31" t="n">
        <v>0.5</v>
      </c>
      <c r="C1212" s="31" t="n">
        <v>0</v>
      </c>
      <c r="D1212" s="31" t="n">
        <v>0.1</v>
      </c>
      <c r="E1212" s="27" t="inlineStr">
        <is>
          <t>ON 40%/1M 50%/3M 10%</t>
        </is>
      </c>
      <c r="F1212" s="27" t="n">
        <v>25</v>
      </c>
      <c r="G1212" s="27">
        <f>A1212*$B$7&gt;=$B$9</f>
        <v/>
      </c>
      <c r="H1212" s="13">
        <f>$B$7*(A1212*E$71+B1212*F$71+C1212*G$71+D1212*H$71)+F1212/100*$B$7*J$71-$C$71</f>
        <v/>
      </c>
      <c r="I1212" s="13">
        <f>$B$7*(A1212*L$71+B1212*M$71+C1212*N$71+D1212*O$71)+F1212/100*$B$7*Q$71-$C$71</f>
        <v/>
      </c>
      <c r="J1212" s="13">
        <f>$B$7*(A1212*S$71+B1212*T$71+C1212*U$71+D1212*V$71)+F1212/100*$B$7*X$71-$C$71</f>
        <v/>
      </c>
      <c r="K1212" s="13">
        <f>$B$7*(A1212*Z$71+B1212*AA$71+C1212*AB$71+D1212*AC$71)+F1212/100*$B$7*AE$71-$C$71</f>
        <v/>
      </c>
      <c r="L1212" s="13">
        <f>$B$7*(A1212*AG$71+B1212*AH$71+C1212*AI$71+D1212*AJ$71)+F1212/100*$B$7*AL$71-$C$71</f>
        <v/>
      </c>
      <c r="M1212" s="13">
        <f>$B$7*(A1212*AN$71+B1212*AO$71+C1212*AP$71+D1212*AQ$71)+F1212/100*$B$7*AS$71-$C$71</f>
        <v/>
      </c>
      <c r="N1212" s="13">
        <f>SUMPRODUCT($H$24:$M$24,H1212:M1212)</f>
        <v/>
      </c>
      <c r="O1212" s="14">
        <f>SQRT(SUMPRODUCT($H$24:$M$24,(H1212:M1212-N1212)^2))</f>
        <v/>
      </c>
      <c r="P1212" s="13">
        <f>MIN(H1212:M1212)</f>
        <v/>
      </c>
      <c r="Q1212" s="13">
        <f>MAX(H1212:M1212)</f>
        <v/>
      </c>
      <c r="R1212" s="27">
        <f>IF(G1212,SUMPRODUCT(($G$76:$G$1505)*($N$76:$N$1505&gt;=N1212)*($O$76:$O$1505&lt;=O1212))=1,FALSE)</f>
        <v/>
      </c>
      <c r="S1212" s="16">
        <f>IF(R1212,ABS((O1212-$AC$76)/MAX(0.0001,$AC$77-$AC$76)-(N1212-$AC$78)/MAX(0.0001,$AC$79-$AC$78)),-1)</f>
        <v/>
      </c>
      <c r="T1212" s="14">
        <f>IF(G1212,O1212,NA())</f>
        <v/>
      </c>
      <c r="U1212" s="13">
        <f>IF(G1212,N1212,NA())</f>
        <v/>
      </c>
      <c r="V1212" s="14">
        <f>IF(R1212,O1212,NA())</f>
        <v/>
      </c>
      <c r="W1212" s="13">
        <f>IF(R1212,N1212,NA())</f>
        <v/>
      </c>
      <c r="X1212" s="27">
        <f>IF(G1212,P1212,"")</f>
        <v/>
      </c>
      <c r="Y1212" s="27">
        <f>IF(G1212,N1212,"")</f>
        <v/>
      </c>
      <c r="Z1212" s="27">
        <f>IF(R1212,O1212,"")</f>
        <v/>
      </c>
      <c r="AA1212" s="27">
        <f>IF(R1212,N1212,"")</f>
        <v/>
      </c>
    </row>
    <row r="1213">
      <c r="A1213" s="31" t="n">
        <v>0.4</v>
      </c>
      <c r="B1213" s="31" t="n">
        <v>0.5</v>
      </c>
      <c r="C1213" s="31" t="n">
        <v>0</v>
      </c>
      <c r="D1213" s="31" t="n">
        <v>0.1</v>
      </c>
      <c r="E1213" s="27" t="inlineStr">
        <is>
          <t>ON 40%/1M 50%/3M 10%</t>
        </is>
      </c>
      <c r="F1213" s="27" t="n">
        <v>50</v>
      </c>
      <c r="G1213" s="27">
        <f>A1213*$B$7&gt;=$B$9</f>
        <v/>
      </c>
      <c r="H1213" s="13">
        <f>$B$7*(A1213*E$71+B1213*F$71+C1213*G$71+D1213*H$71)+F1213/100*$B$7*J$71-$C$71</f>
        <v/>
      </c>
      <c r="I1213" s="13">
        <f>$B$7*(A1213*L$71+B1213*M$71+C1213*N$71+D1213*O$71)+F1213/100*$B$7*Q$71-$C$71</f>
        <v/>
      </c>
      <c r="J1213" s="13">
        <f>$B$7*(A1213*S$71+B1213*T$71+C1213*U$71+D1213*V$71)+F1213/100*$B$7*X$71-$C$71</f>
        <v/>
      </c>
      <c r="K1213" s="13">
        <f>$B$7*(A1213*Z$71+B1213*AA$71+C1213*AB$71+D1213*AC$71)+F1213/100*$B$7*AE$71-$C$71</f>
        <v/>
      </c>
      <c r="L1213" s="13">
        <f>$B$7*(A1213*AG$71+B1213*AH$71+C1213*AI$71+D1213*AJ$71)+F1213/100*$B$7*AL$71-$C$71</f>
        <v/>
      </c>
      <c r="M1213" s="13">
        <f>$B$7*(A1213*AN$71+B1213*AO$71+C1213*AP$71+D1213*AQ$71)+F1213/100*$B$7*AS$71-$C$71</f>
        <v/>
      </c>
      <c r="N1213" s="13">
        <f>SUMPRODUCT($H$24:$M$24,H1213:M1213)</f>
        <v/>
      </c>
      <c r="O1213" s="14">
        <f>SQRT(SUMPRODUCT($H$24:$M$24,(H1213:M1213-N1213)^2))</f>
        <v/>
      </c>
      <c r="P1213" s="13">
        <f>MIN(H1213:M1213)</f>
        <v/>
      </c>
      <c r="Q1213" s="13">
        <f>MAX(H1213:M1213)</f>
        <v/>
      </c>
      <c r="R1213" s="27">
        <f>IF(G1213,SUMPRODUCT(($G$76:$G$1505)*($N$76:$N$1505&gt;=N1213)*($O$76:$O$1505&lt;=O1213))=1,FALSE)</f>
        <v/>
      </c>
      <c r="S1213" s="16">
        <f>IF(R1213,ABS((O1213-$AC$76)/MAX(0.0001,$AC$77-$AC$76)-(N1213-$AC$78)/MAX(0.0001,$AC$79-$AC$78)),-1)</f>
        <v/>
      </c>
      <c r="T1213" s="14">
        <f>IF(G1213,O1213,NA())</f>
        <v/>
      </c>
      <c r="U1213" s="13">
        <f>IF(G1213,N1213,NA())</f>
        <v/>
      </c>
      <c r="V1213" s="14">
        <f>IF(R1213,O1213,NA())</f>
        <v/>
      </c>
      <c r="W1213" s="13">
        <f>IF(R1213,N1213,NA())</f>
        <v/>
      </c>
      <c r="X1213" s="27">
        <f>IF(G1213,P1213,"")</f>
        <v/>
      </c>
      <c r="Y1213" s="27">
        <f>IF(G1213,N1213,"")</f>
        <v/>
      </c>
      <c r="Z1213" s="27">
        <f>IF(R1213,O1213,"")</f>
        <v/>
      </c>
      <c r="AA1213" s="27">
        <f>IF(R1213,N1213,"")</f>
        <v/>
      </c>
    </row>
    <row r="1214">
      <c r="A1214" s="31" t="n">
        <v>0.4</v>
      </c>
      <c r="B1214" s="31" t="n">
        <v>0.5</v>
      </c>
      <c r="C1214" s="31" t="n">
        <v>0</v>
      </c>
      <c r="D1214" s="31" t="n">
        <v>0.1</v>
      </c>
      <c r="E1214" s="27" t="inlineStr">
        <is>
          <t>ON 40%/1M 50%/3M 10%</t>
        </is>
      </c>
      <c r="F1214" s="27" t="n">
        <v>75</v>
      </c>
      <c r="G1214" s="27">
        <f>A1214*$B$7&gt;=$B$9</f>
        <v/>
      </c>
      <c r="H1214" s="13">
        <f>$B$7*(A1214*E$71+B1214*F$71+C1214*G$71+D1214*H$71)+F1214/100*$B$7*J$71-$C$71</f>
        <v/>
      </c>
      <c r="I1214" s="13">
        <f>$B$7*(A1214*L$71+B1214*M$71+C1214*N$71+D1214*O$71)+F1214/100*$B$7*Q$71-$C$71</f>
        <v/>
      </c>
      <c r="J1214" s="13">
        <f>$B$7*(A1214*S$71+B1214*T$71+C1214*U$71+D1214*V$71)+F1214/100*$B$7*X$71-$C$71</f>
        <v/>
      </c>
      <c r="K1214" s="13">
        <f>$B$7*(A1214*Z$71+B1214*AA$71+C1214*AB$71+D1214*AC$71)+F1214/100*$B$7*AE$71-$C$71</f>
        <v/>
      </c>
      <c r="L1214" s="13">
        <f>$B$7*(A1214*AG$71+B1214*AH$71+C1214*AI$71+D1214*AJ$71)+F1214/100*$B$7*AL$71-$C$71</f>
        <v/>
      </c>
      <c r="M1214" s="13">
        <f>$B$7*(A1214*AN$71+B1214*AO$71+C1214*AP$71+D1214*AQ$71)+F1214/100*$B$7*AS$71-$C$71</f>
        <v/>
      </c>
      <c r="N1214" s="13">
        <f>SUMPRODUCT($H$24:$M$24,H1214:M1214)</f>
        <v/>
      </c>
      <c r="O1214" s="14">
        <f>SQRT(SUMPRODUCT($H$24:$M$24,(H1214:M1214-N1214)^2))</f>
        <v/>
      </c>
      <c r="P1214" s="13">
        <f>MIN(H1214:M1214)</f>
        <v/>
      </c>
      <c r="Q1214" s="13">
        <f>MAX(H1214:M1214)</f>
        <v/>
      </c>
      <c r="R1214" s="27">
        <f>IF(G1214,SUMPRODUCT(($G$76:$G$1505)*($N$76:$N$1505&gt;=N1214)*($O$76:$O$1505&lt;=O1214))=1,FALSE)</f>
        <v/>
      </c>
      <c r="S1214" s="16">
        <f>IF(R1214,ABS((O1214-$AC$76)/MAX(0.0001,$AC$77-$AC$76)-(N1214-$AC$78)/MAX(0.0001,$AC$79-$AC$78)),-1)</f>
        <v/>
      </c>
      <c r="T1214" s="14">
        <f>IF(G1214,O1214,NA())</f>
        <v/>
      </c>
      <c r="U1214" s="13">
        <f>IF(G1214,N1214,NA())</f>
        <v/>
      </c>
      <c r="V1214" s="14">
        <f>IF(R1214,O1214,NA())</f>
        <v/>
      </c>
      <c r="W1214" s="13">
        <f>IF(R1214,N1214,NA())</f>
        <v/>
      </c>
      <c r="X1214" s="27">
        <f>IF(G1214,P1214,"")</f>
        <v/>
      </c>
      <c r="Y1214" s="27">
        <f>IF(G1214,N1214,"")</f>
        <v/>
      </c>
      <c r="Z1214" s="27">
        <f>IF(R1214,O1214,"")</f>
        <v/>
      </c>
      <c r="AA1214" s="27">
        <f>IF(R1214,N1214,"")</f>
        <v/>
      </c>
    </row>
    <row r="1215">
      <c r="A1215" s="31" t="n">
        <v>0.4</v>
      </c>
      <c r="B1215" s="31" t="n">
        <v>0.5</v>
      </c>
      <c r="C1215" s="31" t="n">
        <v>0</v>
      </c>
      <c r="D1215" s="31" t="n">
        <v>0.1</v>
      </c>
      <c r="E1215" s="27" t="inlineStr">
        <is>
          <t>ON 40%/1M 50%/3M 10%</t>
        </is>
      </c>
      <c r="F1215" s="27" t="n">
        <v>100</v>
      </c>
      <c r="G1215" s="27">
        <f>A1215*$B$7&gt;=$B$9</f>
        <v/>
      </c>
      <c r="H1215" s="13">
        <f>$B$7*(A1215*E$71+B1215*F$71+C1215*G$71+D1215*H$71)+F1215/100*$B$7*J$71-$C$71</f>
        <v/>
      </c>
      <c r="I1215" s="13">
        <f>$B$7*(A1215*L$71+B1215*M$71+C1215*N$71+D1215*O$71)+F1215/100*$B$7*Q$71-$C$71</f>
        <v/>
      </c>
      <c r="J1215" s="13">
        <f>$B$7*(A1215*S$71+B1215*T$71+C1215*U$71+D1215*V$71)+F1215/100*$B$7*X$71-$C$71</f>
        <v/>
      </c>
      <c r="K1215" s="13">
        <f>$B$7*(A1215*Z$71+B1215*AA$71+C1215*AB$71+D1215*AC$71)+F1215/100*$B$7*AE$71-$C$71</f>
        <v/>
      </c>
      <c r="L1215" s="13">
        <f>$B$7*(A1215*AG$71+B1215*AH$71+C1215*AI$71+D1215*AJ$71)+F1215/100*$B$7*AL$71-$C$71</f>
        <v/>
      </c>
      <c r="M1215" s="13">
        <f>$B$7*(A1215*AN$71+B1215*AO$71+C1215*AP$71+D1215*AQ$71)+F1215/100*$B$7*AS$71-$C$71</f>
        <v/>
      </c>
      <c r="N1215" s="13">
        <f>SUMPRODUCT($H$24:$M$24,H1215:M1215)</f>
        <v/>
      </c>
      <c r="O1215" s="14">
        <f>SQRT(SUMPRODUCT($H$24:$M$24,(H1215:M1215-N1215)^2))</f>
        <v/>
      </c>
      <c r="P1215" s="13">
        <f>MIN(H1215:M1215)</f>
        <v/>
      </c>
      <c r="Q1215" s="13">
        <f>MAX(H1215:M1215)</f>
        <v/>
      </c>
      <c r="R1215" s="27">
        <f>IF(G1215,SUMPRODUCT(($G$76:$G$1505)*($N$76:$N$1505&gt;=N1215)*($O$76:$O$1505&lt;=O1215))=1,FALSE)</f>
        <v/>
      </c>
      <c r="S1215" s="16">
        <f>IF(R1215,ABS((O1215-$AC$76)/MAX(0.0001,$AC$77-$AC$76)-(N1215-$AC$78)/MAX(0.0001,$AC$79-$AC$78)),-1)</f>
        <v/>
      </c>
      <c r="T1215" s="14">
        <f>IF(G1215,O1215,NA())</f>
        <v/>
      </c>
      <c r="U1215" s="13">
        <f>IF(G1215,N1215,NA())</f>
        <v/>
      </c>
      <c r="V1215" s="14">
        <f>IF(R1215,O1215,NA())</f>
        <v/>
      </c>
      <c r="W1215" s="13">
        <f>IF(R1215,N1215,NA())</f>
        <v/>
      </c>
      <c r="X1215" s="27">
        <f>IF(G1215,P1215,"")</f>
        <v/>
      </c>
      <c r="Y1215" s="27">
        <f>IF(G1215,N1215,"")</f>
        <v/>
      </c>
      <c r="Z1215" s="27">
        <f>IF(R1215,O1215,"")</f>
        <v/>
      </c>
      <c r="AA1215" s="27">
        <f>IF(R1215,N1215,"")</f>
        <v/>
      </c>
    </row>
    <row r="1216">
      <c r="A1216" s="31" t="n">
        <v>0.4</v>
      </c>
      <c r="B1216" s="31" t="n">
        <v>0.5</v>
      </c>
      <c r="C1216" s="31" t="n">
        <v>0.1</v>
      </c>
      <c r="D1216" s="31" t="n">
        <v>0</v>
      </c>
      <c r="E1216" s="27" t="inlineStr">
        <is>
          <t>ON 40%/1M 50%/2M 10%</t>
        </is>
      </c>
      <c r="F1216" s="27" t="n">
        <v>0</v>
      </c>
      <c r="G1216" s="27">
        <f>A1216*$B$7&gt;=$B$9</f>
        <v/>
      </c>
      <c r="H1216" s="13">
        <f>$B$7*(A1216*E$71+B1216*F$71+C1216*G$71+D1216*H$71)+F1216/100*$B$7*J$71-$C$71</f>
        <v/>
      </c>
      <c r="I1216" s="13">
        <f>$B$7*(A1216*L$71+B1216*M$71+C1216*N$71+D1216*O$71)+F1216/100*$B$7*Q$71-$C$71</f>
        <v/>
      </c>
      <c r="J1216" s="13">
        <f>$B$7*(A1216*S$71+B1216*T$71+C1216*U$71+D1216*V$71)+F1216/100*$B$7*X$71-$C$71</f>
        <v/>
      </c>
      <c r="K1216" s="13">
        <f>$B$7*(A1216*Z$71+B1216*AA$71+C1216*AB$71+D1216*AC$71)+F1216/100*$B$7*AE$71-$C$71</f>
        <v/>
      </c>
      <c r="L1216" s="13">
        <f>$B$7*(A1216*AG$71+B1216*AH$71+C1216*AI$71+D1216*AJ$71)+F1216/100*$B$7*AL$71-$C$71</f>
        <v/>
      </c>
      <c r="M1216" s="13">
        <f>$B$7*(A1216*AN$71+B1216*AO$71+C1216*AP$71+D1216*AQ$71)+F1216/100*$B$7*AS$71-$C$71</f>
        <v/>
      </c>
      <c r="N1216" s="13">
        <f>SUMPRODUCT($H$24:$M$24,H1216:M1216)</f>
        <v/>
      </c>
      <c r="O1216" s="14">
        <f>SQRT(SUMPRODUCT($H$24:$M$24,(H1216:M1216-N1216)^2))</f>
        <v/>
      </c>
      <c r="P1216" s="13">
        <f>MIN(H1216:M1216)</f>
        <v/>
      </c>
      <c r="Q1216" s="13">
        <f>MAX(H1216:M1216)</f>
        <v/>
      </c>
      <c r="R1216" s="27">
        <f>IF(G1216,SUMPRODUCT(($G$76:$G$1505)*($N$76:$N$1505&gt;=N1216)*($O$76:$O$1505&lt;=O1216))=1,FALSE)</f>
        <v/>
      </c>
      <c r="S1216" s="16">
        <f>IF(R1216,ABS((O1216-$AC$76)/MAX(0.0001,$AC$77-$AC$76)-(N1216-$AC$78)/MAX(0.0001,$AC$79-$AC$78)),-1)</f>
        <v/>
      </c>
      <c r="T1216" s="14">
        <f>IF(G1216,O1216,NA())</f>
        <v/>
      </c>
      <c r="U1216" s="13">
        <f>IF(G1216,N1216,NA())</f>
        <v/>
      </c>
      <c r="V1216" s="14">
        <f>IF(R1216,O1216,NA())</f>
        <v/>
      </c>
      <c r="W1216" s="13">
        <f>IF(R1216,N1216,NA())</f>
        <v/>
      </c>
      <c r="X1216" s="27">
        <f>IF(G1216,P1216,"")</f>
        <v/>
      </c>
      <c r="Y1216" s="27">
        <f>IF(G1216,N1216,"")</f>
        <v/>
      </c>
      <c r="Z1216" s="27">
        <f>IF(R1216,O1216,"")</f>
        <v/>
      </c>
      <c r="AA1216" s="27">
        <f>IF(R1216,N1216,"")</f>
        <v/>
      </c>
    </row>
    <row r="1217">
      <c r="A1217" s="31" t="n">
        <v>0.4</v>
      </c>
      <c r="B1217" s="31" t="n">
        <v>0.5</v>
      </c>
      <c r="C1217" s="31" t="n">
        <v>0.1</v>
      </c>
      <c r="D1217" s="31" t="n">
        <v>0</v>
      </c>
      <c r="E1217" s="27" t="inlineStr">
        <is>
          <t>ON 40%/1M 50%/2M 10%</t>
        </is>
      </c>
      <c r="F1217" s="27" t="n">
        <v>25</v>
      </c>
      <c r="G1217" s="27">
        <f>A1217*$B$7&gt;=$B$9</f>
        <v/>
      </c>
      <c r="H1217" s="13">
        <f>$B$7*(A1217*E$71+B1217*F$71+C1217*G$71+D1217*H$71)+F1217/100*$B$7*J$71-$C$71</f>
        <v/>
      </c>
      <c r="I1217" s="13">
        <f>$B$7*(A1217*L$71+B1217*M$71+C1217*N$71+D1217*O$71)+F1217/100*$B$7*Q$71-$C$71</f>
        <v/>
      </c>
      <c r="J1217" s="13">
        <f>$B$7*(A1217*S$71+B1217*T$71+C1217*U$71+D1217*V$71)+F1217/100*$B$7*X$71-$C$71</f>
        <v/>
      </c>
      <c r="K1217" s="13">
        <f>$B$7*(A1217*Z$71+B1217*AA$71+C1217*AB$71+D1217*AC$71)+F1217/100*$B$7*AE$71-$C$71</f>
        <v/>
      </c>
      <c r="L1217" s="13">
        <f>$B$7*(A1217*AG$71+B1217*AH$71+C1217*AI$71+D1217*AJ$71)+F1217/100*$B$7*AL$71-$C$71</f>
        <v/>
      </c>
      <c r="M1217" s="13">
        <f>$B$7*(A1217*AN$71+B1217*AO$71+C1217*AP$71+D1217*AQ$71)+F1217/100*$B$7*AS$71-$C$71</f>
        <v/>
      </c>
      <c r="N1217" s="13">
        <f>SUMPRODUCT($H$24:$M$24,H1217:M1217)</f>
        <v/>
      </c>
      <c r="O1217" s="14">
        <f>SQRT(SUMPRODUCT($H$24:$M$24,(H1217:M1217-N1217)^2))</f>
        <v/>
      </c>
      <c r="P1217" s="13">
        <f>MIN(H1217:M1217)</f>
        <v/>
      </c>
      <c r="Q1217" s="13">
        <f>MAX(H1217:M1217)</f>
        <v/>
      </c>
      <c r="R1217" s="27">
        <f>IF(G1217,SUMPRODUCT(($G$76:$G$1505)*($N$76:$N$1505&gt;=N1217)*($O$76:$O$1505&lt;=O1217))=1,FALSE)</f>
        <v/>
      </c>
      <c r="S1217" s="16">
        <f>IF(R1217,ABS((O1217-$AC$76)/MAX(0.0001,$AC$77-$AC$76)-(N1217-$AC$78)/MAX(0.0001,$AC$79-$AC$78)),-1)</f>
        <v/>
      </c>
      <c r="T1217" s="14">
        <f>IF(G1217,O1217,NA())</f>
        <v/>
      </c>
      <c r="U1217" s="13">
        <f>IF(G1217,N1217,NA())</f>
        <v/>
      </c>
      <c r="V1217" s="14">
        <f>IF(R1217,O1217,NA())</f>
        <v/>
      </c>
      <c r="W1217" s="13">
        <f>IF(R1217,N1217,NA())</f>
        <v/>
      </c>
      <c r="X1217" s="27">
        <f>IF(G1217,P1217,"")</f>
        <v/>
      </c>
      <c r="Y1217" s="27">
        <f>IF(G1217,N1217,"")</f>
        <v/>
      </c>
      <c r="Z1217" s="27">
        <f>IF(R1217,O1217,"")</f>
        <v/>
      </c>
      <c r="AA1217" s="27">
        <f>IF(R1217,N1217,"")</f>
        <v/>
      </c>
    </row>
    <row r="1218">
      <c r="A1218" s="31" t="n">
        <v>0.4</v>
      </c>
      <c r="B1218" s="31" t="n">
        <v>0.5</v>
      </c>
      <c r="C1218" s="31" t="n">
        <v>0.1</v>
      </c>
      <c r="D1218" s="31" t="n">
        <v>0</v>
      </c>
      <c r="E1218" s="27" t="inlineStr">
        <is>
          <t>ON 40%/1M 50%/2M 10%</t>
        </is>
      </c>
      <c r="F1218" s="27" t="n">
        <v>50</v>
      </c>
      <c r="G1218" s="27">
        <f>A1218*$B$7&gt;=$B$9</f>
        <v/>
      </c>
      <c r="H1218" s="13">
        <f>$B$7*(A1218*E$71+B1218*F$71+C1218*G$71+D1218*H$71)+F1218/100*$B$7*J$71-$C$71</f>
        <v/>
      </c>
      <c r="I1218" s="13">
        <f>$B$7*(A1218*L$71+B1218*M$71+C1218*N$71+D1218*O$71)+F1218/100*$B$7*Q$71-$C$71</f>
        <v/>
      </c>
      <c r="J1218" s="13">
        <f>$B$7*(A1218*S$71+B1218*T$71+C1218*U$71+D1218*V$71)+F1218/100*$B$7*X$71-$C$71</f>
        <v/>
      </c>
      <c r="K1218" s="13">
        <f>$B$7*(A1218*Z$71+B1218*AA$71+C1218*AB$71+D1218*AC$71)+F1218/100*$B$7*AE$71-$C$71</f>
        <v/>
      </c>
      <c r="L1218" s="13">
        <f>$B$7*(A1218*AG$71+B1218*AH$71+C1218*AI$71+D1218*AJ$71)+F1218/100*$B$7*AL$71-$C$71</f>
        <v/>
      </c>
      <c r="M1218" s="13">
        <f>$B$7*(A1218*AN$71+B1218*AO$71+C1218*AP$71+D1218*AQ$71)+F1218/100*$B$7*AS$71-$C$71</f>
        <v/>
      </c>
      <c r="N1218" s="13">
        <f>SUMPRODUCT($H$24:$M$24,H1218:M1218)</f>
        <v/>
      </c>
      <c r="O1218" s="14">
        <f>SQRT(SUMPRODUCT($H$24:$M$24,(H1218:M1218-N1218)^2))</f>
        <v/>
      </c>
      <c r="P1218" s="13">
        <f>MIN(H1218:M1218)</f>
        <v/>
      </c>
      <c r="Q1218" s="13">
        <f>MAX(H1218:M1218)</f>
        <v/>
      </c>
      <c r="R1218" s="27">
        <f>IF(G1218,SUMPRODUCT(($G$76:$G$1505)*($N$76:$N$1505&gt;=N1218)*($O$76:$O$1505&lt;=O1218))=1,FALSE)</f>
        <v/>
      </c>
      <c r="S1218" s="16">
        <f>IF(R1218,ABS((O1218-$AC$76)/MAX(0.0001,$AC$77-$AC$76)-(N1218-$AC$78)/MAX(0.0001,$AC$79-$AC$78)),-1)</f>
        <v/>
      </c>
      <c r="T1218" s="14">
        <f>IF(G1218,O1218,NA())</f>
        <v/>
      </c>
      <c r="U1218" s="13">
        <f>IF(G1218,N1218,NA())</f>
        <v/>
      </c>
      <c r="V1218" s="14">
        <f>IF(R1218,O1218,NA())</f>
        <v/>
      </c>
      <c r="W1218" s="13">
        <f>IF(R1218,N1218,NA())</f>
        <v/>
      </c>
      <c r="X1218" s="27">
        <f>IF(G1218,P1218,"")</f>
        <v/>
      </c>
      <c r="Y1218" s="27">
        <f>IF(G1218,N1218,"")</f>
        <v/>
      </c>
      <c r="Z1218" s="27">
        <f>IF(R1218,O1218,"")</f>
        <v/>
      </c>
      <c r="AA1218" s="27">
        <f>IF(R1218,N1218,"")</f>
        <v/>
      </c>
    </row>
    <row r="1219">
      <c r="A1219" s="31" t="n">
        <v>0.4</v>
      </c>
      <c r="B1219" s="31" t="n">
        <v>0.5</v>
      </c>
      <c r="C1219" s="31" t="n">
        <v>0.1</v>
      </c>
      <c r="D1219" s="31" t="n">
        <v>0</v>
      </c>
      <c r="E1219" s="27" t="inlineStr">
        <is>
          <t>ON 40%/1M 50%/2M 10%</t>
        </is>
      </c>
      <c r="F1219" s="27" t="n">
        <v>75</v>
      </c>
      <c r="G1219" s="27">
        <f>A1219*$B$7&gt;=$B$9</f>
        <v/>
      </c>
      <c r="H1219" s="13">
        <f>$B$7*(A1219*E$71+B1219*F$71+C1219*G$71+D1219*H$71)+F1219/100*$B$7*J$71-$C$71</f>
        <v/>
      </c>
      <c r="I1219" s="13">
        <f>$B$7*(A1219*L$71+B1219*M$71+C1219*N$71+D1219*O$71)+F1219/100*$B$7*Q$71-$C$71</f>
        <v/>
      </c>
      <c r="J1219" s="13">
        <f>$B$7*(A1219*S$71+B1219*T$71+C1219*U$71+D1219*V$71)+F1219/100*$B$7*X$71-$C$71</f>
        <v/>
      </c>
      <c r="K1219" s="13">
        <f>$B$7*(A1219*Z$71+B1219*AA$71+C1219*AB$71+D1219*AC$71)+F1219/100*$B$7*AE$71-$C$71</f>
        <v/>
      </c>
      <c r="L1219" s="13">
        <f>$B$7*(A1219*AG$71+B1219*AH$71+C1219*AI$71+D1219*AJ$71)+F1219/100*$B$7*AL$71-$C$71</f>
        <v/>
      </c>
      <c r="M1219" s="13">
        <f>$B$7*(A1219*AN$71+B1219*AO$71+C1219*AP$71+D1219*AQ$71)+F1219/100*$B$7*AS$71-$C$71</f>
        <v/>
      </c>
      <c r="N1219" s="13">
        <f>SUMPRODUCT($H$24:$M$24,H1219:M1219)</f>
        <v/>
      </c>
      <c r="O1219" s="14">
        <f>SQRT(SUMPRODUCT($H$24:$M$24,(H1219:M1219-N1219)^2))</f>
        <v/>
      </c>
      <c r="P1219" s="13">
        <f>MIN(H1219:M1219)</f>
        <v/>
      </c>
      <c r="Q1219" s="13">
        <f>MAX(H1219:M1219)</f>
        <v/>
      </c>
      <c r="R1219" s="27">
        <f>IF(G1219,SUMPRODUCT(($G$76:$G$1505)*($N$76:$N$1505&gt;=N1219)*($O$76:$O$1505&lt;=O1219))=1,FALSE)</f>
        <v/>
      </c>
      <c r="S1219" s="16">
        <f>IF(R1219,ABS((O1219-$AC$76)/MAX(0.0001,$AC$77-$AC$76)-(N1219-$AC$78)/MAX(0.0001,$AC$79-$AC$78)),-1)</f>
        <v/>
      </c>
      <c r="T1219" s="14">
        <f>IF(G1219,O1219,NA())</f>
        <v/>
      </c>
      <c r="U1219" s="13">
        <f>IF(G1219,N1219,NA())</f>
        <v/>
      </c>
      <c r="V1219" s="14">
        <f>IF(R1219,O1219,NA())</f>
        <v/>
      </c>
      <c r="W1219" s="13">
        <f>IF(R1219,N1219,NA())</f>
        <v/>
      </c>
      <c r="X1219" s="27">
        <f>IF(G1219,P1219,"")</f>
        <v/>
      </c>
      <c r="Y1219" s="27">
        <f>IF(G1219,N1219,"")</f>
        <v/>
      </c>
      <c r="Z1219" s="27">
        <f>IF(R1219,O1219,"")</f>
        <v/>
      </c>
      <c r="AA1219" s="27">
        <f>IF(R1219,N1219,"")</f>
        <v/>
      </c>
    </row>
    <row r="1220">
      <c r="A1220" s="31" t="n">
        <v>0.4</v>
      </c>
      <c r="B1220" s="31" t="n">
        <v>0.5</v>
      </c>
      <c r="C1220" s="31" t="n">
        <v>0.1</v>
      </c>
      <c r="D1220" s="31" t="n">
        <v>0</v>
      </c>
      <c r="E1220" s="27" t="inlineStr">
        <is>
          <t>ON 40%/1M 50%/2M 10%</t>
        </is>
      </c>
      <c r="F1220" s="27" t="n">
        <v>100</v>
      </c>
      <c r="G1220" s="27">
        <f>A1220*$B$7&gt;=$B$9</f>
        <v/>
      </c>
      <c r="H1220" s="13">
        <f>$B$7*(A1220*E$71+B1220*F$71+C1220*G$71+D1220*H$71)+F1220/100*$B$7*J$71-$C$71</f>
        <v/>
      </c>
      <c r="I1220" s="13">
        <f>$B$7*(A1220*L$71+B1220*M$71+C1220*N$71+D1220*O$71)+F1220/100*$B$7*Q$71-$C$71</f>
        <v/>
      </c>
      <c r="J1220" s="13">
        <f>$B$7*(A1220*S$71+B1220*T$71+C1220*U$71+D1220*V$71)+F1220/100*$B$7*X$71-$C$71</f>
        <v/>
      </c>
      <c r="K1220" s="13">
        <f>$B$7*(A1220*Z$71+B1220*AA$71+C1220*AB$71+D1220*AC$71)+F1220/100*$B$7*AE$71-$C$71</f>
        <v/>
      </c>
      <c r="L1220" s="13">
        <f>$B$7*(A1220*AG$71+B1220*AH$71+C1220*AI$71+D1220*AJ$71)+F1220/100*$B$7*AL$71-$C$71</f>
        <v/>
      </c>
      <c r="M1220" s="13">
        <f>$B$7*(A1220*AN$71+B1220*AO$71+C1220*AP$71+D1220*AQ$71)+F1220/100*$B$7*AS$71-$C$71</f>
        <v/>
      </c>
      <c r="N1220" s="13">
        <f>SUMPRODUCT($H$24:$M$24,H1220:M1220)</f>
        <v/>
      </c>
      <c r="O1220" s="14">
        <f>SQRT(SUMPRODUCT($H$24:$M$24,(H1220:M1220-N1220)^2))</f>
        <v/>
      </c>
      <c r="P1220" s="13">
        <f>MIN(H1220:M1220)</f>
        <v/>
      </c>
      <c r="Q1220" s="13">
        <f>MAX(H1220:M1220)</f>
        <v/>
      </c>
      <c r="R1220" s="27">
        <f>IF(G1220,SUMPRODUCT(($G$76:$G$1505)*($N$76:$N$1505&gt;=N1220)*($O$76:$O$1505&lt;=O1220))=1,FALSE)</f>
        <v/>
      </c>
      <c r="S1220" s="16">
        <f>IF(R1220,ABS((O1220-$AC$76)/MAX(0.0001,$AC$77-$AC$76)-(N1220-$AC$78)/MAX(0.0001,$AC$79-$AC$78)),-1)</f>
        <v/>
      </c>
      <c r="T1220" s="14">
        <f>IF(G1220,O1220,NA())</f>
        <v/>
      </c>
      <c r="U1220" s="13">
        <f>IF(G1220,N1220,NA())</f>
        <v/>
      </c>
      <c r="V1220" s="14">
        <f>IF(R1220,O1220,NA())</f>
        <v/>
      </c>
      <c r="W1220" s="13">
        <f>IF(R1220,N1220,NA())</f>
        <v/>
      </c>
      <c r="X1220" s="27">
        <f>IF(G1220,P1220,"")</f>
        <v/>
      </c>
      <c r="Y1220" s="27">
        <f>IF(G1220,N1220,"")</f>
        <v/>
      </c>
      <c r="Z1220" s="27">
        <f>IF(R1220,O1220,"")</f>
        <v/>
      </c>
      <c r="AA1220" s="27">
        <f>IF(R1220,N1220,"")</f>
        <v/>
      </c>
    </row>
    <row r="1221">
      <c r="A1221" s="31" t="n">
        <v>0.4</v>
      </c>
      <c r="B1221" s="31" t="n">
        <v>0.6</v>
      </c>
      <c r="C1221" s="31" t="n">
        <v>0</v>
      </c>
      <c r="D1221" s="31" t="n">
        <v>0</v>
      </c>
      <c r="E1221" s="27" t="inlineStr">
        <is>
          <t>ON 40%/1M 60%</t>
        </is>
      </c>
      <c r="F1221" s="27" t="n">
        <v>0</v>
      </c>
      <c r="G1221" s="27">
        <f>A1221*$B$7&gt;=$B$9</f>
        <v/>
      </c>
      <c r="H1221" s="13">
        <f>$B$7*(A1221*E$71+B1221*F$71+C1221*G$71+D1221*H$71)+F1221/100*$B$7*J$71-$C$71</f>
        <v/>
      </c>
      <c r="I1221" s="13">
        <f>$B$7*(A1221*L$71+B1221*M$71+C1221*N$71+D1221*O$71)+F1221/100*$B$7*Q$71-$C$71</f>
        <v/>
      </c>
      <c r="J1221" s="13">
        <f>$B$7*(A1221*S$71+B1221*T$71+C1221*U$71+D1221*V$71)+F1221/100*$B$7*X$71-$C$71</f>
        <v/>
      </c>
      <c r="K1221" s="13">
        <f>$B$7*(A1221*Z$71+B1221*AA$71+C1221*AB$71+D1221*AC$71)+F1221/100*$B$7*AE$71-$C$71</f>
        <v/>
      </c>
      <c r="L1221" s="13">
        <f>$B$7*(A1221*AG$71+B1221*AH$71+C1221*AI$71+D1221*AJ$71)+F1221/100*$B$7*AL$71-$C$71</f>
        <v/>
      </c>
      <c r="M1221" s="13">
        <f>$B$7*(A1221*AN$71+B1221*AO$71+C1221*AP$71+D1221*AQ$71)+F1221/100*$B$7*AS$71-$C$71</f>
        <v/>
      </c>
      <c r="N1221" s="13">
        <f>SUMPRODUCT($H$24:$M$24,H1221:M1221)</f>
        <v/>
      </c>
      <c r="O1221" s="14">
        <f>SQRT(SUMPRODUCT($H$24:$M$24,(H1221:M1221-N1221)^2))</f>
        <v/>
      </c>
      <c r="P1221" s="13">
        <f>MIN(H1221:M1221)</f>
        <v/>
      </c>
      <c r="Q1221" s="13">
        <f>MAX(H1221:M1221)</f>
        <v/>
      </c>
      <c r="R1221" s="27">
        <f>IF(G1221,SUMPRODUCT(($G$76:$G$1505)*($N$76:$N$1505&gt;=N1221)*($O$76:$O$1505&lt;=O1221))=1,FALSE)</f>
        <v/>
      </c>
      <c r="S1221" s="16">
        <f>IF(R1221,ABS((O1221-$AC$76)/MAX(0.0001,$AC$77-$AC$76)-(N1221-$AC$78)/MAX(0.0001,$AC$79-$AC$78)),-1)</f>
        <v/>
      </c>
      <c r="T1221" s="14">
        <f>IF(G1221,O1221,NA())</f>
        <v/>
      </c>
      <c r="U1221" s="13">
        <f>IF(G1221,N1221,NA())</f>
        <v/>
      </c>
      <c r="V1221" s="14">
        <f>IF(R1221,O1221,NA())</f>
        <v/>
      </c>
      <c r="W1221" s="13">
        <f>IF(R1221,N1221,NA())</f>
        <v/>
      </c>
      <c r="X1221" s="27">
        <f>IF(G1221,P1221,"")</f>
        <v/>
      </c>
      <c r="Y1221" s="27">
        <f>IF(G1221,N1221,"")</f>
        <v/>
      </c>
      <c r="Z1221" s="27">
        <f>IF(R1221,O1221,"")</f>
        <v/>
      </c>
      <c r="AA1221" s="27">
        <f>IF(R1221,N1221,"")</f>
        <v/>
      </c>
    </row>
    <row r="1222">
      <c r="A1222" s="31" t="n">
        <v>0.4</v>
      </c>
      <c r="B1222" s="31" t="n">
        <v>0.6</v>
      </c>
      <c r="C1222" s="31" t="n">
        <v>0</v>
      </c>
      <c r="D1222" s="31" t="n">
        <v>0</v>
      </c>
      <c r="E1222" s="27" t="inlineStr">
        <is>
          <t>ON 40%/1M 60%</t>
        </is>
      </c>
      <c r="F1222" s="27" t="n">
        <v>25</v>
      </c>
      <c r="G1222" s="27">
        <f>A1222*$B$7&gt;=$B$9</f>
        <v/>
      </c>
      <c r="H1222" s="13">
        <f>$B$7*(A1222*E$71+B1222*F$71+C1222*G$71+D1222*H$71)+F1222/100*$B$7*J$71-$C$71</f>
        <v/>
      </c>
      <c r="I1222" s="13">
        <f>$B$7*(A1222*L$71+B1222*M$71+C1222*N$71+D1222*O$71)+F1222/100*$B$7*Q$71-$C$71</f>
        <v/>
      </c>
      <c r="J1222" s="13">
        <f>$B$7*(A1222*S$71+B1222*T$71+C1222*U$71+D1222*V$71)+F1222/100*$B$7*X$71-$C$71</f>
        <v/>
      </c>
      <c r="K1222" s="13">
        <f>$B$7*(A1222*Z$71+B1222*AA$71+C1222*AB$71+D1222*AC$71)+F1222/100*$B$7*AE$71-$C$71</f>
        <v/>
      </c>
      <c r="L1222" s="13">
        <f>$B$7*(A1222*AG$71+B1222*AH$71+C1222*AI$71+D1222*AJ$71)+F1222/100*$B$7*AL$71-$C$71</f>
        <v/>
      </c>
      <c r="M1222" s="13">
        <f>$B$7*(A1222*AN$71+B1222*AO$71+C1222*AP$71+D1222*AQ$71)+F1222/100*$B$7*AS$71-$C$71</f>
        <v/>
      </c>
      <c r="N1222" s="13">
        <f>SUMPRODUCT($H$24:$M$24,H1222:M1222)</f>
        <v/>
      </c>
      <c r="O1222" s="14">
        <f>SQRT(SUMPRODUCT($H$24:$M$24,(H1222:M1222-N1222)^2))</f>
        <v/>
      </c>
      <c r="P1222" s="13">
        <f>MIN(H1222:M1222)</f>
        <v/>
      </c>
      <c r="Q1222" s="13">
        <f>MAX(H1222:M1222)</f>
        <v/>
      </c>
      <c r="R1222" s="27">
        <f>IF(G1222,SUMPRODUCT(($G$76:$G$1505)*($N$76:$N$1505&gt;=N1222)*($O$76:$O$1505&lt;=O1222))=1,FALSE)</f>
        <v/>
      </c>
      <c r="S1222" s="16">
        <f>IF(R1222,ABS((O1222-$AC$76)/MAX(0.0001,$AC$77-$AC$76)-(N1222-$AC$78)/MAX(0.0001,$AC$79-$AC$78)),-1)</f>
        <v/>
      </c>
      <c r="T1222" s="14">
        <f>IF(G1222,O1222,NA())</f>
        <v/>
      </c>
      <c r="U1222" s="13">
        <f>IF(G1222,N1222,NA())</f>
        <v/>
      </c>
      <c r="V1222" s="14">
        <f>IF(R1222,O1222,NA())</f>
        <v/>
      </c>
      <c r="W1222" s="13">
        <f>IF(R1222,N1222,NA())</f>
        <v/>
      </c>
      <c r="X1222" s="27">
        <f>IF(G1222,P1222,"")</f>
        <v/>
      </c>
      <c r="Y1222" s="27">
        <f>IF(G1222,N1222,"")</f>
        <v/>
      </c>
      <c r="Z1222" s="27">
        <f>IF(R1222,O1222,"")</f>
        <v/>
      </c>
      <c r="AA1222" s="27">
        <f>IF(R1222,N1222,"")</f>
        <v/>
      </c>
    </row>
    <row r="1223">
      <c r="A1223" s="31" t="n">
        <v>0.4</v>
      </c>
      <c r="B1223" s="31" t="n">
        <v>0.6</v>
      </c>
      <c r="C1223" s="31" t="n">
        <v>0</v>
      </c>
      <c r="D1223" s="31" t="n">
        <v>0</v>
      </c>
      <c r="E1223" s="27" t="inlineStr">
        <is>
          <t>ON 40%/1M 60%</t>
        </is>
      </c>
      <c r="F1223" s="27" t="n">
        <v>50</v>
      </c>
      <c r="G1223" s="27">
        <f>A1223*$B$7&gt;=$B$9</f>
        <v/>
      </c>
      <c r="H1223" s="13">
        <f>$B$7*(A1223*E$71+B1223*F$71+C1223*G$71+D1223*H$71)+F1223/100*$B$7*J$71-$C$71</f>
        <v/>
      </c>
      <c r="I1223" s="13">
        <f>$B$7*(A1223*L$71+B1223*M$71+C1223*N$71+D1223*O$71)+F1223/100*$B$7*Q$71-$C$71</f>
        <v/>
      </c>
      <c r="J1223" s="13">
        <f>$B$7*(A1223*S$71+B1223*T$71+C1223*U$71+D1223*V$71)+F1223/100*$B$7*X$71-$C$71</f>
        <v/>
      </c>
      <c r="K1223" s="13">
        <f>$B$7*(A1223*Z$71+B1223*AA$71+C1223*AB$71+D1223*AC$71)+F1223/100*$B$7*AE$71-$C$71</f>
        <v/>
      </c>
      <c r="L1223" s="13">
        <f>$B$7*(A1223*AG$71+B1223*AH$71+C1223*AI$71+D1223*AJ$71)+F1223/100*$B$7*AL$71-$C$71</f>
        <v/>
      </c>
      <c r="M1223" s="13">
        <f>$B$7*(A1223*AN$71+B1223*AO$71+C1223*AP$71+D1223*AQ$71)+F1223/100*$B$7*AS$71-$C$71</f>
        <v/>
      </c>
      <c r="N1223" s="13">
        <f>SUMPRODUCT($H$24:$M$24,H1223:M1223)</f>
        <v/>
      </c>
      <c r="O1223" s="14">
        <f>SQRT(SUMPRODUCT($H$24:$M$24,(H1223:M1223-N1223)^2))</f>
        <v/>
      </c>
      <c r="P1223" s="13">
        <f>MIN(H1223:M1223)</f>
        <v/>
      </c>
      <c r="Q1223" s="13">
        <f>MAX(H1223:M1223)</f>
        <v/>
      </c>
      <c r="R1223" s="27">
        <f>IF(G1223,SUMPRODUCT(($G$76:$G$1505)*($N$76:$N$1505&gt;=N1223)*($O$76:$O$1505&lt;=O1223))=1,FALSE)</f>
        <v/>
      </c>
      <c r="S1223" s="16">
        <f>IF(R1223,ABS((O1223-$AC$76)/MAX(0.0001,$AC$77-$AC$76)-(N1223-$AC$78)/MAX(0.0001,$AC$79-$AC$78)),-1)</f>
        <v/>
      </c>
      <c r="T1223" s="14">
        <f>IF(G1223,O1223,NA())</f>
        <v/>
      </c>
      <c r="U1223" s="13">
        <f>IF(G1223,N1223,NA())</f>
        <v/>
      </c>
      <c r="V1223" s="14">
        <f>IF(R1223,O1223,NA())</f>
        <v/>
      </c>
      <c r="W1223" s="13">
        <f>IF(R1223,N1223,NA())</f>
        <v/>
      </c>
      <c r="X1223" s="27">
        <f>IF(G1223,P1223,"")</f>
        <v/>
      </c>
      <c r="Y1223" s="27">
        <f>IF(G1223,N1223,"")</f>
        <v/>
      </c>
      <c r="Z1223" s="27">
        <f>IF(R1223,O1223,"")</f>
        <v/>
      </c>
      <c r="AA1223" s="27">
        <f>IF(R1223,N1223,"")</f>
        <v/>
      </c>
    </row>
    <row r="1224">
      <c r="A1224" s="31" t="n">
        <v>0.4</v>
      </c>
      <c r="B1224" s="31" t="n">
        <v>0.6</v>
      </c>
      <c r="C1224" s="31" t="n">
        <v>0</v>
      </c>
      <c r="D1224" s="31" t="n">
        <v>0</v>
      </c>
      <c r="E1224" s="27" t="inlineStr">
        <is>
          <t>ON 40%/1M 60%</t>
        </is>
      </c>
      <c r="F1224" s="27" t="n">
        <v>75</v>
      </c>
      <c r="G1224" s="27">
        <f>A1224*$B$7&gt;=$B$9</f>
        <v/>
      </c>
      <c r="H1224" s="13">
        <f>$B$7*(A1224*E$71+B1224*F$71+C1224*G$71+D1224*H$71)+F1224/100*$B$7*J$71-$C$71</f>
        <v/>
      </c>
      <c r="I1224" s="13">
        <f>$B$7*(A1224*L$71+B1224*M$71+C1224*N$71+D1224*O$71)+F1224/100*$B$7*Q$71-$C$71</f>
        <v/>
      </c>
      <c r="J1224" s="13">
        <f>$B$7*(A1224*S$71+B1224*T$71+C1224*U$71+D1224*V$71)+F1224/100*$B$7*X$71-$C$71</f>
        <v/>
      </c>
      <c r="K1224" s="13">
        <f>$B$7*(A1224*Z$71+B1224*AA$71+C1224*AB$71+D1224*AC$71)+F1224/100*$B$7*AE$71-$C$71</f>
        <v/>
      </c>
      <c r="L1224" s="13">
        <f>$B$7*(A1224*AG$71+B1224*AH$71+C1224*AI$71+D1224*AJ$71)+F1224/100*$B$7*AL$71-$C$71</f>
        <v/>
      </c>
      <c r="M1224" s="13">
        <f>$B$7*(A1224*AN$71+B1224*AO$71+C1224*AP$71+D1224*AQ$71)+F1224/100*$B$7*AS$71-$C$71</f>
        <v/>
      </c>
      <c r="N1224" s="13">
        <f>SUMPRODUCT($H$24:$M$24,H1224:M1224)</f>
        <v/>
      </c>
      <c r="O1224" s="14">
        <f>SQRT(SUMPRODUCT($H$24:$M$24,(H1224:M1224-N1224)^2))</f>
        <v/>
      </c>
      <c r="P1224" s="13">
        <f>MIN(H1224:M1224)</f>
        <v/>
      </c>
      <c r="Q1224" s="13">
        <f>MAX(H1224:M1224)</f>
        <v/>
      </c>
      <c r="R1224" s="27">
        <f>IF(G1224,SUMPRODUCT(($G$76:$G$1505)*($N$76:$N$1505&gt;=N1224)*($O$76:$O$1505&lt;=O1224))=1,FALSE)</f>
        <v/>
      </c>
      <c r="S1224" s="16">
        <f>IF(R1224,ABS((O1224-$AC$76)/MAX(0.0001,$AC$77-$AC$76)-(N1224-$AC$78)/MAX(0.0001,$AC$79-$AC$78)),-1)</f>
        <v/>
      </c>
      <c r="T1224" s="14">
        <f>IF(G1224,O1224,NA())</f>
        <v/>
      </c>
      <c r="U1224" s="13">
        <f>IF(G1224,N1224,NA())</f>
        <v/>
      </c>
      <c r="V1224" s="14">
        <f>IF(R1224,O1224,NA())</f>
        <v/>
      </c>
      <c r="W1224" s="13">
        <f>IF(R1224,N1224,NA())</f>
        <v/>
      </c>
      <c r="X1224" s="27">
        <f>IF(G1224,P1224,"")</f>
        <v/>
      </c>
      <c r="Y1224" s="27">
        <f>IF(G1224,N1224,"")</f>
        <v/>
      </c>
      <c r="Z1224" s="27">
        <f>IF(R1224,O1224,"")</f>
        <v/>
      </c>
      <c r="AA1224" s="27">
        <f>IF(R1224,N1224,"")</f>
        <v/>
      </c>
    </row>
    <row r="1225">
      <c r="A1225" s="31" t="n">
        <v>0.4</v>
      </c>
      <c r="B1225" s="31" t="n">
        <v>0.6</v>
      </c>
      <c r="C1225" s="31" t="n">
        <v>0</v>
      </c>
      <c r="D1225" s="31" t="n">
        <v>0</v>
      </c>
      <c r="E1225" s="27" t="inlineStr">
        <is>
          <t>ON 40%/1M 60%</t>
        </is>
      </c>
      <c r="F1225" s="27" t="n">
        <v>100</v>
      </c>
      <c r="G1225" s="27">
        <f>A1225*$B$7&gt;=$B$9</f>
        <v/>
      </c>
      <c r="H1225" s="13">
        <f>$B$7*(A1225*E$71+B1225*F$71+C1225*G$71+D1225*H$71)+F1225/100*$B$7*J$71-$C$71</f>
        <v/>
      </c>
      <c r="I1225" s="13">
        <f>$B$7*(A1225*L$71+B1225*M$71+C1225*N$71+D1225*O$71)+F1225/100*$B$7*Q$71-$C$71</f>
        <v/>
      </c>
      <c r="J1225" s="13">
        <f>$B$7*(A1225*S$71+B1225*T$71+C1225*U$71+D1225*V$71)+F1225/100*$B$7*X$71-$C$71</f>
        <v/>
      </c>
      <c r="K1225" s="13">
        <f>$B$7*(A1225*Z$71+B1225*AA$71+C1225*AB$71+D1225*AC$71)+F1225/100*$B$7*AE$71-$C$71</f>
        <v/>
      </c>
      <c r="L1225" s="13">
        <f>$B$7*(A1225*AG$71+B1225*AH$71+C1225*AI$71+D1225*AJ$71)+F1225/100*$B$7*AL$71-$C$71</f>
        <v/>
      </c>
      <c r="M1225" s="13">
        <f>$B$7*(A1225*AN$71+B1225*AO$71+C1225*AP$71+D1225*AQ$71)+F1225/100*$B$7*AS$71-$C$71</f>
        <v/>
      </c>
      <c r="N1225" s="13">
        <f>SUMPRODUCT($H$24:$M$24,H1225:M1225)</f>
        <v/>
      </c>
      <c r="O1225" s="14">
        <f>SQRT(SUMPRODUCT($H$24:$M$24,(H1225:M1225-N1225)^2))</f>
        <v/>
      </c>
      <c r="P1225" s="13">
        <f>MIN(H1225:M1225)</f>
        <v/>
      </c>
      <c r="Q1225" s="13">
        <f>MAX(H1225:M1225)</f>
        <v/>
      </c>
      <c r="R1225" s="27">
        <f>IF(G1225,SUMPRODUCT(($G$76:$G$1505)*($N$76:$N$1505&gt;=N1225)*($O$76:$O$1505&lt;=O1225))=1,FALSE)</f>
        <v/>
      </c>
      <c r="S1225" s="16">
        <f>IF(R1225,ABS((O1225-$AC$76)/MAX(0.0001,$AC$77-$AC$76)-(N1225-$AC$78)/MAX(0.0001,$AC$79-$AC$78)),-1)</f>
        <v/>
      </c>
      <c r="T1225" s="14">
        <f>IF(G1225,O1225,NA())</f>
        <v/>
      </c>
      <c r="U1225" s="13">
        <f>IF(G1225,N1225,NA())</f>
        <v/>
      </c>
      <c r="V1225" s="14">
        <f>IF(R1225,O1225,NA())</f>
        <v/>
      </c>
      <c r="W1225" s="13">
        <f>IF(R1225,N1225,NA())</f>
        <v/>
      </c>
      <c r="X1225" s="27">
        <f>IF(G1225,P1225,"")</f>
        <v/>
      </c>
      <c r="Y1225" s="27">
        <f>IF(G1225,N1225,"")</f>
        <v/>
      </c>
      <c r="Z1225" s="27">
        <f>IF(R1225,O1225,"")</f>
        <v/>
      </c>
      <c r="AA1225" s="27">
        <f>IF(R1225,N1225,"")</f>
        <v/>
      </c>
    </row>
    <row r="1226">
      <c r="A1226" s="31" t="n">
        <v>0.5</v>
      </c>
      <c r="B1226" s="31" t="n">
        <v>0</v>
      </c>
      <c r="C1226" s="31" t="n">
        <v>0</v>
      </c>
      <c r="D1226" s="31" t="n">
        <v>0.5</v>
      </c>
      <c r="E1226" s="27" t="inlineStr">
        <is>
          <t>ON 50%/3M 50%</t>
        </is>
      </c>
      <c r="F1226" s="27" t="n">
        <v>0</v>
      </c>
      <c r="G1226" s="27">
        <f>A1226*$B$7&gt;=$B$9</f>
        <v/>
      </c>
      <c r="H1226" s="13">
        <f>$B$7*(A1226*E$71+B1226*F$71+C1226*G$71+D1226*H$71)+F1226/100*$B$7*J$71-$C$71</f>
        <v/>
      </c>
      <c r="I1226" s="13">
        <f>$B$7*(A1226*L$71+B1226*M$71+C1226*N$71+D1226*O$71)+F1226/100*$B$7*Q$71-$C$71</f>
        <v/>
      </c>
      <c r="J1226" s="13">
        <f>$B$7*(A1226*S$71+B1226*T$71+C1226*U$71+D1226*V$71)+F1226/100*$B$7*X$71-$C$71</f>
        <v/>
      </c>
      <c r="K1226" s="13">
        <f>$B$7*(A1226*Z$71+B1226*AA$71+C1226*AB$71+D1226*AC$71)+F1226/100*$B$7*AE$71-$C$71</f>
        <v/>
      </c>
      <c r="L1226" s="13">
        <f>$B$7*(A1226*AG$71+B1226*AH$71+C1226*AI$71+D1226*AJ$71)+F1226/100*$B$7*AL$71-$C$71</f>
        <v/>
      </c>
      <c r="M1226" s="13">
        <f>$B$7*(A1226*AN$71+B1226*AO$71+C1226*AP$71+D1226*AQ$71)+F1226/100*$B$7*AS$71-$C$71</f>
        <v/>
      </c>
      <c r="N1226" s="13">
        <f>SUMPRODUCT($H$24:$M$24,H1226:M1226)</f>
        <v/>
      </c>
      <c r="O1226" s="14">
        <f>SQRT(SUMPRODUCT($H$24:$M$24,(H1226:M1226-N1226)^2))</f>
        <v/>
      </c>
      <c r="P1226" s="13">
        <f>MIN(H1226:M1226)</f>
        <v/>
      </c>
      <c r="Q1226" s="13">
        <f>MAX(H1226:M1226)</f>
        <v/>
      </c>
      <c r="R1226" s="27">
        <f>IF(G1226,SUMPRODUCT(($G$76:$G$1505)*($N$76:$N$1505&gt;=N1226)*($O$76:$O$1505&lt;=O1226))=1,FALSE)</f>
        <v/>
      </c>
      <c r="S1226" s="16">
        <f>IF(R1226,ABS((O1226-$AC$76)/MAX(0.0001,$AC$77-$AC$76)-(N1226-$AC$78)/MAX(0.0001,$AC$79-$AC$78)),-1)</f>
        <v/>
      </c>
      <c r="T1226" s="14">
        <f>IF(G1226,O1226,NA())</f>
        <v/>
      </c>
      <c r="U1226" s="13">
        <f>IF(G1226,N1226,NA())</f>
        <v/>
      </c>
      <c r="V1226" s="14">
        <f>IF(R1226,O1226,NA())</f>
        <v/>
      </c>
      <c r="W1226" s="13">
        <f>IF(R1226,N1226,NA())</f>
        <v/>
      </c>
      <c r="X1226" s="27">
        <f>IF(G1226,P1226,"")</f>
        <v/>
      </c>
      <c r="Y1226" s="27">
        <f>IF(G1226,N1226,"")</f>
        <v/>
      </c>
      <c r="Z1226" s="27">
        <f>IF(R1226,O1226,"")</f>
        <v/>
      </c>
      <c r="AA1226" s="27">
        <f>IF(R1226,N1226,"")</f>
        <v/>
      </c>
    </row>
    <row r="1227">
      <c r="A1227" s="31" t="n">
        <v>0.5</v>
      </c>
      <c r="B1227" s="31" t="n">
        <v>0</v>
      </c>
      <c r="C1227" s="31" t="n">
        <v>0</v>
      </c>
      <c r="D1227" s="31" t="n">
        <v>0.5</v>
      </c>
      <c r="E1227" s="27" t="inlineStr">
        <is>
          <t>ON 50%/3M 50%</t>
        </is>
      </c>
      <c r="F1227" s="27" t="n">
        <v>25</v>
      </c>
      <c r="G1227" s="27">
        <f>A1227*$B$7&gt;=$B$9</f>
        <v/>
      </c>
      <c r="H1227" s="13">
        <f>$B$7*(A1227*E$71+B1227*F$71+C1227*G$71+D1227*H$71)+F1227/100*$B$7*J$71-$C$71</f>
        <v/>
      </c>
      <c r="I1227" s="13">
        <f>$B$7*(A1227*L$71+B1227*M$71+C1227*N$71+D1227*O$71)+F1227/100*$B$7*Q$71-$C$71</f>
        <v/>
      </c>
      <c r="J1227" s="13">
        <f>$B$7*(A1227*S$71+B1227*T$71+C1227*U$71+D1227*V$71)+F1227/100*$B$7*X$71-$C$71</f>
        <v/>
      </c>
      <c r="K1227" s="13">
        <f>$B$7*(A1227*Z$71+B1227*AA$71+C1227*AB$71+D1227*AC$71)+F1227/100*$B$7*AE$71-$C$71</f>
        <v/>
      </c>
      <c r="L1227" s="13">
        <f>$B$7*(A1227*AG$71+B1227*AH$71+C1227*AI$71+D1227*AJ$71)+F1227/100*$B$7*AL$71-$C$71</f>
        <v/>
      </c>
      <c r="M1227" s="13">
        <f>$B$7*(A1227*AN$71+B1227*AO$71+C1227*AP$71+D1227*AQ$71)+F1227/100*$B$7*AS$71-$C$71</f>
        <v/>
      </c>
      <c r="N1227" s="13">
        <f>SUMPRODUCT($H$24:$M$24,H1227:M1227)</f>
        <v/>
      </c>
      <c r="O1227" s="14">
        <f>SQRT(SUMPRODUCT($H$24:$M$24,(H1227:M1227-N1227)^2))</f>
        <v/>
      </c>
      <c r="P1227" s="13">
        <f>MIN(H1227:M1227)</f>
        <v/>
      </c>
      <c r="Q1227" s="13">
        <f>MAX(H1227:M1227)</f>
        <v/>
      </c>
      <c r="R1227" s="27">
        <f>IF(G1227,SUMPRODUCT(($G$76:$G$1505)*($N$76:$N$1505&gt;=N1227)*($O$76:$O$1505&lt;=O1227))=1,FALSE)</f>
        <v/>
      </c>
      <c r="S1227" s="16">
        <f>IF(R1227,ABS((O1227-$AC$76)/MAX(0.0001,$AC$77-$AC$76)-(N1227-$AC$78)/MAX(0.0001,$AC$79-$AC$78)),-1)</f>
        <v/>
      </c>
      <c r="T1227" s="14">
        <f>IF(G1227,O1227,NA())</f>
        <v/>
      </c>
      <c r="U1227" s="13">
        <f>IF(G1227,N1227,NA())</f>
        <v/>
      </c>
      <c r="V1227" s="14">
        <f>IF(R1227,O1227,NA())</f>
        <v/>
      </c>
      <c r="W1227" s="13">
        <f>IF(R1227,N1227,NA())</f>
        <v/>
      </c>
      <c r="X1227" s="27">
        <f>IF(G1227,P1227,"")</f>
        <v/>
      </c>
      <c r="Y1227" s="27">
        <f>IF(G1227,N1227,"")</f>
        <v/>
      </c>
      <c r="Z1227" s="27">
        <f>IF(R1227,O1227,"")</f>
        <v/>
      </c>
      <c r="AA1227" s="27">
        <f>IF(R1227,N1227,"")</f>
        <v/>
      </c>
    </row>
    <row r="1228">
      <c r="A1228" s="31" t="n">
        <v>0.5</v>
      </c>
      <c r="B1228" s="31" t="n">
        <v>0</v>
      </c>
      <c r="C1228" s="31" t="n">
        <v>0</v>
      </c>
      <c r="D1228" s="31" t="n">
        <v>0.5</v>
      </c>
      <c r="E1228" s="27" t="inlineStr">
        <is>
          <t>ON 50%/3M 50%</t>
        </is>
      </c>
      <c r="F1228" s="27" t="n">
        <v>50</v>
      </c>
      <c r="G1228" s="27">
        <f>A1228*$B$7&gt;=$B$9</f>
        <v/>
      </c>
      <c r="H1228" s="13">
        <f>$B$7*(A1228*E$71+B1228*F$71+C1228*G$71+D1228*H$71)+F1228/100*$B$7*J$71-$C$71</f>
        <v/>
      </c>
      <c r="I1228" s="13">
        <f>$B$7*(A1228*L$71+B1228*M$71+C1228*N$71+D1228*O$71)+F1228/100*$B$7*Q$71-$C$71</f>
        <v/>
      </c>
      <c r="J1228" s="13">
        <f>$B$7*(A1228*S$71+B1228*T$71+C1228*U$71+D1228*V$71)+F1228/100*$B$7*X$71-$C$71</f>
        <v/>
      </c>
      <c r="K1228" s="13">
        <f>$B$7*(A1228*Z$71+B1228*AA$71+C1228*AB$71+D1228*AC$71)+F1228/100*$B$7*AE$71-$C$71</f>
        <v/>
      </c>
      <c r="L1228" s="13">
        <f>$B$7*(A1228*AG$71+B1228*AH$71+C1228*AI$71+D1228*AJ$71)+F1228/100*$B$7*AL$71-$C$71</f>
        <v/>
      </c>
      <c r="M1228" s="13">
        <f>$B$7*(A1228*AN$71+B1228*AO$71+C1228*AP$71+D1228*AQ$71)+F1228/100*$B$7*AS$71-$C$71</f>
        <v/>
      </c>
      <c r="N1228" s="13">
        <f>SUMPRODUCT($H$24:$M$24,H1228:M1228)</f>
        <v/>
      </c>
      <c r="O1228" s="14">
        <f>SQRT(SUMPRODUCT($H$24:$M$24,(H1228:M1228-N1228)^2))</f>
        <v/>
      </c>
      <c r="P1228" s="13">
        <f>MIN(H1228:M1228)</f>
        <v/>
      </c>
      <c r="Q1228" s="13">
        <f>MAX(H1228:M1228)</f>
        <v/>
      </c>
      <c r="R1228" s="27">
        <f>IF(G1228,SUMPRODUCT(($G$76:$G$1505)*($N$76:$N$1505&gt;=N1228)*($O$76:$O$1505&lt;=O1228))=1,FALSE)</f>
        <v/>
      </c>
      <c r="S1228" s="16">
        <f>IF(R1228,ABS((O1228-$AC$76)/MAX(0.0001,$AC$77-$AC$76)-(N1228-$AC$78)/MAX(0.0001,$AC$79-$AC$78)),-1)</f>
        <v/>
      </c>
      <c r="T1228" s="14">
        <f>IF(G1228,O1228,NA())</f>
        <v/>
      </c>
      <c r="U1228" s="13">
        <f>IF(G1228,N1228,NA())</f>
        <v/>
      </c>
      <c r="V1228" s="14">
        <f>IF(R1228,O1228,NA())</f>
        <v/>
      </c>
      <c r="W1228" s="13">
        <f>IF(R1228,N1228,NA())</f>
        <v/>
      </c>
      <c r="X1228" s="27">
        <f>IF(G1228,P1228,"")</f>
        <v/>
      </c>
      <c r="Y1228" s="27">
        <f>IF(G1228,N1228,"")</f>
        <v/>
      </c>
      <c r="Z1228" s="27">
        <f>IF(R1228,O1228,"")</f>
        <v/>
      </c>
      <c r="AA1228" s="27">
        <f>IF(R1228,N1228,"")</f>
        <v/>
      </c>
    </row>
    <row r="1229">
      <c r="A1229" s="31" t="n">
        <v>0.5</v>
      </c>
      <c r="B1229" s="31" t="n">
        <v>0</v>
      </c>
      <c r="C1229" s="31" t="n">
        <v>0</v>
      </c>
      <c r="D1229" s="31" t="n">
        <v>0.5</v>
      </c>
      <c r="E1229" s="27" t="inlineStr">
        <is>
          <t>ON 50%/3M 50%</t>
        </is>
      </c>
      <c r="F1229" s="27" t="n">
        <v>75</v>
      </c>
      <c r="G1229" s="27">
        <f>A1229*$B$7&gt;=$B$9</f>
        <v/>
      </c>
      <c r="H1229" s="13">
        <f>$B$7*(A1229*E$71+B1229*F$71+C1229*G$71+D1229*H$71)+F1229/100*$B$7*J$71-$C$71</f>
        <v/>
      </c>
      <c r="I1229" s="13">
        <f>$B$7*(A1229*L$71+B1229*M$71+C1229*N$71+D1229*O$71)+F1229/100*$B$7*Q$71-$C$71</f>
        <v/>
      </c>
      <c r="J1229" s="13">
        <f>$B$7*(A1229*S$71+B1229*T$71+C1229*U$71+D1229*V$71)+F1229/100*$B$7*X$71-$C$71</f>
        <v/>
      </c>
      <c r="K1229" s="13">
        <f>$B$7*(A1229*Z$71+B1229*AA$71+C1229*AB$71+D1229*AC$71)+F1229/100*$B$7*AE$71-$C$71</f>
        <v/>
      </c>
      <c r="L1229" s="13">
        <f>$B$7*(A1229*AG$71+B1229*AH$71+C1229*AI$71+D1229*AJ$71)+F1229/100*$B$7*AL$71-$C$71</f>
        <v/>
      </c>
      <c r="M1229" s="13">
        <f>$B$7*(A1229*AN$71+B1229*AO$71+C1229*AP$71+D1229*AQ$71)+F1229/100*$B$7*AS$71-$C$71</f>
        <v/>
      </c>
      <c r="N1229" s="13">
        <f>SUMPRODUCT($H$24:$M$24,H1229:M1229)</f>
        <v/>
      </c>
      <c r="O1229" s="14">
        <f>SQRT(SUMPRODUCT($H$24:$M$24,(H1229:M1229-N1229)^2))</f>
        <v/>
      </c>
      <c r="P1229" s="13">
        <f>MIN(H1229:M1229)</f>
        <v/>
      </c>
      <c r="Q1229" s="13">
        <f>MAX(H1229:M1229)</f>
        <v/>
      </c>
      <c r="R1229" s="27">
        <f>IF(G1229,SUMPRODUCT(($G$76:$G$1505)*($N$76:$N$1505&gt;=N1229)*($O$76:$O$1505&lt;=O1229))=1,FALSE)</f>
        <v/>
      </c>
      <c r="S1229" s="16">
        <f>IF(R1229,ABS((O1229-$AC$76)/MAX(0.0001,$AC$77-$AC$76)-(N1229-$AC$78)/MAX(0.0001,$AC$79-$AC$78)),-1)</f>
        <v/>
      </c>
      <c r="T1229" s="14">
        <f>IF(G1229,O1229,NA())</f>
        <v/>
      </c>
      <c r="U1229" s="13">
        <f>IF(G1229,N1229,NA())</f>
        <v/>
      </c>
      <c r="V1229" s="14">
        <f>IF(R1229,O1229,NA())</f>
        <v/>
      </c>
      <c r="W1229" s="13">
        <f>IF(R1229,N1229,NA())</f>
        <v/>
      </c>
      <c r="X1229" s="27">
        <f>IF(G1229,P1229,"")</f>
        <v/>
      </c>
      <c r="Y1229" s="27">
        <f>IF(G1229,N1229,"")</f>
        <v/>
      </c>
      <c r="Z1229" s="27">
        <f>IF(R1229,O1229,"")</f>
        <v/>
      </c>
      <c r="AA1229" s="27">
        <f>IF(R1229,N1229,"")</f>
        <v/>
      </c>
    </row>
    <row r="1230">
      <c r="A1230" s="31" t="n">
        <v>0.5</v>
      </c>
      <c r="B1230" s="31" t="n">
        <v>0</v>
      </c>
      <c r="C1230" s="31" t="n">
        <v>0</v>
      </c>
      <c r="D1230" s="31" t="n">
        <v>0.5</v>
      </c>
      <c r="E1230" s="27" t="inlineStr">
        <is>
          <t>ON 50%/3M 50%</t>
        </is>
      </c>
      <c r="F1230" s="27" t="n">
        <v>100</v>
      </c>
      <c r="G1230" s="27">
        <f>A1230*$B$7&gt;=$B$9</f>
        <v/>
      </c>
      <c r="H1230" s="13">
        <f>$B$7*(A1230*E$71+B1230*F$71+C1230*G$71+D1230*H$71)+F1230/100*$B$7*J$71-$C$71</f>
        <v/>
      </c>
      <c r="I1230" s="13">
        <f>$B$7*(A1230*L$71+B1230*M$71+C1230*N$71+D1230*O$71)+F1230/100*$B$7*Q$71-$C$71</f>
        <v/>
      </c>
      <c r="J1230" s="13">
        <f>$B$7*(A1230*S$71+B1230*T$71+C1230*U$71+D1230*V$71)+F1230/100*$B$7*X$71-$C$71</f>
        <v/>
      </c>
      <c r="K1230" s="13">
        <f>$B$7*(A1230*Z$71+B1230*AA$71+C1230*AB$71+D1230*AC$71)+F1230/100*$B$7*AE$71-$C$71</f>
        <v/>
      </c>
      <c r="L1230" s="13">
        <f>$B$7*(A1230*AG$71+B1230*AH$71+C1230*AI$71+D1230*AJ$71)+F1230/100*$B$7*AL$71-$C$71</f>
        <v/>
      </c>
      <c r="M1230" s="13">
        <f>$B$7*(A1230*AN$71+B1230*AO$71+C1230*AP$71+D1230*AQ$71)+F1230/100*$B$7*AS$71-$C$71</f>
        <v/>
      </c>
      <c r="N1230" s="13">
        <f>SUMPRODUCT($H$24:$M$24,H1230:M1230)</f>
        <v/>
      </c>
      <c r="O1230" s="14">
        <f>SQRT(SUMPRODUCT($H$24:$M$24,(H1230:M1230-N1230)^2))</f>
        <v/>
      </c>
      <c r="P1230" s="13">
        <f>MIN(H1230:M1230)</f>
        <v/>
      </c>
      <c r="Q1230" s="13">
        <f>MAX(H1230:M1230)</f>
        <v/>
      </c>
      <c r="R1230" s="27">
        <f>IF(G1230,SUMPRODUCT(($G$76:$G$1505)*($N$76:$N$1505&gt;=N1230)*($O$76:$O$1505&lt;=O1230))=1,FALSE)</f>
        <v/>
      </c>
      <c r="S1230" s="16">
        <f>IF(R1230,ABS((O1230-$AC$76)/MAX(0.0001,$AC$77-$AC$76)-(N1230-$AC$78)/MAX(0.0001,$AC$79-$AC$78)),-1)</f>
        <v/>
      </c>
      <c r="T1230" s="14">
        <f>IF(G1230,O1230,NA())</f>
        <v/>
      </c>
      <c r="U1230" s="13">
        <f>IF(G1230,N1230,NA())</f>
        <v/>
      </c>
      <c r="V1230" s="14">
        <f>IF(R1230,O1230,NA())</f>
        <v/>
      </c>
      <c r="W1230" s="13">
        <f>IF(R1230,N1230,NA())</f>
        <v/>
      </c>
      <c r="X1230" s="27">
        <f>IF(G1230,P1230,"")</f>
        <v/>
      </c>
      <c r="Y1230" s="27">
        <f>IF(G1230,N1230,"")</f>
        <v/>
      </c>
      <c r="Z1230" s="27">
        <f>IF(R1230,O1230,"")</f>
        <v/>
      </c>
      <c r="AA1230" s="27">
        <f>IF(R1230,N1230,"")</f>
        <v/>
      </c>
    </row>
    <row r="1231">
      <c r="A1231" s="31" t="n">
        <v>0.5</v>
      </c>
      <c r="B1231" s="31" t="n">
        <v>0</v>
      </c>
      <c r="C1231" s="31" t="n">
        <v>0.1</v>
      </c>
      <c r="D1231" s="31" t="n">
        <v>0.4</v>
      </c>
      <c r="E1231" s="27" t="inlineStr">
        <is>
          <t>ON 50%/2M 10%/3M 40%</t>
        </is>
      </c>
      <c r="F1231" s="27" t="n">
        <v>0</v>
      </c>
      <c r="G1231" s="27">
        <f>A1231*$B$7&gt;=$B$9</f>
        <v/>
      </c>
      <c r="H1231" s="13">
        <f>$B$7*(A1231*E$71+B1231*F$71+C1231*G$71+D1231*H$71)+F1231/100*$B$7*J$71-$C$71</f>
        <v/>
      </c>
      <c r="I1231" s="13">
        <f>$B$7*(A1231*L$71+B1231*M$71+C1231*N$71+D1231*O$71)+F1231/100*$B$7*Q$71-$C$71</f>
        <v/>
      </c>
      <c r="J1231" s="13">
        <f>$B$7*(A1231*S$71+B1231*T$71+C1231*U$71+D1231*V$71)+F1231/100*$B$7*X$71-$C$71</f>
        <v/>
      </c>
      <c r="K1231" s="13">
        <f>$B$7*(A1231*Z$71+B1231*AA$71+C1231*AB$71+D1231*AC$71)+F1231/100*$B$7*AE$71-$C$71</f>
        <v/>
      </c>
      <c r="L1231" s="13">
        <f>$B$7*(A1231*AG$71+B1231*AH$71+C1231*AI$71+D1231*AJ$71)+F1231/100*$B$7*AL$71-$C$71</f>
        <v/>
      </c>
      <c r="M1231" s="13">
        <f>$B$7*(A1231*AN$71+B1231*AO$71+C1231*AP$71+D1231*AQ$71)+F1231/100*$B$7*AS$71-$C$71</f>
        <v/>
      </c>
      <c r="N1231" s="13">
        <f>SUMPRODUCT($H$24:$M$24,H1231:M1231)</f>
        <v/>
      </c>
      <c r="O1231" s="14">
        <f>SQRT(SUMPRODUCT($H$24:$M$24,(H1231:M1231-N1231)^2))</f>
        <v/>
      </c>
      <c r="P1231" s="13">
        <f>MIN(H1231:M1231)</f>
        <v/>
      </c>
      <c r="Q1231" s="13">
        <f>MAX(H1231:M1231)</f>
        <v/>
      </c>
      <c r="R1231" s="27">
        <f>IF(G1231,SUMPRODUCT(($G$76:$G$1505)*($N$76:$N$1505&gt;=N1231)*($O$76:$O$1505&lt;=O1231))=1,FALSE)</f>
        <v/>
      </c>
      <c r="S1231" s="16">
        <f>IF(R1231,ABS((O1231-$AC$76)/MAX(0.0001,$AC$77-$AC$76)-(N1231-$AC$78)/MAX(0.0001,$AC$79-$AC$78)),-1)</f>
        <v/>
      </c>
      <c r="T1231" s="14">
        <f>IF(G1231,O1231,NA())</f>
        <v/>
      </c>
      <c r="U1231" s="13">
        <f>IF(G1231,N1231,NA())</f>
        <v/>
      </c>
      <c r="V1231" s="14">
        <f>IF(R1231,O1231,NA())</f>
        <v/>
      </c>
      <c r="W1231" s="13">
        <f>IF(R1231,N1231,NA())</f>
        <v/>
      </c>
      <c r="X1231" s="27">
        <f>IF(G1231,P1231,"")</f>
        <v/>
      </c>
      <c r="Y1231" s="27">
        <f>IF(G1231,N1231,"")</f>
        <v/>
      </c>
      <c r="Z1231" s="27">
        <f>IF(R1231,O1231,"")</f>
        <v/>
      </c>
      <c r="AA1231" s="27">
        <f>IF(R1231,N1231,"")</f>
        <v/>
      </c>
    </row>
    <row r="1232">
      <c r="A1232" s="31" t="n">
        <v>0.5</v>
      </c>
      <c r="B1232" s="31" t="n">
        <v>0</v>
      </c>
      <c r="C1232" s="31" t="n">
        <v>0.1</v>
      </c>
      <c r="D1232" s="31" t="n">
        <v>0.4</v>
      </c>
      <c r="E1232" s="27" t="inlineStr">
        <is>
          <t>ON 50%/2M 10%/3M 40%</t>
        </is>
      </c>
      <c r="F1232" s="27" t="n">
        <v>25</v>
      </c>
      <c r="G1232" s="27">
        <f>A1232*$B$7&gt;=$B$9</f>
        <v/>
      </c>
      <c r="H1232" s="13">
        <f>$B$7*(A1232*E$71+B1232*F$71+C1232*G$71+D1232*H$71)+F1232/100*$B$7*J$71-$C$71</f>
        <v/>
      </c>
      <c r="I1232" s="13">
        <f>$B$7*(A1232*L$71+B1232*M$71+C1232*N$71+D1232*O$71)+F1232/100*$B$7*Q$71-$C$71</f>
        <v/>
      </c>
      <c r="J1232" s="13">
        <f>$B$7*(A1232*S$71+B1232*T$71+C1232*U$71+D1232*V$71)+F1232/100*$B$7*X$71-$C$71</f>
        <v/>
      </c>
      <c r="K1232" s="13">
        <f>$B$7*(A1232*Z$71+B1232*AA$71+C1232*AB$71+D1232*AC$71)+F1232/100*$B$7*AE$71-$C$71</f>
        <v/>
      </c>
      <c r="L1232" s="13">
        <f>$B$7*(A1232*AG$71+B1232*AH$71+C1232*AI$71+D1232*AJ$71)+F1232/100*$B$7*AL$71-$C$71</f>
        <v/>
      </c>
      <c r="M1232" s="13">
        <f>$B$7*(A1232*AN$71+B1232*AO$71+C1232*AP$71+D1232*AQ$71)+F1232/100*$B$7*AS$71-$C$71</f>
        <v/>
      </c>
      <c r="N1232" s="13">
        <f>SUMPRODUCT($H$24:$M$24,H1232:M1232)</f>
        <v/>
      </c>
      <c r="O1232" s="14">
        <f>SQRT(SUMPRODUCT($H$24:$M$24,(H1232:M1232-N1232)^2))</f>
        <v/>
      </c>
      <c r="P1232" s="13">
        <f>MIN(H1232:M1232)</f>
        <v/>
      </c>
      <c r="Q1232" s="13">
        <f>MAX(H1232:M1232)</f>
        <v/>
      </c>
      <c r="R1232" s="27">
        <f>IF(G1232,SUMPRODUCT(($G$76:$G$1505)*($N$76:$N$1505&gt;=N1232)*($O$76:$O$1505&lt;=O1232))=1,FALSE)</f>
        <v/>
      </c>
      <c r="S1232" s="16">
        <f>IF(R1232,ABS((O1232-$AC$76)/MAX(0.0001,$AC$77-$AC$76)-(N1232-$AC$78)/MAX(0.0001,$AC$79-$AC$78)),-1)</f>
        <v/>
      </c>
      <c r="T1232" s="14">
        <f>IF(G1232,O1232,NA())</f>
        <v/>
      </c>
      <c r="U1232" s="13">
        <f>IF(G1232,N1232,NA())</f>
        <v/>
      </c>
      <c r="V1232" s="14">
        <f>IF(R1232,O1232,NA())</f>
        <v/>
      </c>
      <c r="W1232" s="13">
        <f>IF(R1232,N1232,NA())</f>
        <v/>
      </c>
      <c r="X1232" s="27">
        <f>IF(G1232,P1232,"")</f>
        <v/>
      </c>
      <c r="Y1232" s="27">
        <f>IF(G1232,N1232,"")</f>
        <v/>
      </c>
      <c r="Z1232" s="27">
        <f>IF(R1232,O1232,"")</f>
        <v/>
      </c>
      <c r="AA1232" s="27">
        <f>IF(R1232,N1232,"")</f>
        <v/>
      </c>
    </row>
    <row r="1233">
      <c r="A1233" s="31" t="n">
        <v>0.5</v>
      </c>
      <c r="B1233" s="31" t="n">
        <v>0</v>
      </c>
      <c r="C1233" s="31" t="n">
        <v>0.1</v>
      </c>
      <c r="D1233" s="31" t="n">
        <v>0.4</v>
      </c>
      <c r="E1233" s="27" t="inlineStr">
        <is>
          <t>ON 50%/2M 10%/3M 40%</t>
        </is>
      </c>
      <c r="F1233" s="27" t="n">
        <v>50</v>
      </c>
      <c r="G1233" s="27">
        <f>A1233*$B$7&gt;=$B$9</f>
        <v/>
      </c>
      <c r="H1233" s="13">
        <f>$B$7*(A1233*E$71+B1233*F$71+C1233*G$71+D1233*H$71)+F1233/100*$B$7*J$71-$C$71</f>
        <v/>
      </c>
      <c r="I1233" s="13">
        <f>$B$7*(A1233*L$71+B1233*M$71+C1233*N$71+D1233*O$71)+F1233/100*$B$7*Q$71-$C$71</f>
        <v/>
      </c>
      <c r="J1233" s="13">
        <f>$B$7*(A1233*S$71+B1233*T$71+C1233*U$71+D1233*V$71)+F1233/100*$B$7*X$71-$C$71</f>
        <v/>
      </c>
      <c r="K1233" s="13">
        <f>$B$7*(A1233*Z$71+B1233*AA$71+C1233*AB$71+D1233*AC$71)+F1233/100*$B$7*AE$71-$C$71</f>
        <v/>
      </c>
      <c r="L1233" s="13">
        <f>$B$7*(A1233*AG$71+B1233*AH$71+C1233*AI$71+D1233*AJ$71)+F1233/100*$B$7*AL$71-$C$71</f>
        <v/>
      </c>
      <c r="M1233" s="13">
        <f>$B$7*(A1233*AN$71+B1233*AO$71+C1233*AP$71+D1233*AQ$71)+F1233/100*$B$7*AS$71-$C$71</f>
        <v/>
      </c>
      <c r="N1233" s="13">
        <f>SUMPRODUCT($H$24:$M$24,H1233:M1233)</f>
        <v/>
      </c>
      <c r="O1233" s="14">
        <f>SQRT(SUMPRODUCT($H$24:$M$24,(H1233:M1233-N1233)^2))</f>
        <v/>
      </c>
      <c r="P1233" s="13">
        <f>MIN(H1233:M1233)</f>
        <v/>
      </c>
      <c r="Q1233" s="13">
        <f>MAX(H1233:M1233)</f>
        <v/>
      </c>
      <c r="R1233" s="27">
        <f>IF(G1233,SUMPRODUCT(($G$76:$G$1505)*($N$76:$N$1505&gt;=N1233)*($O$76:$O$1505&lt;=O1233))=1,FALSE)</f>
        <v/>
      </c>
      <c r="S1233" s="16">
        <f>IF(R1233,ABS((O1233-$AC$76)/MAX(0.0001,$AC$77-$AC$76)-(N1233-$AC$78)/MAX(0.0001,$AC$79-$AC$78)),-1)</f>
        <v/>
      </c>
      <c r="T1233" s="14">
        <f>IF(G1233,O1233,NA())</f>
        <v/>
      </c>
      <c r="U1233" s="13">
        <f>IF(G1233,N1233,NA())</f>
        <v/>
      </c>
      <c r="V1233" s="14">
        <f>IF(R1233,O1233,NA())</f>
        <v/>
      </c>
      <c r="W1233" s="13">
        <f>IF(R1233,N1233,NA())</f>
        <v/>
      </c>
      <c r="X1233" s="27">
        <f>IF(G1233,P1233,"")</f>
        <v/>
      </c>
      <c r="Y1233" s="27">
        <f>IF(G1233,N1233,"")</f>
        <v/>
      </c>
      <c r="Z1233" s="27">
        <f>IF(R1233,O1233,"")</f>
        <v/>
      </c>
      <c r="AA1233" s="27">
        <f>IF(R1233,N1233,"")</f>
        <v/>
      </c>
    </row>
    <row r="1234">
      <c r="A1234" s="31" t="n">
        <v>0.5</v>
      </c>
      <c r="B1234" s="31" t="n">
        <v>0</v>
      </c>
      <c r="C1234" s="31" t="n">
        <v>0.1</v>
      </c>
      <c r="D1234" s="31" t="n">
        <v>0.4</v>
      </c>
      <c r="E1234" s="27" t="inlineStr">
        <is>
          <t>ON 50%/2M 10%/3M 40%</t>
        </is>
      </c>
      <c r="F1234" s="27" t="n">
        <v>75</v>
      </c>
      <c r="G1234" s="27">
        <f>A1234*$B$7&gt;=$B$9</f>
        <v/>
      </c>
      <c r="H1234" s="13">
        <f>$B$7*(A1234*E$71+B1234*F$71+C1234*G$71+D1234*H$71)+F1234/100*$B$7*J$71-$C$71</f>
        <v/>
      </c>
      <c r="I1234" s="13">
        <f>$B$7*(A1234*L$71+B1234*M$71+C1234*N$71+D1234*O$71)+F1234/100*$B$7*Q$71-$C$71</f>
        <v/>
      </c>
      <c r="J1234" s="13">
        <f>$B$7*(A1234*S$71+B1234*T$71+C1234*U$71+D1234*V$71)+F1234/100*$B$7*X$71-$C$71</f>
        <v/>
      </c>
      <c r="K1234" s="13">
        <f>$B$7*(A1234*Z$71+B1234*AA$71+C1234*AB$71+D1234*AC$71)+F1234/100*$B$7*AE$71-$C$71</f>
        <v/>
      </c>
      <c r="L1234" s="13">
        <f>$B$7*(A1234*AG$71+B1234*AH$71+C1234*AI$71+D1234*AJ$71)+F1234/100*$B$7*AL$71-$C$71</f>
        <v/>
      </c>
      <c r="M1234" s="13">
        <f>$B$7*(A1234*AN$71+B1234*AO$71+C1234*AP$71+D1234*AQ$71)+F1234/100*$B$7*AS$71-$C$71</f>
        <v/>
      </c>
      <c r="N1234" s="13">
        <f>SUMPRODUCT($H$24:$M$24,H1234:M1234)</f>
        <v/>
      </c>
      <c r="O1234" s="14">
        <f>SQRT(SUMPRODUCT($H$24:$M$24,(H1234:M1234-N1234)^2))</f>
        <v/>
      </c>
      <c r="P1234" s="13">
        <f>MIN(H1234:M1234)</f>
        <v/>
      </c>
      <c r="Q1234" s="13">
        <f>MAX(H1234:M1234)</f>
        <v/>
      </c>
      <c r="R1234" s="27">
        <f>IF(G1234,SUMPRODUCT(($G$76:$G$1505)*($N$76:$N$1505&gt;=N1234)*($O$76:$O$1505&lt;=O1234))=1,FALSE)</f>
        <v/>
      </c>
      <c r="S1234" s="16">
        <f>IF(R1234,ABS((O1234-$AC$76)/MAX(0.0001,$AC$77-$AC$76)-(N1234-$AC$78)/MAX(0.0001,$AC$79-$AC$78)),-1)</f>
        <v/>
      </c>
      <c r="T1234" s="14">
        <f>IF(G1234,O1234,NA())</f>
        <v/>
      </c>
      <c r="U1234" s="13">
        <f>IF(G1234,N1234,NA())</f>
        <v/>
      </c>
      <c r="V1234" s="14">
        <f>IF(R1234,O1234,NA())</f>
        <v/>
      </c>
      <c r="W1234" s="13">
        <f>IF(R1234,N1234,NA())</f>
        <v/>
      </c>
      <c r="X1234" s="27">
        <f>IF(G1234,P1234,"")</f>
        <v/>
      </c>
      <c r="Y1234" s="27">
        <f>IF(G1234,N1234,"")</f>
        <v/>
      </c>
      <c r="Z1234" s="27">
        <f>IF(R1234,O1234,"")</f>
        <v/>
      </c>
      <c r="AA1234" s="27">
        <f>IF(R1234,N1234,"")</f>
        <v/>
      </c>
    </row>
    <row r="1235">
      <c r="A1235" s="31" t="n">
        <v>0.5</v>
      </c>
      <c r="B1235" s="31" t="n">
        <v>0</v>
      </c>
      <c r="C1235" s="31" t="n">
        <v>0.1</v>
      </c>
      <c r="D1235" s="31" t="n">
        <v>0.4</v>
      </c>
      <c r="E1235" s="27" t="inlineStr">
        <is>
          <t>ON 50%/2M 10%/3M 40%</t>
        </is>
      </c>
      <c r="F1235" s="27" t="n">
        <v>100</v>
      </c>
      <c r="G1235" s="27">
        <f>A1235*$B$7&gt;=$B$9</f>
        <v/>
      </c>
      <c r="H1235" s="13">
        <f>$B$7*(A1235*E$71+B1235*F$71+C1235*G$71+D1235*H$71)+F1235/100*$B$7*J$71-$C$71</f>
        <v/>
      </c>
      <c r="I1235" s="13">
        <f>$B$7*(A1235*L$71+B1235*M$71+C1235*N$71+D1235*O$71)+F1235/100*$B$7*Q$71-$C$71</f>
        <v/>
      </c>
      <c r="J1235" s="13">
        <f>$B$7*(A1235*S$71+B1235*T$71+C1235*U$71+D1235*V$71)+F1235/100*$B$7*X$71-$C$71</f>
        <v/>
      </c>
      <c r="K1235" s="13">
        <f>$B$7*(A1235*Z$71+B1235*AA$71+C1235*AB$71+D1235*AC$71)+F1235/100*$B$7*AE$71-$C$71</f>
        <v/>
      </c>
      <c r="L1235" s="13">
        <f>$B$7*(A1235*AG$71+B1235*AH$71+C1235*AI$71+D1235*AJ$71)+F1235/100*$B$7*AL$71-$C$71</f>
        <v/>
      </c>
      <c r="M1235" s="13">
        <f>$B$7*(A1235*AN$71+B1235*AO$71+C1235*AP$71+D1235*AQ$71)+F1235/100*$B$7*AS$71-$C$71</f>
        <v/>
      </c>
      <c r="N1235" s="13">
        <f>SUMPRODUCT($H$24:$M$24,H1235:M1235)</f>
        <v/>
      </c>
      <c r="O1235" s="14">
        <f>SQRT(SUMPRODUCT($H$24:$M$24,(H1235:M1235-N1235)^2))</f>
        <v/>
      </c>
      <c r="P1235" s="13">
        <f>MIN(H1235:M1235)</f>
        <v/>
      </c>
      <c r="Q1235" s="13">
        <f>MAX(H1235:M1235)</f>
        <v/>
      </c>
      <c r="R1235" s="27">
        <f>IF(G1235,SUMPRODUCT(($G$76:$G$1505)*($N$76:$N$1505&gt;=N1235)*($O$76:$O$1505&lt;=O1235))=1,FALSE)</f>
        <v/>
      </c>
      <c r="S1235" s="16">
        <f>IF(R1235,ABS((O1235-$AC$76)/MAX(0.0001,$AC$77-$AC$76)-(N1235-$AC$78)/MAX(0.0001,$AC$79-$AC$78)),-1)</f>
        <v/>
      </c>
      <c r="T1235" s="14">
        <f>IF(G1235,O1235,NA())</f>
        <v/>
      </c>
      <c r="U1235" s="13">
        <f>IF(G1235,N1235,NA())</f>
        <v/>
      </c>
      <c r="V1235" s="14">
        <f>IF(R1235,O1235,NA())</f>
        <v/>
      </c>
      <c r="W1235" s="13">
        <f>IF(R1235,N1235,NA())</f>
        <v/>
      </c>
      <c r="X1235" s="27">
        <f>IF(G1235,P1235,"")</f>
        <v/>
      </c>
      <c r="Y1235" s="27">
        <f>IF(G1235,N1235,"")</f>
        <v/>
      </c>
      <c r="Z1235" s="27">
        <f>IF(R1235,O1235,"")</f>
        <v/>
      </c>
      <c r="AA1235" s="27">
        <f>IF(R1235,N1235,"")</f>
        <v/>
      </c>
    </row>
    <row r="1236">
      <c r="A1236" s="31" t="n">
        <v>0.5</v>
      </c>
      <c r="B1236" s="31" t="n">
        <v>0</v>
      </c>
      <c r="C1236" s="31" t="n">
        <v>0.2</v>
      </c>
      <c r="D1236" s="31" t="n">
        <v>0.3</v>
      </c>
      <c r="E1236" s="27" t="inlineStr">
        <is>
          <t>ON 50%/2M 20%/3M 30%</t>
        </is>
      </c>
      <c r="F1236" s="27" t="n">
        <v>0</v>
      </c>
      <c r="G1236" s="27">
        <f>A1236*$B$7&gt;=$B$9</f>
        <v/>
      </c>
      <c r="H1236" s="13">
        <f>$B$7*(A1236*E$71+B1236*F$71+C1236*G$71+D1236*H$71)+F1236/100*$B$7*J$71-$C$71</f>
        <v/>
      </c>
      <c r="I1236" s="13">
        <f>$B$7*(A1236*L$71+B1236*M$71+C1236*N$71+D1236*O$71)+F1236/100*$B$7*Q$71-$C$71</f>
        <v/>
      </c>
      <c r="J1236" s="13">
        <f>$B$7*(A1236*S$71+B1236*T$71+C1236*U$71+D1236*V$71)+F1236/100*$B$7*X$71-$C$71</f>
        <v/>
      </c>
      <c r="K1236" s="13">
        <f>$B$7*(A1236*Z$71+B1236*AA$71+C1236*AB$71+D1236*AC$71)+F1236/100*$B$7*AE$71-$C$71</f>
        <v/>
      </c>
      <c r="L1236" s="13">
        <f>$B$7*(A1236*AG$71+B1236*AH$71+C1236*AI$71+D1236*AJ$71)+F1236/100*$B$7*AL$71-$C$71</f>
        <v/>
      </c>
      <c r="M1236" s="13">
        <f>$B$7*(A1236*AN$71+B1236*AO$71+C1236*AP$71+D1236*AQ$71)+F1236/100*$B$7*AS$71-$C$71</f>
        <v/>
      </c>
      <c r="N1236" s="13">
        <f>SUMPRODUCT($H$24:$M$24,H1236:M1236)</f>
        <v/>
      </c>
      <c r="O1236" s="14">
        <f>SQRT(SUMPRODUCT($H$24:$M$24,(H1236:M1236-N1236)^2))</f>
        <v/>
      </c>
      <c r="P1236" s="13">
        <f>MIN(H1236:M1236)</f>
        <v/>
      </c>
      <c r="Q1236" s="13">
        <f>MAX(H1236:M1236)</f>
        <v/>
      </c>
      <c r="R1236" s="27">
        <f>IF(G1236,SUMPRODUCT(($G$76:$G$1505)*($N$76:$N$1505&gt;=N1236)*($O$76:$O$1505&lt;=O1236))=1,FALSE)</f>
        <v/>
      </c>
      <c r="S1236" s="16">
        <f>IF(R1236,ABS((O1236-$AC$76)/MAX(0.0001,$AC$77-$AC$76)-(N1236-$AC$78)/MAX(0.0001,$AC$79-$AC$78)),-1)</f>
        <v/>
      </c>
      <c r="T1236" s="14">
        <f>IF(G1236,O1236,NA())</f>
        <v/>
      </c>
      <c r="U1236" s="13">
        <f>IF(G1236,N1236,NA())</f>
        <v/>
      </c>
      <c r="V1236" s="14">
        <f>IF(R1236,O1236,NA())</f>
        <v/>
      </c>
      <c r="W1236" s="13">
        <f>IF(R1236,N1236,NA())</f>
        <v/>
      </c>
      <c r="X1236" s="27">
        <f>IF(G1236,P1236,"")</f>
        <v/>
      </c>
      <c r="Y1236" s="27">
        <f>IF(G1236,N1236,"")</f>
        <v/>
      </c>
      <c r="Z1236" s="27">
        <f>IF(R1236,O1236,"")</f>
        <v/>
      </c>
      <c r="AA1236" s="27">
        <f>IF(R1236,N1236,"")</f>
        <v/>
      </c>
    </row>
    <row r="1237">
      <c r="A1237" s="31" t="n">
        <v>0.5</v>
      </c>
      <c r="B1237" s="31" t="n">
        <v>0</v>
      </c>
      <c r="C1237" s="31" t="n">
        <v>0.2</v>
      </c>
      <c r="D1237" s="31" t="n">
        <v>0.3</v>
      </c>
      <c r="E1237" s="27" t="inlineStr">
        <is>
          <t>ON 50%/2M 20%/3M 30%</t>
        </is>
      </c>
      <c r="F1237" s="27" t="n">
        <v>25</v>
      </c>
      <c r="G1237" s="27">
        <f>A1237*$B$7&gt;=$B$9</f>
        <v/>
      </c>
      <c r="H1237" s="13">
        <f>$B$7*(A1237*E$71+B1237*F$71+C1237*G$71+D1237*H$71)+F1237/100*$B$7*J$71-$C$71</f>
        <v/>
      </c>
      <c r="I1237" s="13">
        <f>$B$7*(A1237*L$71+B1237*M$71+C1237*N$71+D1237*O$71)+F1237/100*$B$7*Q$71-$C$71</f>
        <v/>
      </c>
      <c r="J1237" s="13">
        <f>$B$7*(A1237*S$71+B1237*T$71+C1237*U$71+D1237*V$71)+F1237/100*$B$7*X$71-$C$71</f>
        <v/>
      </c>
      <c r="K1237" s="13">
        <f>$B$7*(A1237*Z$71+B1237*AA$71+C1237*AB$71+D1237*AC$71)+F1237/100*$B$7*AE$71-$C$71</f>
        <v/>
      </c>
      <c r="L1237" s="13">
        <f>$B$7*(A1237*AG$71+B1237*AH$71+C1237*AI$71+D1237*AJ$71)+F1237/100*$B$7*AL$71-$C$71</f>
        <v/>
      </c>
      <c r="M1237" s="13">
        <f>$B$7*(A1237*AN$71+B1237*AO$71+C1237*AP$71+D1237*AQ$71)+F1237/100*$B$7*AS$71-$C$71</f>
        <v/>
      </c>
      <c r="N1237" s="13">
        <f>SUMPRODUCT($H$24:$M$24,H1237:M1237)</f>
        <v/>
      </c>
      <c r="O1237" s="14">
        <f>SQRT(SUMPRODUCT($H$24:$M$24,(H1237:M1237-N1237)^2))</f>
        <v/>
      </c>
      <c r="P1237" s="13">
        <f>MIN(H1237:M1237)</f>
        <v/>
      </c>
      <c r="Q1237" s="13">
        <f>MAX(H1237:M1237)</f>
        <v/>
      </c>
      <c r="R1237" s="27">
        <f>IF(G1237,SUMPRODUCT(($G$76:$G$1505)*($N$76:$N$1505&gt;=N1237)*($O$76:$O$1505&lt;=O1237))=1,FALSE)</f>
        <v/>
      </c>
      <c r="S1237" s="16">
        <f>IF(R1237,ABS((O1237-$AC$76)/MAX(0.0001,$AC$77-$AC$76)-(N1237-$AC$78)/MAX(0.0001,$AC$79-$AC$78)),-1)</f>
        <v/>
      </c>
      <c r="T1237" s="14">
        <f>IF(G1237,O1237,NA())</f>
        <v/>
      </c>
      <c r="U1237" s="13">
        <f>IF(G1237,N1237,NA())</f>
        <v/>
      </c>
      <c r="V1237" s="14">
        <f>IF(R1237,O1237,NA())</f>
        <v/>
      </c>
      <c r="W1237" s="13">
        <f>IF(R1237,N1237,NA())</f>
        <v/>
      </c>
      <c r="X1237" s="27">
        <f>IF(G1237,P1237,"")</f>
        <v/>
      </c>
      <c r="Y1237" s="27">
        <f>IF(G1237,N1237,"")</f>
        <v/>
      </c>
      <c r="Z1237" s="27">
        <f>IF(R1237,O1237,"")</f>
        <v/>
      </c>
      <c r="AA1237" s="27">
        <f>IF(R1237,N1237,"")</f>
        <v/>
      </c>
    </row>
    <row r="1238">
      <c r="A1238" s="31" t="n">
        <v>0.5</v>
      </c>
      <c r="B1238" s="31" t="n">
        <v>0</v>
      </c>
      <c r="C1238" s="31" t="n">
        <v>0.2</v>
      </c>
      <c r="D1238" s="31" t="n">
        <v>0.3</v>
      </c>
      <c r="E1238" s="27" t="inlineStr">
        <is>
          <t>ON 50%/2M 20%/3M 30%</t>
        </is>
      </c>
      <c r="F1238" s="27" t="n">
        <v>50</v>
      </c>
      <c r="G1238" s="27">
        <f>A1238*$B$7&gt;=$B$9</f>
        <v/>
      </c>
      <c r="H1238" s="13">
        <f>$B$7*(A1238*E$71+B1238*F$71+C1238*G$71+D1238*H$71)+F1238/100*$B$7*J$71-$C$71</f>
        <v/>
      </c>
      <c r="I1238" s="13">
        <f>$B$7*(A1238*L$71+B1238*M$71+C1238*N$71+D1238*O$71)+F1238/100*$B$7*Q$71-$C$71</f>
        <v/>
      </c>
      <c r="J1238" s="13">
        <f>$B$7*(A1238*S$71+B1238*T$71+C1238*U$71+D1238*V$71)+F1238/100*$B$7*X$71-$C$71</f>
        <v/>
      </c>
      <c r="K1238" s="13">
        <f>$B$7*(A1238*Z$71+B1238*AA$71+C1238*AB$71+D1238*AC$71)+F1238/100*$B$7*AE$71-$C$71</f>
        <v/>
      </c>
      <c r="L1238" s="13">
        <f>$B$7*(A1238*AG$71+B1238*AH$71+C1238*AI$71+D1238*AJ$71)+F1238/100*$B$7*AL$71-$C$71</f>
        <v/>
      </c>
      <c r="M1238" s="13">
        <f>$B$7*(A1238*AN$71+B1238*AO$71+C1238*AP$71+D1238*AQ$71)+F1238/100*$B$7*AS$71-$C$71</f>
        <v/>
      </c>
      <c r="N1238" s="13">
        <f>SUMPRODUCT($H$24:$M$24,H1238:M1238)</f>
        <v/>
      </c>
      <c r="O1238" s="14">
        <f>SQRT(SUMPRODUCT($H$24:$M$24,(H1238:M1238-N1238)^2))</f>
        <v/>
      </c>
      <c r="P1238" s="13">
        <f>MIN(H1238:M1238)</f>
        <v/>
      </c>
      <c r="Q1238" s="13">
        <f>MAX(H1238:M1238)</f>
        <v/>
      </c>
      <c r="R1238" s="27">
        <f>IF(G1238,SUMPRODUCT(($G$76:$G$1505)*($N$76:$N$1505&gt;=N1238)*($O$76:$O$1505&lt;=O1238))=1,FALSE)</f>
        <v/>
      </c>
      <c r="S1238" s="16">
        <f>IF(R1238,ABS((O1238-$AC$76)/MAX(0.0001,$AC$77-$AC$76)-(N1238-$AC$78)/MAX(0.0001,$AC$79-$AC$78)),-1)</f>
        <v/>
      </c>
      <c r="T1238" s="14">
        <f>IF(G1238,O1238,NA())</f>
        <v/>
      </c>
      <c r="U1238" s="13">
        <f>IF(G1238,N1238,NA())</f>
        <v/>
      </c>
      <c r="V1238" s="14">
        <f>IF(R1238,O1238,NA())</f>
        <v/>
      </c>
      <c r="W1238" s="13">
        <f>IF(R1238,N1238,NA())</f>
        <v/>
      </c>
      <c r="X1238" s="27">
        <f>IF(G1238,P1238,"")</f>
        <v/>
      </c>
      <c r="Y1238" s="27">
        <f>IF(G1238,N1238,"")</f>
        <v/>
      </c>
      <c r="Z1238" s="27">
        <f>IF(R1238,O1238,"")</f>
        <v/>
      </c>
      <c r="AA1238" s="27">
        <f>IF(R1238,N1238,"")</f>
        <v/>
      </c>
    </row>
    <row r="1239">
      <c r="A1239" s="31" t="n">
        <v>0.5</v>
      </c>
      <c r="B1239" s="31" t="n">
        <v>0</v>
      </c>
      <c r="C1239" s="31" t="n">
        <v>0.2</v>
      </c>
      <c r="D1239" s="31" t="n">
        <v>0.3</v>
      </c>
      <c r="E1239" s="27" t="inlineStr">
        <is>
          <t>ON 50%/2M 20%/3M 30%</t>
        </is>
      </c>
      <c r="F1239" s="27" t="n">
        <v>75</v>
      </c>
      <c r="G1239" s="27">
        <f>A1239*$B$7&gt;=$B$9</f>
        <v/>
      </c>
      <c r="H1239" s="13">
        <f>$B$7*(A1239*E$71+B1239*F$71+C1239*G$71+D1239*H$71)+F1239/100*$B$7*J$71-$C$71</f>
        <v/>
      </c>
      <c r="I1239" s="13">
        <f>$B$7*(A1239*L$71+B1239*M$71+C1239*N$71+D1239*O$71)+F1239/100*$B$7*Q$71-$C$71</f>
        <v/>
      </c>
      <c r="J1239" s="13">
        <f>$B$7*(A1239*S$71+B1239*T$71+C1239*U$71+D1239*V$71)+F1239/100*$B$7*X$71-$C$71</f>
        <v/>
      </c>
      <c r="K1239" s="13">
        <f>$B$7*(A1239*Z$71+B1239*AA$71+C1239*AB$71+D1239*AC$71)+F1239/100*$B$7*AE$71-$C$71</f>
        <v/>
      </c>
      <c r="L1239" s="13">
        <f>$B$7*(A1239*AG$71+B1239*AH$71+C1239*AI$71+D1239*AJ$71)+F1239/100*$B$7*AL$71-$C$71</f>
        <v/>
      </c>
      <c r="M1239" s="13">
        <f>$B$7*(A1239*AN$71+B1239*AO$71+C1239*AP$71+D1239*AQ$71)+F1239/100*$B$7*AS$71-$C$71</f>
        <v/>
      </c>
      <c r="N1239" s="13">
        <f>SUMPRODUCT($H$24:$M$24,H1239:M1239)</f>
        <v/>
      </c>
      <c r="O1239" s="14">
        <f>SQRT(SUMPRODUCT($H$24:$M$24,(H1239:M1239-N1239)^2))</f>
        <v/>
      </c>
      <c r="P1239" s="13">
        <f>MIN(H1239:M1239)</f>
        <v/>
      </c>
      <c r="Q1239" s="13">
        <f>MAX(H1239:M1239)</f>
        <v/>
      </c>
      <c r="R1239" s="27">
        <f>IF(G1239,SUMPRODUCT(($G$76:$G$1505)*($N$76:$N$1505&gt;=N1239)*($O$76:$O$1505&lt;=O1239))=1,FALSE)</f>
        <v/>
      </c>
      <c r="S1239" s="16">
        <f>IF(R1239,ABS((O1239-$AC$76)/MAX(0.0001,$AC$77-$AC$76)-(N1239-$AC$78)/MAX(0.0001,$AC$79-$AC$78)),-1)</f>
        <v/>
      </c>
      <c r="T1239" s="14">
        <f>IF(G1239,O1239,NA())</f>
        <v/>
      </c>
      <c r="U1239" s="13">
        <f>IF(G1239,N1239,NA())</f>
        <v/>
      </c>
      <c r="V1239" s="14">
        <f>IF(R1239,O1239,NA())</f>
        <v/>
      </c>
      <c r="W1239" s="13">
        <f>IF(R1239,N1239,NA())</f>
        <v/>
      </c>
      <c r="X1239" s="27">
        <f>IF(G1239,P1239,"")</f>
        <v/>
      </c>
      <c r="Y1239" s="27">
        <f>IF(G1239,N1239,"")</f>
        <v/>
      </c>
      <c r="Z1239" s="27">
        <f>IF(R1239,O1239,"")</f>
        <v/>
      </c>
      <c r="AA1239" s="27">
        <f>IF(R1239,N1239,"")</f>
        <v/>
      </c>
    </row>
    <row r="1240">
      <c r="A1240" s="31" t="n">
        <v>0.5</v>
      </c>
      <c r="B1240" s="31" t="n">
        <v>0</v>
      </c>
      <c r="C1240" s="31" t="n">
        <v>0.2</v>
      </c>
      <c r="D1240" s="31" t="n">
        <v>0.3</v>
      </c>
      <c r="E1240" s="27" t="inlineStr">
        <is>
          <t>ON 50%/2M 20%/3M 30%</t>
        </is>
      </c>
      <c r="F1240" s="27" t="n">
        <v>100</v>
      </c>
      <c r="G1240" s="27">
        <f>A1240*$B$7&gt;=$B$9</f>
        <v/>
      </c>
      <c r="H1240" s="13">
        <f>$B$7*(A1240*E$71+B1240*F$71+C1240*G$71+D1240*H$71)+F1240/100*$B$7*J$71-$C$71</f>
        <v/>
      </c>
      <c r="I1240" s="13">
        <f>$B$7*(A1240*L$71+B1240*M$71+C1240*N$71+D1240*O$71)+F1240/100*$B$7*Q$71-$C$71</f>
        <v/>
      </c>
      <c r="J1240" s="13">
        <f>$B$7*(A1240*S$71+B1240*T$71+C1240*U$71+D1240*V$71)+F1240/100*$B$7*X$71-$C$71</f>
        <v/>
      </c>
      <c r="K1240" s="13">
        <f>$B$7*(A1240*Z$71+B1240*AA$71+C1240*AB$71+D1240*AC$71)+F1240/100*$B$7*AE$71-$C$71</f>
        <v/>
      </c>
      <c r="L1240" s="13">
        <f>$B$7*(A1240*AG$71+B1240*AH$71+C1240*AI$71+D1240*AJ$71)+F1240/100*$B$7*AL$71-$C$71</f>
        <v/>
      </c>
      <c r="M1240" s="13">
        <f>$B$7*(A1240*AN$71+B1240*AO$71+C1240*AP$71+D1240*AQ$71)+F1240/100*$B$7*AS$71-$C$71</f>
        <v/>
      </c>
      <c r="N1240" s="13">
        <f>SUMPRODUCT($H$24:$M$24,H1240:M1240)</f>
        <v/>
      </c>
      <c r="O1240" s="14">
        <f>SQRT(SUMPRODUCT($H$24:$M$24,(H1240:M1240-N1240)^2))</f>
        <v/>
      </c>
      <c r="P1240" s="13">
        <f>MIN(H1240:M1240)</f>
        <v/>
      </c>
      <c r="Q1240" s="13">
        <f>MAX(H1240:M1240)</f>
        <v/>
      </c>
      <c r="R1240" s="27">
        <f>IF(G1240,SUMPRODUCT(($G$76:$G$1505)*($N$76:$N$1505&gt;=N1240)*($O$76:$O$1505&lt;=O1240))=1,FALSE)</f>
        <v/>
      </c>
      <c r="S1240" s="16">
        <f>IF(R1240,ABS((O1240-$AC$76)/MAX(0.0001,$AC$77-$AC$76)-(N1240-$AC$78)/MAX(0.0001,$AC$79-$AC$78)),-1)</f>
        <v/>
      </c>
      <c r="T1240" s="14">
        <f>IF(G1240,O1240,NA())</f>
        <v/>
      </c>
      <c r="U1240" s="13">
        <f>IF(G1240,N1240,NA())</f>
        <v/>
      </c>
      <c r="V1240" s="14">
        <f>IF(R1240,O1240,NA())</f>
        <v/>
      </c>
      <c r="W1240" s="13">
        <f>IF(R1240,N1240,NA())</f>
        <v/>
      </c>
      <c r="X1240" s="27">
        <f>IF(G1240,P1240,"")</f>
        <v/>
      </c>
      <c r="Y1240" s="27">
        <f>IF(G1240,N1240,"")</f>
        <v/>
      </c>
      <c r="Z1240" s="27">
        <f>IF(R1240,O1240,"")</f>
        <v/>
      </c>
      <c r="AA1240" s="27">
        <f>IF(R1240,N1240,"")</f>
        <v/>
      </c>
    </row>
    <row r="1241">
      <c r="A1241" s="31" t="n">
        <v>0.5</v>
      </c>
      <c r="B1241" s="31" t="n">
        <v>0</v>
      </c>
      <c r="C1241" s="31" t="n">
        <v>0.3</v>
      </c>
      <c r="D1241" s="31" t="n">
        <v>0.2</v>
      </c>
      <c r="E1241" s="27" t="inlineStr">
        <is>
          <t>ON 50%/2M 30%/3M 20%</t>
        </is>
      </c>
      <c r="F1241" s="27" t="n">
        <v>0</v>
      </c>
      <c r="G1241" s="27">
        <f>A1241*$B$7&gt;=$B$9</f>
        <v/>
      </c>
      <c r="H1241" s="13">
        <f>$B$7*(A1241*E$71+B1241*F$71+C1241*G$71+D1241*H$71)+F1241/100*$B$7*J$71-$C$71</f>
        <v/>
      </c>
      <c r="I1241" s="13">
        <f>$B$7*(A1241*L$71+B1241*M$71+C1241*N$71+D1241*O$71)+F1241/100*$B$7*Q$71-$C$71</f>
        <v/>
      </c>
      <c r="J1241" s="13">
        <f>$B$7*(A1241*S$71+B1241*T$71+C1241*U$71+D1241*V$71)+F1241/100*$B$7*X$71-$C$71</f>
        <v/>
      </c>
      <c r="K1241" s="13">
        <f>$B$7*(A1241*Z$71+B1241*AA$71+C1241*AB$71+D1241*AC$71)+F1241/100*$B$7*AE$71-$C$71</f>
        <v/>
      </c>
      <c r="L1241" s="13">
        <f>$B$7*(A1241*AG$71+B1241*AH$71+C1241*AI$71+D1241*AJ$71)+F1241/100*$B$7*AL$71-$C$71</f>
        <v/>
      </c>
      <c r="M1241" s="13">
        <f>$B$7*(A1241*AN$71+B1241*AO$71+C1241*AP$71+D1241*AQ$71)+F1241/100*$B$7*AS$71-$C$71</f>
        <v/>
      </c>
      <c r="N1241" s="13">
        <f>SUMPRODUCT($H$24:$M$24,H1241:M1241)</f>
        <v/>
      </c>
      <c r="O1241" s="14">
        <f>SQRT(SUMPRODUCT($H$24:$M$24,(H1241:M1241-N1241)^2))</f>
        <v/>
      </c>
      <c r="P1241" s="13">
        <f>MIN(H1241:M1241)</f>
        <v/>
      </c>
      <c r="Q1241" s="13">
        <f>MAX(H1241:M1241)</f>
        <v/>
      </c>
      <c r="R1241" s="27">
        <f>IF(G1241,SUMPRODUCT(($G$76:$G$1505)*($N$76:$N$1505&gt;=N1241)*($O$76:$O$1505&lt;=O1241))=1,FALSE)</f>
        <v/>
      </c>
      <c r="S1241" s="16">
        <f>IF(R1241,ABS((O1241-$AC$76)/MAX(0.0001,$AC$77-$AC$76)-(N1241-$AC$78)/MAX(0.0001,$AC$79-$AC$78)),-1)</f>
        <v/>
      </c>
      <c r="T1241" s="14">
        <f>IF(G1241,O1241,NA())</f>
        <v/>
      </c>
      <c r="U1241" s="13">
        <f>IF(G1241,N1241,NA())</f>
        <v/>
      </c>
      <c r="V1241" s="14">
        <f>IF(R1241,O1241,NA())</f>
        <v/>
      </c>
      <c r="W1241" s="13">
        <f>IF(R1241,N1241,NA())</f>
        <v/>
      </c>
      <c r="X1241" s="27">
        <f>IF(G1241,P1241,"")</f>
        <v/>
      </c>
      <c r="Y1241" s="27">
        <f>IF(G1241,N1241,"")</f>
        <v/>
      </c>
      <c r="Z1241" s="27">
        <f>IF(R1241,O1241,"")</f>
        <v/>
      </c>
      <c r="AA1241" s="27">
        <f>IF(R1241,N1241,"")</f>
        <v/>
      </c>
    </row>
    <row r="1242">
      <c r="A1242" s="31" t="n">
        <v>0.5</v>
      </c>
      <c r="B1242" s="31" t="n">
        <v>0</v>
      </c>
      <c r="C1242" s="31" t="n">
        <v>0.3</v>
      </c>
      <c r="D1242" s="31" t="n">
        <v>0.2</v>
      </c>
      <c r="E1242" s="27" t="inlineStr">
        <is>
          <t>ON 50%/2M 30%/3M 20%</t>
        </is>
      </c>
      <c r="F1242" s="27" t="n">
        <v>25</v>
      </c>
      <c r="G1242" s="27">
        <f>A1242*$B$7&gt;=$B$9</f>
        <v/>
      </c>
      <c r="H1242" s="13">
        <f>$B$7*(A1242*E$71+B1242*F$71+C1242*G$71+D1242*H$71)+F1242/100*$B$7*J$71-$C$71</f>
        <v/>
      </c>
      <c r="I1242" s="13">
        <f>$B$7*(A1242*L$71+B1242*M$71+C1242*N$71+D1242*O$71)+F1242/100*$B$7*Q$71-$C$71</f>
        <v/>
      </c>
      <c r="J1242" s="13">
        <f>$B$7*(A1242*S$71+B1242*T$71+C1242*U$71+D1242*V$71)+F1242/100*$B$7*X$71-$C$71</f>
        <v/>
      </c>
      <c r="K1242" s="13">
        <f>$B$7*(A1242*Z$71+B1242*AA$71+C1242*AB$71+D1242*AC$71)+F1242/100*$B$7*AE$71-$C$71</f>
        <v/>
      </c>
      <c r="L1242" s="13">
        <f>$B$7*(A1242*AG$71+B1242*AH$71+C1242*AI$71+D1242*AJ$71)+F1242/100*$B$7*AL$71-$C$71</f>
        <v/>
      </c>
      <c r="M1242" s="13">
        <f>$B$7*(A1242*AN$71+B1242*AO$71+C1242*AP$71+D1242*AQ$71)+F1242/100*$B$7*AS$71-$C$71</f>
        <v/>
      </c>
      <c r="N1242" s="13">
        <f>SUMPRODUCT($H$24:$M$24,H1242:M1242)</f>
        <v/>
      </c>
      <c r="O1242" s="14">
        <f>SQRT(SUMPRODUCT($H$24:$M$24,(H1242:M1242-N1242)^2))</f>
        <v/>
      </c>
      <c r="P1242" s="13">
        <f>MIN(H1242:M1242)</f>
        <v/>
      </c>
      <c r="Q1242" s="13">
        <f>MAX(H1242:M1242)</f>
        <v/>
      </c>
      <c r="R1242" s="27">
        <f>IF(G1242,SUMPRODUCT(($G$76:$G$1505)*($N$76:$N$1505&gt;=N1242)*($O$76:$O$1505&lt;=O1242))=1,FALSE)</f>
        <v/>
      </c>
      <c r="S1242" s="16">
        <f>IF(R1242,ABS((O1242-$AC$76)/MAX(0.0001,$AC$77-$AC$76)-(N1242-$AC$78)/MAX(0.0001,$AC$79-$AC$78)),-1)</f>
        <v/>
      </c>
      <c r="T1242" s="14">
        <f>IF(G1242,O1242,NA())</f>
        <v/>
      </c>
      <c r="U1242" s="13">
        <f>IF(G1242,N1242,NA())</f>
        <v/>
      </c>
      <c r="V1242" s="14">
        <f>IF(R1242,O1242,NA())</f>
        <v/>
      </c>
      <c r="W1242" s="13">
        <f>IF(R1242,N1242,NA())</f>
        <v/>
      </c>
      <c r="X1242" s="27">
        <f>IF(G1242,P1242,"")</f>
        <v/>
      </c>
      <c r="Y1242" s="27">
        <f>IF(G1242,N1242,"")</f>
        <v/>
      </c>
      <c r="Z1242" s="27">
        <f>IF(R1242,O1242,"")</f>
        <v/>
      </c>
      <c r="AA1242" s="27">
        <f>IF(R1242,N1242,"")</f>
        <v/>
      </c>
    </row>
    <row r="1243">
      <c r="A1243" s="31" t="n">
        <v>0.5</v>
      </c>
      <c r="B1243" s="31" t="n">
        <v>0</v>
      </c>
      <c r="C1243" s="31" t="n">
        <v>0.3</v>
      </c>
      <c r="D1243" s="31" t="n">
        <v>0.2</v>
      </c>
      <c r="E1243" s="27" t="inlineStr">
        <is>
          <t>ON 50%/2M 30%/3M 20%</t>
        </is>
      </c>
      <c r="F1243" s="27" t="n">
        <v>50</v>
      </c>
      <c r="G1243" s="27">
        <f>A1243*$B$7&gt;=$B$9</f>
        <v/>
      </c>
      <c r="H1243" s="13">
        <f>$B$7*(A1243*E$71+B1243*F$71+C1243*G$71+D1243*H$71)+F1243/100*$B$7*J$71-$C$71</f>
        <v/>
      </c>
      <c r="I1243" s="13">
        <f>$B$7*(A1243*L$71+B1243*M$71+C1243*N$71+D1243*O$71)+F1243/100*$B$7*Q$71-$C$71</f>
        <v/>
      </c>
      <c r="J1243" s="13">
        <f>$B$7*(A1243*S$71+B1243*T$71+C1243*U$71+D1243*V$71)+F1243/100*$B$7*X$71-$C$71</f>
        <v/>
      </c>
      <c r="K1243" s="13">
        <f>$B$7*(A1243*Z$71+B1243*AA$71+C1243*AB$71+D1243*AC$71)+F1243/100*$B$7*AE$71-$C$71</f>
        <v/>
      </c>
      <c r="L1243" s="13">
        <f>$B$7*(A1243*AG$71+B1243*AH$71+C1243*AI$71+D1243*AJ$71)+F1243/100*$B$7*AL$71-$C$71</f>
        <v/>
      </c>
      <c r="M1243" s="13">
        <f>$B$7*(A1243*AN$71+B1243*AO$71+C1243*AP$71+D1243*AQ$71)+F1243/100*$B$7*AS$71-$C$71</f>
        <v/>
      </c>
      <c r="N1243" s="13">
        <f>SUMPRODUCT($H$24:$M$24,H1243:M1243)</f>
        <v/>
      </c>
      <c r="O1243" s="14">
        <f>SQRT(SUMPRODUCT($H$24:$M$24,(H1243:M1243-N1243)^2))</f>
        <v/>
      </c>
      <c r="P1243" s="13">
        <f>MIN(H1243:M1243)</f>
        <v/>
      </c>
      <c r="Q1243" s="13">
        <f>MAX(H1243:M1243)</f>
        <v/>
      </c>
      <c r="R1243" s="27">
        <f>IF(G1243,SUMPRODUCT(($G$76:$G$1505)*($N$76:$N$1505&gt;=N1243)*($O$76:$O$1505&lt;=O1243))=1,FALSE)</f>
        <v/>
      </c>
      <c r="S1243" s="16">
        <f>IF(R1243,ABS((O1243-$AC$76)/MAX(0.0001,$AC$77-$AC$76)-(N1243-$AC$78)/MAX(0.0001,$AC$79-$AC$78)),-1)</f>
        <v/>
      </c>
      <c r="T1243" s="14">
        <f>IF(G1243,O1243,NA())</f>
        <v/>
      </c>
      <c r="U1243" s="13">
        <f>IF(G1243,N1243,NA())</f>
        <v/>
      </c>
      <c r="V1243" s="14">
        <f>IF(R1243,O1243,NA())</f>
        <v/>
      </c>
      <c r="W1243" s="13">
        <f>IF(R1243,N1243,NA())</f>
        <v/>
      </c>
      <c r="X1243" s="27">
        <f>IF(G1243,P1243,"")</f>
        <v/>
      </c>
      <c r="Y1243" s="27">
        <f>IF(G1243,N1243,"")</f>
        <v/>
      </c>
      <c r="Z1243" s="27">
        <f>IF(R1243,O1243,"")</f>
        <v/>
      </c>
      <c r="AA1243" s="27">
        <f>IF(R1243,N1243,"")</f>
        <v/>
      </c>
    </row>
    <row r="1244">
      <c r="A1244" s="31" t="n">
        <v>0.5</v>
      </c>
      <c r="B1244" s="31" t="n">
        <v>0</v>
      </c>
      <c r="C1244" s="31" t="n">
        <v>0.3</v>
      </c>
      <c r="D1244" s="31" t="n">
        <v>0.2</v>
      </c>
      <c r="E1244" s="27" t="inlineStr">
        <is>
          <t>ON 50%/2M 30%/3M 20%</t>
        </is>
      </c>
      <c r="F1244" s="27" t="n">
        <v>75</v>
      </c>
      <c r="G1244" s="27">
        <f>A1244*$B$7&gt;=$B$9</f>
        <v/>
      </c>
      <c r="H1244" s="13">
        <f>$B$7*(A1244*E$71+B1244*F$71+C1244*G$71+D1244*H$71)+F1244/100*$B$7*J$71-$C$71</f>
        <v/>
      </c>
      <c r="I1244" s="13">
        <f>$B$7*(A1244*L$71+B1244*M$71+C1244*N$71+D1244*O$71)+F1244/100*$B$7*Q$71-$C$71</f>
        <v/>
      </c>
      <c r="J1244" s="13">
        <f>$B$7*(A1244*S$71+B1244*T$71+C1244*U$71+D1244*V$71)+F1244/100*$B$7*X$71-$C$71</f>
        <v/>
      </c>
      <c r="K1244" s="13">
        <f>$B$7*(A1244*Z$71+B1244*AA$71+C1244*AB$71+D1244*AC$71)+F1244/100*$B$7*AE$71-$C$71</f>
        <v/>
      </c>
      <c r="L1244" s="13">
        <f>$B$7*(A1244*AG$71+B1244*AH$71+C1244*AI$71+D1244*AJ$71)+F1244/100*$B$7*AL$71-$C$71</f>
        <v/>
      </c>
      <c r="M1244" s="13">
        <f>$B$7*(A1244*AN$71+B1244*AO$71+C1244*AP$71+D1244*AQ$71)+F1244/100*$B$7*AS$71-$C$71</f>
        <v/>
      </c>
      <c r="N1244" s="13">
        <f>SUMPRODUCT($H$24:$M$24,H1244:M1244)</f>
        <v/>
      </c>
      <c r="O1244" s="14">
        <f>SQRT(SUMPRODUCT($H$24:$M$24,(H1244:M1244-N1244)^2))</f>
        <v/>
      </c>
      <c r="P1244" s="13">
        <f>MIN(H1244:M1244)</f>
        <v/>
      </c>
      <c r="Q1244" s="13">
        <f>MAX(H1244:M1244)</f>
        <v/>
      </c>
      <c r="R1244" s="27">
        <f>IF(G1244,SUMPRODUCT(($G$76:$G$1505)*($N$76:$N$1505&gt;=N1244)*($O$76:$O$1505&lt;=O1244))=1,FALSE)</f>
        <v/>
      </c>
      <c r="S1244" s="16">
        <f>IF(R1244,ABS((O1244-$AC$76)/MAX(0.0001,$AC$77-$AC$76)-(N1244-$AC$78)/MAX(0.0001,$AC$79-$AC$78)),-1)</f>
        <v/>
      </c>
      <c r="T1244" s="14">
        <f>IF(G1244,O1244,NA())</f>
        <v/>
      </c>
      <c r="U1244" s="13">
        <f>IF(G1244,N1244,NA())</f>
        <v/>
      </c>
      <c r="V1244" s="14">
        <f>IF(R1244,O1244,NA())</f>
        <v/>
      </c>
      <c r="W1244" s="13">
        <f>IF(R1244,N1244,NA())</f>
        <v/>
      </c>
      <c r="X1244" s="27">
        <f>IF(G1244,P1244,"")</f>
        <v/>
      </c>
      <c r="Y1244" s="27">
        <f>IF(G1244,N1244,"")</f>
        <v/>
      </c>
      <c r="Z1244" s="27">
        <f>IF(R1244,O1244,"")</f>
        <v/>
      </c>
      <c r="AA1244" s="27">
        <f>IF(R1244,N1244,"")</f>
        <v/>
      </c>
    </row>
    <row r="1245">
      <c r="A1245" s="31" t="n">
        <v>0.5</v>
      </c>
      <c r="B1245" s="31" t="n">
        <v>0</v>
      </c>
      <c r="C1245" s="31" t="n">
        <v>0.3</v>
      </c>
      <c r="D1245" s="31" t="n">
        <v>0.2</v>
      </c>
      <c r="E1245" s="27" t="inlineStr">
        <is>
          <t>ON 50%/2M 30%/3M 20%</t>
        </is>
      </c>
      <c r="F1245" s="27" t="n">
        <v>100</v>
      </c>
      <c r="G1245" s="27">
        <f>A1245*$B$7&gt;=$B$9</f>
        <v/>
      </c>
      <c r="H1245" s="13">
        <f>$B$7*(A1245*E$71+B1245*F$71+C1245*G$71+D1245*H$71)+F1245/100*$B$7*J$71-$C$71</f>
        <v/>
      </c>
      <c r="I1245" s="13">
        <f>$B$7*(A1245*L$71+B1245*M$71+C1245*N$71+D1245*O$71)+F1245/100*$B$7*Q$71-$C$71</f>
        <v/>
      </c>
      <c r="J1245" s="13">
        <f>$B$7*(A1245*S$71+B1245*T$71+C1245*U$71+D1245*V$71)+F1245/100*$B$7*X$71-$C$71</f>
        <v/>
      </c>
      <c r="K1245" s="13">
        <f>$B$7*(A1245*Z$71+B1245*AA$71+C1245*AB$71+D1245*AC$71)+F1245/100*$B$7*AE$71-$C$71</f>
        <v/>
      </c>
      <c r="L1245" s="13">
        <f>$B$7*(A1245*AG$71+B1245*AH$71+C1245*AI$71+D1245*AJ$71)+F1245/100*$B$7*AL$71-$C$71</f>
        <v/>
      </c>
      <c r="M1245" s="13">
        <f>$B$7*(A1245*AN$71+B1245*AO$71+C1245*AP$71+D1245*AQ$71)+F1245/100*$B$7*AS$71-$C$71</f>
        <v/>
      </c>
      <c r="N1245" s="13">
        <f>SUMPRODUCT($H$24:$M$24,H1245:M1245)</f>
        <v/>
      </c>
      <c r="O1245" s="14">
        <f>SQRT(SUMPRODUCT($H$24:$M$24,(H1245:M1245-N1245)^2))</f>
        <v/>
      </c>
      <c r="P1245" s="13">
        <f>MIN(H1245:M1245)</f>
        <v/>
      </c>
      <c r="Q1245" s="13">
        <f>MAX(H1245:M1245)</f>
        <v/>
      </c>
      <c r="R1245" s="27">
        <f>IF(G1245,SUMPRODUCT(($G$76:$G$1505)*($N$76:$N$1505&gt;=N1245)*($O$76:$O$1505&lt;=O1245))=1,FALSE)</f>
        <v/>
      </c>
      <c r="S1245" s="16">
        <f>IF(R1245,ABS((O1245-$AC$76)/MAX(0.0001,$AC$77-$AC$76)-(N1245-$AC$78)/MAX(0.0001,$AC$79-$AC$78)),-1)</f>
        <v/>
      </c>
      <c r="T1245" s="14">
        <f>IF(G1245,O1245,NA())</f>
        <v/>
      </c>
      <c r="U1245" s="13">
        <f>IF(G1245,N1245,NA())</f>
        <v/>
      </c>
      <c r="V1245" s="14">
        <f>IF(R1245,O1245,NA())</f>
        <v/>
      </c>
      <c r="W1245" s="13">
        <f>IF(R1245,N1245,NA())</f>
        <v/>
      </c>
      <c r="X1245" s="27">
        <f>IF(G1245,P1245,"")</f>
        <v/>
      </c>
      <c r="Y1245" s="27">
        <f>IF(G1245,N1245,"")</f>
        <v/>
      </c>
      <c r="Z1245" s="27">
        <f>IF(R1245,O1245,"")</f>
        <v/>
      </c>
      <c r="AA1245" s="27">
        <f>IF(R1245,N1245,"")</f>
        <v/>
      </c>
    </row>
    <row r="1246">
      <c r="A1246" s="31" t="n">
        <v>0.5</v>
      </c>
      <c r="B1246" s="31" t="n">
        <v>0</v>
      </c>
      <c r="C1246" s="31" t="n">
        <v>0.4</v>
      </c>
      <c r="D1246" s="31" t="n">
        <v>0.1</v>
      </c>
      <c r="E1246" s="27" t="inlineStr">
        <is>
          <t>ON 50%/2M 40%/3M 10%</t>
        </is>
      </c>
      <c r="F1246" s="27" t="n">
        <v>0</v>
      </c>
      <c r="G1246" s="27">
        <f>A1246*$B$7&gt;=$B$9</f>
        <v/>
      </c>
      <c r="H1246" s="13">
        <f>$B$7*(A1246*E$71+B1246*F$71+C1246*G$71+D1246*H$71)+F1246/100*$B$7*J$71-$C$71</f>
        <v/>
      </c>
      <c r="I1246" s="13">
        <f>$B$7*(A1246*L$71+B1246*M$71+C1246*N$71+D1246*O$71)+F1246/100*$B$7*Q$71-$C$71</f>
        <v/>
      </c>
      <c r="J1246" s="13">
        <f>$B$7*(A1246*S$71+B1246*T$71+C1246*U$71+D1246*V$71)+F1246/100*$B$7*X$71-$C$71</f>
        <v/>
      </c>
      <c r="K1246" s="13">
        <f>$B$7*(A1246*Z$71+B1246*AA$71+C1246*AB$71+D1246*AC$71)+F1246/100*$B$7*AE$71-$C$71</f>
        <v/>
      </c>
      <c r="L1246" s="13">
        <f>$B$7*(A1246*AG$71+B1246*AH$71+C1246*AI$71+D1246*AJ$71)+F1246/100*$B$7*AL$71-$C$71</f>
        <v/>
      </c>
      <c r="M1246" s="13">
        <f>$B$7*(A1246*AN$71+B1246*AO$71+C1246*AP$71+D1246*AQ$71)+F1246/100*$B$7*AS$71-$C$71</f>
        <v/>
      </c>
      <c r="N1246" s="13">
        <f>SUMPRODUCT($H$24:$M$24,H1246:M1246)</f>
        <v/>
      </c>
      <c r="O1246" s="14">
        <f>SQRT(SUMPRODUCT($H$24:$M$24,(H1246:M1246-N1246)^2))</f>
        <v/>
      </c>
      <c r="P1246" s="13">
        <f>MIN(H1246:M1246)</f>
        <v/>
      </c>
      <c r="Q1246" s="13">
        <f>MAX(H1246:M1246)</f>
        <v/>
      </c>
      <c r="R1246" s="27">
        <f>IF(G1246,SUMPRODUCT(($G$76:$G$1505)*($N$76:$N$1505&gt;=N1246)*($O$76:$O$1505&lt;=O1246))=1,FALSE)</f>
        <v/>
      </c>
      <c r="S1246" s="16">
        <f>IF(R1246,ABS((O1246-$AC$76)/MAX(0.0001,$AC$77-$AC$76)-(N1246-$AC$78)/MAX(0.0001,$AC$79-$AC$78)),-1)</f>
        <v/>
      </c>
      <c r="T1246" s="14">
        <f>IF(G1246,O1246,NA())</f>
        <v/>
      </c>
      <c r="U1246" s="13">
        <f>IF(G1246,N1246,NA())</f>
        <v/>
      </c>
      <c r="V1246" s="14">
        <f>IF(R1246,O1246,NA())</f>
        <v/>
      </c>
      <c r="W1246" s="13">
        <f>IF(R1246,N1246,NA())</f>
        <v/>
      </c>
      <c r="X1246" s="27">
        <f>IF(G1246,P1246,"")</f>
        <v/>
      </c>
      <c r="Y1246" s="27">
        <f>IF(G1246,N1246,"")</f>
        <v/>
      </c>
      <c r="Z1246" s="27">
        <f>IF(R1246,O1246,"")</f>
        <v/>
      </c>
      <c r="AA1246" s="27">
        <f>IF(R1246,N1246,"")</f>
        <v/>
      </c>
    </row>
    <row r="1247">
      <c r="A1247" s="31" t="n">
        <v>0.5</v>
      </c>
      <c r="B1247" s="31" t="n">
        <v>0</v>
      </c>
      <c r="C1247" s="31" t="n">
        <v>0.4</v>
      </c>
      <c r="D1247" s="31" t="n">
        <v>0.1</v>
      </c>
      <c r="E1247" s="27" t="inlineStr">
        <is>
          <t>ON 50%/2M 40%/3M 10%</t>
        </is>
      </c>
      <c r="F1247" s="27" t="n">
        <v>25</v>
      </c>
      <c r="G1247" s="27">
        <f>A1247*$B$7&gt;=$B$9</f>
        <v/>
      </c>
      <c r="H1247" s="13">
        <f>$B$7*(A1247*E$71+B1247*F$71+C1247*G$71+D1247*H$71)+F1247/100*$B$7*J$71-$C$71</f>
        <v/>
      </c>
      <c r="I1247" s="13">
        <f>$B$7*(A1247*L$71+B1247*M$71+C1247*N$71+D1247*O$71)+F1247/100*$B$7*Q$71-$C$71</f>
        <v/>
      </c>
      <c r="J1247" s="13">
        <f>$B$7*(A1247*S$71+B1247*T$71+C1247*U$71+D1247*V$71)+F1247/100*$B$7*X$71-$C$71</f>
        <v/>
      </c>
      <c r="K1247" s="13">
        <f>$B$7*(A1247*Z$71+B1247*AA$71+C1247*AB$71+D1247*AC$71)+F1247/100*$B$7*AE$71-$C$71</f>
        <v/>
      </c>
      <c r="L1247" s="13">
        <f>$B$7*(A1247*AG$71+B1247*AH$71+C1247*AI$71+D1247*AJ$71)+F1247/100*$B$7*AL$71-$C$71</f>
        <v/>
      </c>
      <c r="M1247" s="13">
        <f>$B$7*(A1247*AN$71+B1247*AO$71+C1247*AP$71+D1247*AQ$71)+F1247/100*$B$7*AS$71-$C$71</f>
        <v/>
      </c>
      <c r="N1247" s="13">
        <f>SUMPRODUCT($H$24:$M$24,H1247:M1247)</f>
        <v/>
      </c>
      <c r="O1247" s="14">
        <f>SQRT(SUMPRODUCT($H$24:$M$24,(H1247:M1247-N1247)^2))</f>
        <v/>
      </c>
      <c r="P1247" s="13">
        <f>MIN(H1247:M1247)</f>
        <v/>
      </c>
      <c r="Q1247" s="13">
        <f>MAX(H1247:M1247)</f>
        <v/>
      </c>
      <c r="R1247" s="27">
        <f>IF(G1247,SUMPRODUCT(($G$76:$G$1505)*($N$76:$N$1505&gt;=N1247)*($O$76:$O$1505&lt;=O1247))=1,FALSE)</f>
        <v/>
      </c>
      <c r="S1247" s="16">
        <f>IF(R1247,ABS((O1247-$AC$76)/MAX(0.0001,$AC$77-$AC$76)-(N1247-$AC$78)/MAX(0.0001,$AC$79-$AC$78)),-1)</f>
        <v/>
      </c>
      <c r="T1247" s="14">
        <f>IF(G1247,O1247,NA())</f>
        <v/>
      </c>
      <c r="U1247" s="13">
        <f>IF(G1247,N1247,NA())</f>
        <v/>
      </c>
      <c r="V1247" s="14">
        <f>IF(R1247,O1247,NA())</f>
        <v/>
      </c>
      <c r="W1247" s="13">
        <f>IF(R1247,N1247,NA())</f>
        <v/>
      </c>
      <c r="X1247" s="27">
        <f>IF(G1247,P1247,"")</f>
        <v/>
      </c>
      <c r="Y1247" s="27">
        <f>IF(G1247,N1247,"")</f>
        <v/>
      </c>
      <c r="Z1247" s="27">
        <f>IF(R1247,O1247,"")</f>
        <v/>
      </c>
      <c r="AA1247" s="27">
        <f>IF(R1247,N1247,"")</f>
        <v/>
      </c>
    </row>
    <row r="1248">
      <c r="A1248" s="31" t="n">
        <v>0.5</v>
      </c>
      <c r="B1248" s="31" t="n">
        <v>0</v>
      </c>
      <c r="C1248" s="31" t="n">
        <v>0.4</v>
      </c>
      <c r="D1248" s="31" t="n">
        <v>0.1</v>
      </c>
      <c r="E1248" s="27" t="inlineStr">
        <is>
          <t>ON 50%/2M 40%/3M 10%</t>
        </is>
      </c>
      <c r="F1248" s="27" t="n">
        <v>50</v>
      </c>
      <c r="G1248" s="27">
        <f>A1248*$B$7&gt;=$B$9</f>
        <v/>
      </c>
      <c r="H1248" s="13">
        <f>$B$7*(A1248*E$71+B1248*F$71+C1248*G$71+D1248*H$71)+F1248/100*$B$7*J$71-$C$71</f>
        <v/>
      </c>
      <c r="I1248" s="13">
        <f>$B$7*(A1248*L$71+B1248*M$71+C1248*N$71+D1248*O$71)+F1248/100*$B$7*Q$71-$C$71</f>
        <v/>
      </c>
      <c r="J1248" s="13">
        <f>$B$7*(A1248*S$71+B1248*T$71+C1248*U$71+D1248*V$71)+F1248/100*$B$7*X$71-$C$71</f>
        <v/>
      </c>
      <c r="K1248" s="13">
        <f>$B$7*(A1248*Z$71+B1248*AA$71+C1248*AB$71+D1248*AC$71)+F1248/100*$B$7*AE$71-$C$71</f>
        <v/>
      </c>
      <c r="L1248" s="13">
        <f>$B$7*(A1248*AG$71+B1248*AH$71+C1248*AI$71+D1248*AJ$71)+F1248/100*$B$7*AL$71-$C$71</f>
        <v/>
      </c>
      <c r="M1248" s="13">
        <f>$B$7*(A1248*AN$71+B1248*AO$71+C1248*AP$71+D1248*AQ$71)+F1248/100*$B$7*AS$71-$C$71</f>
        <v/>
      </c>
      <c r="N1248" s="13">
        <f>SUMPRODUCT($H$24:$M$24,H1248:M1248)</f>
        <v/>
      </c>
      <c r="O1248" s="14">
        <f>SQRT(SUMPRODUCT($H$24:$M$24,(H1248:M1248-N1248)^2))</f>
        <v/>
      </c>
      <c r="P1248" s="13">
        <f>MIN(H1248:M1248)</f>
        <v/>
      </c>
      <c r="Q1248" s="13">
        <f>MAX(H1248:M1248)</f>
        <v/>
      </c>
      <c r="R1248" s="27">
        <f>IF(G1248,SUMPRODUCT(($G$76:$G$1505)*($N$76:$N$1505&gt;=N1248)*($O$76:$O$1505&lt;=O1248))=1,FALSE)</f>
        <v/>
      </c>
      <c r="S1248" s="16">
        <f>IF(R1248,ABS((O1248-$AC$76)/MAX(0.0001,$AC$77-$AC$76)-(N1248-$AC$78)/MAX(0.0001,$AC$79-$AC$78)),-1)</f>
        <v/>
      </c>
      <c r="T1248" s="14">
        <f>IF(G1248,O1248,NA())</f>
        <v/>
      </c>
      <c r="U1248" s="13">
        <f>IF(G1248,N1248,NA())</f>
        <v/>
      </c>
      <c r="V1248" s="14">
        <f>IF(R1248,O1248,NA())</f>
        <v/>
      </c>
      <c r="W1248" s="13">
        <f>IF(R1248,N1248,NA())</f>
        <v/>
      </c>
      <c r="X1248" s="27">
        <f>IF(G1248,P1248,"")</f>
        <v/>
      </c>
      <c r="Y1248" s="27">
        <f>IF(G1248,N1248,"")</f>
        <v/>
      </c>
      <c r="Z1248" s="27">
        <f>IF(R1248,O1248,"")</f>
        <v/>
      </c>
      <c r="AA1248" s="27">
        <f>IF(R1248,N1248,"")</f>
        <v/>
      </c>
    </row>
    <row r="1249">
      <c r="A1249" s="31" t="n">
        <v>0.5</v>
      </c>
      <c r="B1249" s="31" t="n">
        <v>0</v>
      </c>
      <c r="C1249" s="31" t="n">
        <v>0.4</v>
      </c>
      <c r="D1249" s="31" t="n">
        <v>0.1</v>
      </c>
      <c r="E1249" s="27" t="inlineStr">
        <is>
          <t>ON 50%/2M 40%/3M 10%</t>
        </is>
      </c>
      <c r="F1249" s="27" t="n">
        <v>75</v>
      </c>
      <c r="G1249" s="27">
        <f>A1249*$B$7&gt;=$B$9</f>
        <v/>
      </c>
      <c r="H1249" s="13">
        <f>$B$7*(A1249*E$71+B1249*F$71+C1249*G$71+D1249*H$71)+F1249/100*$B$7*J$71-$C$71</f>
        <v/>
      </c>
      <c r="I1249" s="13">
        <f>$B$7*(A1249*L$71+B1249*M$71+C1249*N$71+D1249*O$71)+F1249/100*$B$7*Q$71-$C$71</f>
        <v/>
      </c>
      <c r="J1249" s="13">
        <f>$B$7*(A1249*S$71+B1249*T$71+C1249*U$71+D1249*V$71)+F1249/100*$B$7*X$71-$C$71</f>
        <v/>
      </c>
      <c r="K1249" s="13">
        <f>$B$7*(A1249*Z$71+B1249*AA$71+C1249*AB$71+D1249*AC$71)+F1249/100*$B$7*AE$71-$C$71</f>
        <v/>
      </c>
      <c r="L1249" s="13">
        <f>$B$7*(A1249*AG$71+B1249*AH$71+C1249*AI$71+D1249*AJ$71)+F1249/100*$B$7*AL$71-$C$71</f>
        <v/>
      </c>
      <c r="M1249" s="13">
        <f>$B$7*(A1249*AN$71+B1249*AO$71+C1249*AP$71+D1249*AQ$71)+F1249/100*$B$7*AS$71-$C$71</f>
        <v/>
      </c>
      <c r="N1249" s="13">
        <f>SUMPRODUCT($H$24:$M$24,H1249:M1249)</f>
        <v/>
      </c>
      <c r="O1249" s="14">
        <f>SQRT(SUMPRODUCT($H$24:$M$24,(H1249:M1249-N1249)^2))</f>
        <v/>
      </c>
      <c r="P1249" s="13">
        <f>MIN(H1249:M1249)</f>
        <v/>
      </c>
      <c r="Q1249" s="13">
        <f>MAX(H1249:M1249)</f>
        <v/>
      </c>
      <c r="R1249" s="27">
        <f>IF(G1249,SUMPRODUCT(($G$76:$G$1505)*($N$76:$N$1505&gt;=N1249)*($O$76:$O$1505&lt;=O1249))=1,FALSE)</f>
        <v/>
      </c>
      <c r="S1249" s="16">
        <f>IF(R1249,ABS((O1249-$AC$76)/MAX(0.0001,$AC$77-$AC$76)-(N1249-$AC$78)/MAX(0.0001,$AC$79-$AC$78)),-1)</f>
        <v/>
      </c>
      <c r="T1249" s="14">
        <f>IF(G1249,O1249,NA())</f>
        <v/>
      </c>
      <c r="U1249" s="13">
        <f>IF(G1249,N1249,NA())</f>
        <v/>
      </c>
      <c r="V1249" s="14">
        <f>IF(R1249,O1249,NA())</f>
        <v/>
      </c>
      <c r="W1249" s="13">
        <f>IF(R1249,N1249,NA())</f>
        <v/>
      </c>
      <c r="X1249" s="27">
        <f>IF(G1249,P1249,"")</f>
        <v/>
      </c>
      <c r="Y1249" s="27">
        <f>IF(G1249,N1249,"")</f>
        <v/>
      </c>
      <c r="Z1249" s="27">
        <f>IF(R1249,O1249,"")</f>
        <v/>
      </c>
      <c r="AA1249" s="27">
        <f>IF(R1249,N1249,"")</f>
        <v/>
      </c>
    </row>
    <row r="1250">
      <c r="A1250" s="31" t="n">
        <v>0.5</v>
      </c>
      <c r="B1250" s="31" t="n">
        <v>0</v>
      </c>
      <c r="C1250" s="31" t="n">
        <v>0.4</v>
      </c>
      <c r="D1250" s="31" t="n">
        <v>0.1</v>
      </c>
      <c r="E1250" s="27" t="inlineStr">
        <is>
          <t>ON 50%/2M 40%/3M 10%</t>
        </is>
      </c>
      <c r="F1250" s="27" t="n">
        <v>100</v>
      </c>
      <c r="G1250" s="27">
        <f>A1250*$B$7&gt;=$B$9</f>
        <v/>
      </c>
      <c r="H1250" s="13">
        <f>$B$7*(A1250*E$71+B1250*F$71+C1250*G$71+D1250*H$71)+F1250/100*$B$7*J$71-$C$71</f>
        <v/>
      </c>
      <c r="I1250" s="13">
        <f>$B$7*(A1250*L$71+B1250*M$71+C1250*N$71+D1250*O$71)+F1250/100*$B$7*Q$71-$C$71</f>
        <v/>
      </c>
      <c r="J1250" s="13">
        <f>$B$7*(A1250*S$71+B1250*T$71+C1250*U$71+D1250*V$71)+F1250/100*$B$7*X$71-$C$71</f>
        <v/>
      </c>
      <c r="K1250" s="13">
        <f>$B$7*(A1250*Z$71+B1250*AA$71+C1250*AB$71+D1250*AC$71)+F1250/100*$B$7*AE$71-$C$71</f>
        <v/>
      </c>
      <c r="L1250" s="13">
        <f>$B$7*(A1250*AG$71+B1250*AH$71+C1250*AI$71+D1250*AJ$71)+F1250/100*$B$7*AL$71-$C$71</f>
        <v/>
      </c>
      <c r="M1250" s="13">
        <f>$B$7*(A1250*AN$71+B1250*AO$71+C1250*AP$71+D1250*AQ$71)+F1250/100*$B$7*AS$71-$C$71</f>
        <v/>
      </c>
      <c r="N1250" s="13">
        <f>SUMPRODUCT($H$24:$M$24,H1250:M1250)</f>
        <v/>
      </c>
      <c r="O1250" s="14">
        <f>SQRT(SUMPRODUCT($H$24:$M$24,(H1250:M1250-N1250)^2))</f>
        <v/>
      </c>
      <c r="P1250" s="13">
        <f>MIN(H1250:M1250)</f>
        <v/>
      </c>
      <c r="Q1250" s="13">
        <f>MAX(H1250:M1250)</f>
        <v/>
      </c>
      <c r="R1250" s="27">
        <f>IF(G1250,SUMPRODUCT(($G$76:$G$1505)*($N$76:$N$1505&gt;=N1250)*($O$76:$O$1505&lt;=O1250))=1,FALSE)</f>
        <v/>
      </c>
      <c r="S1250" s="16">
        <f>IF(R1250,ABS((O1250-$AC$76)/MAX(0.0001,$AC$77-$AC$76)-(N1250-$AC$78)/MAX(0.0001,$AC$79-$AC$78)),-1)</f>
        <v/>
      </c>
      <c r="T1250" s="14">
        <f>IF(G1250,O1250,NA())</f>
        <v/>
      </c>
      <c r="U1250" s="13">
        <f>IF(G1250,N1250,NA())</f>
        <v/>
      </c>
      <c r="V1250" s="14">
        <f>IF(R1250,O1250,NA())</f>
        <v/>
      </c>
      <c r="W1250" s="13">
        <f>IF(R1250,N1250,NA())</f>
        <v/>
      </c>
      <c r="X1250" s="27">
        <f>IF(G1250,P1250,"")</f>
        <v/>
      </c>
      <c r="Y1250" s="27">
        <f>IF(G1250,N1250,"")</f>
        <v/>
      </c>
      <c r="Z1250" s="27">
        <f>IF(R1250,O1250,"")</f>
        <v/>
      </c>
      <c r="AA1250" s="27">
        <f>IF(R1250,N1250,"")</f>
        <v/>
      </c>
    </row>
    <row r="1251">
      <c r="A1251" s="31" t="n">
        <v>0.5</v>
      </c>
      <c r="B1251" s="31" t="n">
        <v>0</v>
      </c>
      <c r="C1251" s="31" t="n">
        <v>0.5</v>
      </c>
      <c r="D1251" s="31" t="n">
        <v>0</v>
      </c>
      <c r="E1251" s="27" t="inlineStr">
        <is>
          <t>ON 50%/2M 50%</t>
        </is>
      </c>
      <c r="F1251" s="27" t="n">
        <v>0</v>
      </c>
      <c r="G1251" s="27">
        <f>A1251*$B$7&gt;=$B$9</f>
        <v/>
      </c>
      <c r="H1251" s="13">
        <f>$B$7*(A1251*E$71+B1251*F$71+C1251*G$71+D1251*H$71)+F1251/100*$B$7*J$71-$C$71</f>
        <v/>
      </c>
      <c r="I1251" s="13">
        <f>$B$7*(A1251*L$71+B1251*M$71+C1251*N$71+D1251*O$71)+F1251/100*$B$7*Q$71-$C$71</f>
        <v/>
      </c>
      <c r="J1251" s="13">
        <f>$B$7*(A1251*S$71+B1251*T$71+C1251*U$71+D1251*V$71)+F1251/100*$B$7*X$71-$C$71</f>
        <v/>
      </c>
      <c r="K1251" s="13">
        <f>$B$7*(A1251*Z$71+B1251*AA$71+C1251*AB$71+D1251*AC$71)+F1251/100*$B$7*AE$71-$C$71</f>
        <v/>
      </c>
      <c r="L1251" s="13">
        <f>$B$7*(A1251*AG$71+B1251*AH$71+C1251*AI$71+D1251*AJ$71)+F1251/100*$B$7*AL$71-$C$71</f>
        <v/>
      </c>
      <c r="M1251" s="13">
        <f>$B$7*(A1251*AN$71+B1251*AO$71+C1251*AP$71+D1251*AQ$71)+F1251/100*$B$7*AS$71-$C$71</f>
        <v/>
      </c>
      <c r="N1251" s="13">
        <f>SUMPRODUCT($H$24:$M$24,H1251:M1251)</f>
        <v/>
      </c>
      <c r="O1251" s="14">
        <f>SQRT(SUMPRODUCT($H$24:$M$24,(H1251:M1251-N1251)^2))</f>
        <v/>
      </c>
      <c r="P1251" s="13">
        <f>MIN(H1251:M1251)</f>
        <v/>
      </c>
      <c r="Q1251" s="13">
        <f>MAX(H1251:M1251)</f>
        <v/>
      </c>
      <c r="R1251" s="27">
        <f>IF(G1251,SUMPRODUCT(($G$76:$G$1505)*($N$76:$N$1505&gt;=N1251)*($O$76:$O$1505&lt;=O1251))=1,FALSE)</f>
        <v/>
      </c>
      <c r="S1251" s="16">
        <f>IF(R1251,ABS((O1251-$AC$76)/MAX(0.0001,$AC$77-$AC$76)-(N1251-$AC$78)/MAX(0.0001,$AC$79-$AC$78)),-1)</f>
        <v/>
      </c>
      <c r="T1251" s="14">
        <f>IF(G1251,O1251,NA())</f>
        <v/>
      </c>
      <c r="U1251" s="13">
        <f>IF(G1251,N1251,NA())</f>
        <v/>
      </c>
      <c r="V1251" s="14">
        <f>IF(R1251,O1251,NA())</f>
        <v/>
      </c>
      <c r="W1251" s="13">
        <f>IF(R1251,N1251,NA())</f>
        <v/>
      </c>
      <c r="X1251" s="27">
        <f>IF(G1251,P1251,"")</f>
        <v/>
      </c>
      <c r="Y1251" s="27">
        <f>IF(G1251,N1251,"")</f>
        <v/>
      </c>
      <c r="Z1251" s="27">
        <f>IF(R1251,O1251,"")</f>
        <v/>
      </c>
      <c r="AA1251" s="27">
        <f>IF(R1251,N1251,"")</f>
        <v/>
      </c>
    </row>
    <row r="1252">
      <c r="A1252" s="31" t="n">
        <v>0.5</v>
      </c>
      <c r="B1252" s="31" t="n">
        <v>0</v>
      </c>
      <c r="C1252" s="31" t="n">
        <v>0.5</v>
      </c>
      <c r="D1252" s="31" t="n">
        <v>0</v>
      </c>
      <c r="E1252" s="27" t="inlineStr">
        <is>
          <t>ON 50%/2M 50%</t>
        </is>
      </c>
      <c r="F1252" s="27" t="n">
        <v>25</v>
      </c>
      <c r="G1252" s="27">
        <f>A1252*$B$7&gt;=$B$9</f>
        <v/>
      </c>
      <c r="H1252" s="13">
        <f>$B$7*(A1252*E$71+B1252*F$71+C1252*G$71+D1252*H$71)+F1252/100*$B$7*J$71-$C$71</f>
        <v/>
      </c>
      <c r="I1252" s="13">
        <f>$B$7*(A1252*L$71+B1252*M$71+C1252*N$71+D1252*O$71)+F1252/100*$B$7*Q$71-$C$71</f>
        <v/>
      </c>
      <c r="J1252" s="13">
        <f>$B$7*(A1252*S$71+B1252*T$71+C1252*U$71+D1252*V$71)+F1252/100*$B$7*X$71-$C$71</f>
        <v/>
      </c>
      <c r="K1252" s="13">
        <f>$B$7*(A1252*Z$71+B1252*AA$71+C1252*AB$71+D1252*AC$71)+F1252/100*$B$7*AE$71-$C$71</f>
        <v/>
      </c>
      <c r="L1252" s="13">
        <f>$B$7*(A1252*AG$71+B1252*AH$71+C1252*AI$71+D1252*AJ$71)+F1252/100*$B$7*AL$71-$C$71</f>
        <v/>
      </c>
      <c r="M1252" s="13">
        <f>$B$7*(A1252*AN$71+B1252*AO$71+C1252*AP$71+D1252*AQ$71)+F1252/100*$B$7*AS$71-$C$71</f>
        <v/>
      </c>
      <c r="N1252" s="13">
        <f>SUMPRODUCT($H$24:$M$24,H1252:M1252)</f>
        <v/>
      </c>
      <c r="O1252" s="14">
        <f>SQRT(SUMPRODUCT($H$24:$M$24,(H1252:M1252-N1252)^2))</f>
        <v/>
      </c>
      <c r="P1252" s="13">
        <f>MIN(H1252:M1252)</f>
        <v/>
      </c>
      <c r="Q1252" s="13">
        <f>MAX(H1252:M1252)</f>
        <v/>
      </c>
      <c r="R1252" s="27">
        <f>IF(G1252,SUMPRODUCT(($G$76:$G$1505)*($N$76:$N$1505&gt;=N1252)*($O$76:$O$1505&lt;=O1252))=1,FALSE)</f>
        <v/>
      </c>
      <c r="S1252" s="16">
        <f>IF(R1252,ABS((O1252-$AC$76)/MAX(0.0001,$AC$77-$AC$76)-(N1252-$AC$78)/MAX(0.0001,$AC$79-$AC$78)),-1)</f>
        <v/>
      </c>
      <c r="T1252" s="14">
        <f>IF(G1252,O1252,NA())</f>
        <v/>
      </c>
      <c r="U1252" s="13">
        <f>IF(G1252,N1252,NA())</f>
        <v/>
      </c>
      <c r="V1252" s="14">
        <f>IF(R1252,O1252,NA())</f>
        <v/>
      </c>
      <c r="W1252" s="13">
        <f>IF(R1252,N1252,NA())</f>
        <v/>
      </c>
      <c r="X1252" s="27">
        <f>IF(G1252,P1252,"")</f>
        <v/>
      </c>
      <c r="Y1252" s="27">
        <f>IF(G1252,N1252,"")</f>
        <v/>
      </c>
      <c r="Z1252" s="27">
        <f>IF(R1252,O1252,"")</f>
        <v/>
      </c>
      <c r="AA1252" s="27">
        <f>IF(R1252,N1252,"")</f>
        <v/>
      </c>
    </row>
    <row r="1253">
      <c r="A1253" s="31" t="n">
        <v>0.5</v>
      </c>
      <c r="B1253" s="31" t="n">
        <v>0</v>
      </c>
      <c r="C1253" s="31" t="n">
        <v>0.5</v>
      </c>
      <c r="D1253" s="31" t="n">
        <v>0</v>
      </c>
      <c r="E1253" s="27" t="inlineStr">
        <is>
          <t>ON 50%/2M 50%</t>
        </is>
      </c>
      <c r="F1253" s="27" t="n">
        <v>50</v>
      </c>
      <c r="G1253" s="27">
        <f>A1253*$B$7&gt;=$B$9</f>
        <v/>
      </c>
      <c r="H1253" s="13">
        <f>$B$7*(A1253*E$71+B1253*F$71+C1253*G$71+D1253*H$71)+F1253/100*$B$7*J$71-$C$71</f>
        <v/>
      </c>
      <c r="I1253" s="13">
        <f>$B$7*(A1253*L$71+B1253*M$71+C1253*N$71+D1253*O$71)+F1253/100*$B$7*Q$71-$C$71</f>
        <v/>
      </c>
      <c r="J1253" s="13">
        <f>$B$7*(A1253*S$71+B1253*T$71+C1253*U$71+D1253*V$71)+F1253/100*$B$7*X$71-$C$71</f>
        <v/>
      </c>
      <c r="K1253" s="13">
        <f>$B$7*(A1253*Z$71+B1253*AA$71+C1253*AB$71+D1253*AC$71)+F1253/100*$B$7*AE$71-$C$71</f>
        <v/>
      </c>
      <c r="L1253" s="13">
        <f>$B$7*(A1253*AG$71+B1253*AH$71+C1253*AI$71+D1253*AJ$71)+F1253/100*$B$7*AL$71-$C$71</f>
        <v/>
      </c>
      <c r="M1253" s="13">
        <f>$B$7*(A1253*AN$71+B1253*AO$71+C1253*AP$71+D1253*AQ$71)+F1253/100*$B$7*AS$71-$C$71</f>
        <v/>
      </c>
      <c r="N1253" s="13">
        <f>SUMPRODUCT($H$24:$M$24,H1253:M1253)</f>
        <v/>
      </c>
      <c r="O1253" s="14">
        <f>SQRT(SUMPRODUCT($H$24:$M$24,(H1253:M1253-N1253)^2))</f>
        <v/>
      </c>
      <c r="P1253" s="13">
        <f>MIN(H1253:M1253)</f>
        <v/>
      </c>
      <c r="Q1253" s="13">
        <f>MAX(H1253:M1253)</f>
        <v/>
      </c>
      <c r="R1253" s="27">
        <f>IF(G1253,SUMPRODUCT(($G$76:$G$1505)*($N$76:$N$1505&gt;=N1253)*($O$76:$O$1505&lt;=O1253))=1,FALSE)</f>
        <v/>
      </c>
      <c r="S1253" s="16">
        <f>IF(R1253,ABS((O1253-$AC$76)/MAX(0.0001,$AC$77-$AC$76)-(N1253-$AC$78)/MAX(0.0001,$AC$79-$AC$78)),-1)</f>
        <v/>
      </c>
      <c r="T1253" s="14">
        <f>IF(G1253,O1253,NA())</f>
        <v/>
      </c>
      <c r="U1253" s="13">
        <f>IF(G1253,N1253,NA())</f>
        <v/>
      </c>
      <c r="V1253" s="14">
        <f>IF(R1253,O1253,NA())</f>
        <v/>
      </c>
      <c r="W1253" s="13">
        <f>IF(R1253,N1253,NA())</f>
        <v/>
      </c>
      <c r="X1253" s="27">
        <f>IF(G1253,P1253,"")</f>
        <v/>
      </c>
      <c r="Y1253" s="27">
        <f>IF(G1253,N1253,"")</f>
        <v/>
      </c>
      <c r="Z1253" s="27">
        <f>IF(R1253,O1253,"")</f>
        <v/>
      </c>
      <c r="AA1253" s="27">
        <f>IF(R1253,N1253,"")</f>
        <v/>
      </c>
    </row>
    <row r="1254">
      <c r="A1254" s="31" t="n">
        <v>0.5</v>
      </c>
      <c r="B1254" s="31" t="n">
        <v>0</v>
      </c>
      <c r="C1254" s="31" t="n">
        <v>0.5</v>
      </c>
      <c r="D1254" s="31" t="n">
        <v>0</v>
      </c>
      <c r="E1254" s="27" t="inlineStr">
        <is>
          <t>ON 50%/2M 50%</t>
        </is>
      </c>
      <c r="F1254" s="27" t="n">
        <v>75</v>
      </c>
      <c r="G1254" s="27">
        <f>A1254*$B$7&gt;=$B$9</f>
        <v/>
      </c>
      <c r="H1254" s="13">
        <f>$B$7*(A1254*E$71+B1254*F$71+C1254*G$71+D1254*H$71)+F1254/100*$B$7*J$71-$C$71</f>
        <v/>
      </c>
      <c r="I1254" s="13">
        <f>$B$7*(A1254*L$71+B1254*M$71+C1254*N$71+D1254*O$71)+F1254/100*$B$7*Q$71-$C$71</f>
        <v/>
      </c>
      <c r="J1254" s="13">
        <f>$B$7*(A1254*S$71+B1254*T$71+C1254*U$71+D1254*V$71)+F1254/100*$B$7*X$71-$C$71</f>
        <v/>
      </c>
      <c r="K1254" s="13">
        <f>$B$7*(A1254*Z$71+B1254*AA$71+C1254*AB$71+D1254*AC$71)+F1254/100*$B$7*AE$71-$C$71</f>
        <v/>
      </c>
      <c r="L1254" s="13">
        <f>$B$7*(A1254*AG$71+B1254*AH$71+C1254*AI$71+D1254*AJ$71)+F1254/100*$B$7*AL$71-$C$71</f>
        <v/>
      </c>
      <c r="M1254" s="13">
        <f>$B$7*(A1254*AN$71+B1254*AO$71+C1254*AP$71+D1254*AQ$71)+F1254/100*$B$7*AS$71-$C$71</f>
        <v/>
      </c>
      <c r="N1254" s="13">
        <f>SUMPRODUCT($H$24:$M$24,H1254:M1254)</f>
        <v/>
      </c>
      <c r="O1254" s="14">
        <f>SQRT(SUMPRODUCT($H$24:$M$24,(H1254:M1254-N1254)^2))</f>
        <v/>
      </c>
      <c r="P1254" s="13">
        <f>MIN(H1254:M1254)</f>
        <v/>
      </c>
      <c r="Q1254" s="13">
        <f>MAX(H1254:M1254)</f>
        <v/>
      </c>
      <c r="R1254" s="27">
        <f>IF(G1254,SUMPRODUCT(($G$76:$G$1505)*($N$76:$N$1505&gt;=N1254)*($O$76:$O$1505&lt;=O1254))=1,FALSE)</f>
        <v/>
      </c>
      <c r="S1254" s="16">
        <f>IF(R1254,ABS((O1254-$AC$76)/MAX(0.0001,$AC$77-$AC$76)-(N1254-$AC$78)/MAX(0.0001,$AC$79-$AC$78)),-1)</f>
        <v/>
      </c>
      <c r="T1254" s="14">
        <f>IF(G1254,O1254,NA())</f>
        <v/>
      </c>
      <c r="U1254" s="13">
        <f>IF(G1254,N1254,NA())</f>
        <v/>
      </c>
      <c r="V1254" s="14">
        <f>IF(R1254,O1254,NA())</f>
        <v/>
      </c>
      <c r="W1254" s="13">
        <f>IF(R1254,N1254,NA())</f>
        <v/>
      </c>
      <c r="X1254" s="27">
        <f>IF(G1254,P1254,"")</f>
        <v/>
      </c>
      <c r="Y1254" s="27">
        <f>IF(G1254,N1254,"")</f>
        <v/>
      </c>
      <c r="Z1254" s="27">
        <f>IF(R1254,O1254,"")</f>
        <v/>
      </c>
      <c r="AA1254" s="27">
        <f>IF(R1254,N1254,"")</f>
        <v/>
      </c>
    </row>
    <row r="1255">
      <c r="A1255" s="31" t="n">
        <v>0.5</v>
      </c>
      <c r="B1255" s="31" t="n">
        <v>0</v>
      </c>
      <c r="C1255" s="31" t="n">
        <v>0.5</v>
      </c>
      <c r="D1255" s="31" t="n">
        <v>0</v>
      </c>
      <c r="E1255" s="27" t="inlineStr">
        <is>
          <t>ON 50%/2M 50%</t>
        </is>
      </c>
      <c r="F1255" s="27" t="n">
        <v>100</v>
      </c>
      <c r="G1255" s="27">
        <f>A1255*$B$7&gt;=$B$9</f>
        <v/>
      </c>
      <c r="H1255" s="13">
        <f>$B$7*(A1255*E$71+B1255*F$71+C1255*G$71+D1255*H$71)+F1255/100*$B$7*J$71-$C$71</f>
        <v/>
      </c>
      <c r="I1255" s="13">
        <f>$B$7*(A1255*L$71+B1255*M$71+C1255*N$71+D1255*O$71)+F1255/100*$B$7*Q$71-$C$71</f>
        <v/>
      </c>
      <c r="J1255" s="13">
        <f>$B$7*(A1255*S$71+B1255*T$71+C1255*U$71+D1255*V$71)+F1255/100*$B$7*X$71-$C$71</f>
        <v/>
      </c>
      <c r="K1255" s="13">
        <f>$B$7*(A1255*Z$71+B1255*AA$71+C1255*AB$71+D1255*AC$71)+F1255/100*$B$7*AE$71-$C$71</f>
        <v/>
      </c>
      <c r="L1255" s="13">
        <f>$B$7*(A1255*AG$71+B1255*AH$71+C1255*AI$71+D1255*AJ$71)+F1255/100*$B$7*AL$71-$C$71</f>
        <v/>
      </c>
      <c r="M1255" s="13">
        <f>$B$7*(A1255*AN$71+B1255*AO$71+C1255*AP$71+D1255*AQ$71)+F1255/100*$B$7*AS$71-$C$71</f>
        <v/>
      </c>
      <c r="N1255" s="13">
        <f>SUMPRODUCT($H$24:$M$24,H1255:M1255)</f>
        <v/>
      </c>
      <c r="O1255" s="14">
        <f>SQRT(SUMPRODUCT($H$24:$M$24,(H1255:M1255-N1255)^2))</f>
        <v/>
      </c>
      <c r="P1255" s="13">
        <f>MIN(H1255:M1255)</f>
        <v/>
      </c>
      <c r="Q1255" s="13">
        <f>MAX(H1255:M1255)</f>
        <v/>
      </c>
      <c r="R1255" s="27">
        <f>IF(G1255,SUMPRODUCT(($G$76:$G$1505)*($N$76:$N$1505&gt;=N1255)*($O$76:$O$1505&lt;=O1255))=1,FALSE)</f>
        <v/>
      </c>
      <c r="S1255" s="16">
        <f>IF(R1255,ABS((O1255-$AC$76)/MAX(0.0001,$AC$77-$AC$76)-(N1255-$AC$78)/MAX(0.0001,$AC$79-$AC$78)),-1)</f>
        <v/>
      </c>
      <c r="T1255" s="14">
        <f>IF(G1255,O1255,NA())</f>
        <v/>
      </c>
      <c r="U1255" s="13">
        <f>IF(G1255,N1255,NA())</f>
        <v/>
      </c>
      <c r="V1255" s="14">
        <f>IF(R1255,O1255,NA())</f>
        <v/>
      </c>
      <c r="W1255" s="13">
        <f>IF(R1255,N1255,NA())</f>
        <v/>
      </c>
      <c r="X1255" s="27">
        <f>IF(G1255,P1255,"")</f>
        <v/>
      </c>
      <c r="Y1255" s="27">
        <f>IF(G1255,N1255,"")</f>
        <v/>
      </c>
      <c r="Z1255" s="27">
        <f>IF(R1255,O1255,"")</f>
        <v/>
      </c>
      <c r="AA1255" s="27">
        <f>IF(R1255,N1255,"")</f>
        <v/>
      </c>
    </row>
    <row r="1256">
      <c r="A1256" s="31" t="n">
        <v>0.5</v>
      </c>
      <c r="B1256" s="31" t="n">
        <v>0.1</v>
      </c>
      <c r="C1256" s="31" t="n">
        <v>0</v>
      </c>
      <c r="D1256" s="31" t="n">
        <v>0.4</v>
      </c>
      <c r="E1256" s="27" t="inlineStr">
        <is>
          <t>ON 50%/1M 10%/3M 40%</t>
        </is>
      </c>
      <c r="F1256" s="27" t="n">
        <v>0</v>
      </c>
      <c r="G1256" s="27">
        <f>A1256*$B$7&gt;=$B$9</f>
        <v/>
      </c>
      <c r="H1256" s="13">
        <f>$B$7*(A1256*E$71+B1256*F$71+C1256*G$71+D1256*H$71)+F1256/100*$B$7*J$71-$C$71</f>
        <v/>
      </c>
      <c r="I1256" s="13">
        <f>$B$7*(A1256*L$71+B1256*M$71+C1256*N$71+D1256*O$71)+F1256/100*$B$7*Q$71-$C$71</f>
        <v/>
      </c>
      <c r="J1256" s="13">
        <f>$B$7*(A1256*S$71+B1256*T$71+C1256*U$71+D1256*V$71)+F1256/100*$B$7*X$71-$C$71</f>
        <v/>
      </c>
      <c r="K1256" s="13">
        <f>$B$7*(A1256*Z$71+B1256*AA$71+C1256*AB$71+D1256*AC$71)+F1256/100*$B$7*AE$71-$C$71</f>
        <v/>
      </c>
      <c r="L1256" s="13">
        <f>$B$7*(A1256*AG$71+B1256*AH$71+C1256*AI$71+D1256*AJ$71)+F1256/100*$B$7*AL$71-$C$71</f>
        <v/>
      </c>
      <c r="M1256" s="13">
        <f>$B$7*(A1256*AN$71+B1256*AO$71+C1256*AP$71+D1256*AQ$71)+F1256/100*$B$7*AS$71-$C$71</f>
        <v/>
      </c>
      <c r="N1256" s="13">
        <f>SUMPRODUCT($H$24:$M$24,H1256:M1256)</f>
        <v/>
      </c>
      <c r="O1256" s="14">
        <f>SQRT(SUMPRODUCT($H$24:$M$24,(H1256:M1256-N1256)^2))</f>
        <v/>
      </c>
      <c r="P1256" s="13">
        <f>MIN(H1256:M1256)</f>
        <v/>
      </c>
      <c r="Q1256" s="13">
        <f>MAX(H1256:M1256)</f>
        <v/>
      </c>
      <c r="R1256" s="27">
        <f>IF(G1256,SUMPRODUCT(($G$76:$G$1505)*($N$76:$N$1505&gt;=N1256)*($O$76:$O$1505&lt;=O1256))=1,FALSE)</f>
        <v/>
      </c>
      <c r="S1256" s="16">
        <f>IF(R1256,ABS((O1256-$AC$76)/MAX(0.0001,$AC$77-$AC$76)-(N1256-$AC$78)/MAX(0.0001,$AC$79-$AC$78)),-1)</f>
        <v/>
      </c>
      <c r="T1256" s="14">
        <f>IF(G1256,O1256,NA())</f>
        <v/>
      </c>
      <c r="U1256" s="13">
        <f>IF(G1256,N1256,NA())</f>
        <v/>
      </c>
      <c r="V1256" s="14">
        <f>IF(R1256,O1256,NA())</f>
        <v/>
      </c>
      <c r="W1256" s="13">
        <f>IF(R1256,N1256,NA())</f>
        <v/>
      </c>
      <c r="X1256" s="27">
        <f>IF(G1256,P1256,"")</f>
        <v/>
      </c>
      <c r="Y1256" s="27">
        <f>IF(G1256,N1256,"")</f>
        <v/>
      </c>
      <c r="Z1256" s="27">
        <f>IF(R1256,O1256,"")</f>
        <v/>
      </c>
      <c r="AA1256" s="27">
        <f>IF(R1256,N1256,"")</f>
        <v/>
      </c>
    </row>
    <row r="1257">
      <c r="A1257" s="31" t="n">
        <v>0.5</v>
      </c>
      <c r="B1257" s="31" t="n">
        <v>0.1</v>
      </c>
      <c r="C1257" s="31" t="n">
        <v>0</v>
      </c>
      <c r="D1257" s="31" t="n">
        <v>0.4</v>
      </c>
      <c r="E1257" s="27" t="inlineStr">
        <is>
          <t>ON 50%/1M 10%/3M 40%</t>
        </is>
      </c>
      <c r="F1257" s="27" t="n">
        <v>25</v>
      </c>
      <c r="G1257" s="27">
        <f>A1257*$B$7&gt;=$B$9</f>
        <v/>
      </c>
      <c r="H1257" s="13">
        <f>$B$7*(A1257*E$71+B1257*F$71+C1257*G$71+D1257*H$71)+F1257/100*$B$7*J$71-$C$71</f>
        <v/>
      </c>
      <c r="I1257" s="13">
        <f>$B$7*(A1257*L$71+B1257*M$71+C1257*N$71+D1257*O$71)+F1257/100*$B$7*Q$71-$C$71</f>
        <v/>
      </c>
      <c r="J1257" s="13">
        <f>$B$7*(A1257*S$71+B1257*T$71+C1257*U$71+D1257*V$71)+F1257/100*$B$7*X$71-$C$71</f>
        <v/>
      </c>
      <c r="K1257" s="13">
        <f>$B$7*(A1257*Z$71+B1257*AA$71+C1257*AB$71+D1257*AC$71)+F1257/100*$B$7*AE$71-$C$71</f>
        <v/>
      </c>
      <c r="L1257" s="13">
        <f>$B$7*(A1257*AG$71+B1257*AH$71+C1257*AI$71+D1257*AJ$71)+F1257/100*$B$7*AL$71-$C$71</f>
        <v/>
      </c>
      <c r="M1257" s="13">
        <f>$B$7*(A1257*AN$71+B1257*AO$71+C1257*AP$71+D1257*AQ$71)+F1257/100*$B$7*AS$71-$C$71</f>
        <v/>
      </c>
      <c r="N1257" s="13">
        <f>SUMPRODUCT($H$24:$M$24,H1257:M1257)</f>
        <v/>
      </c>
      <c r="O1257" s="14">
        <f>SQRT(SUMPRODUCT($H$24:$M$24,(H1257:M1257-N1257)^2))</f>
        <v/>
      </c>
      <c r="P1257" s="13">
        <f>MIN(H1257:M1257)</f>
        <v/>
      </c>
      <c r="Q1257" s="13">
        <f>MAX(H1257:M1257)</f>
        <v/>
      </c>
      <c r="R1257" s="27">
        <f>IF(G1257,SUMPRODUCT(($G$76:$G$1505)*($N$76:$N$1505&gt;=N1257)*($O$76:$O$1505&lt;=O1257))=1,FALSE)</f>
        <v/>
      </c>
      <c r="S1257" s="16">
        <f>IF(R1257,ABS((O1257-$AC$76)/MAX(0.0001,$AC$77-$AC$76)-(N1257-$AC$78)/MAX(0.0001,$AC$79-$AC$78)),-1)</f>
        <v/>
      </c>
      <c r="T1257" s="14">
        <f>IF(G1257,O1257,NA())</f>
        <v/>
      </c>
      <c r="U1257" s="13">
        <f>IF(G1257,N1257,NA())</f>
        <v/>
      </c>
      <c r="V1257" s="14">
        <f>IF(R1257,O1257,NA())</f>
        <v/>
      </c>
      <c r="W1257" s="13">
        <f>IF(R1257,N1257,NA())</f>
        <v/>
      </c>
      <c r="X1257" s="27">
        <f>IF(G1257,P1257,"")</f>
        <v/>
      </c>
      <c r="Y1257" s="27">
        <f>IF(G1257,N1257,"")</f>
        <v/>
      </c>
      <c r="Z1257" s="27">
        <f>IF(R1257,O1257,"")</f>
        <v/>
      </c>
      <c r="AA1257" s="27">
        <f>IF(R1257,N1257,"")</f>
        <v/>
      </c>
    </row>
    <row r="1258">
      <c r="A1258" s="31" t="n">
        <v>0.5</v>
      </c>
      <c r="B1258" s="31" t="n">
        <v>0.1</v>
      </c>
      <c r="C1258" s="31" t="n">
        <v>0</v>
      </c>
      <c r="D1258" s="31" t="n">
        <v>0.4</v>
      </c>
      <c r="E1258" s="27" t="inlineStr">
        <is>
          <t>ON 50%/1M 10%/3M 40%</t>
        </is>
      </c>
      <c r="F1258" s="27" t="n">
        <v>50</v>
      </c>
      <c r="G1258" s="27">
        <f>A1258*$B$7&gt;=$B$9</f>
        <v/>
      </c>
      <c r="H1258" s="13">
        <f>$B$7*(A1258*E$71+B1258*F$71+C1258*G$71+D1258*H$71)+F1258/100*$B$7*J$71-$C$71</f>
        <v/>
      </c>
      <c r="I1258" s="13">
        <f>$B$7*(A1258*L$71+B1258*M$71+C1258*N$71+D1258*O$71)+F1258/100*$B$7*Q$71-$C$71</f>
        <v/>
      </c>
      <c r="J1258" s="13">
        <f>$B$7*(A1258*S$71+B1258*T$71+C1258*U$71+D1258*V$71)+F1258/100*$B$7*X$71-$C$71</f>
        <v/>
      </c>
      <c r="K1258" s="13">
        <f>$B$7*(A1258*Z$71+B1258*AA$71+C1258*AB$71+D1258*AC$71)+F1258/100*$B$7*AE$71-$C$71</f>
        <v/>
      </c>
      <c r="L1258" s="13">
        <f>$B$7*(A1258*AG$71+B1258*AH$71+C1258*AI$71+D1258*AJ$71)+F1258/100*$B$7*AL$71-$C$71</f>
        <v/>
      </c>
      <c r="M1258" s="13">
        <f>$B$7*(A1258*AN$71+B1258*AO$71+C1258*AP$71+D1258*AQ$71)+F1258/100*$B$7*AS$71-$C$71</f>
        <v/>
      </c>
      <c r="N1258" s="13">
        <f>SUMPRODUCT($H$24:$M$24,H1258:M1258)</f>
        <v/>
      </c>
      <c r="O1258" s="14">
        <f>SQRT(SUMPRODUCT($H$24:$M$24,(H1258:M1258-N1258)^2))</f>
        <v/>
      </c>
      <c r="P1258" s="13">
        <f>MIN(H1258:M1258)</f>
        <v/>
      </c>
      <c r="Q1258" s="13">
        <f>MAX(H1258:M1258)</f>
        <v/>
      </c>
      <c r="R1258" s="27">
        <f>IF(G1258,SUMPRODUCT(($G$76:$G$1505)*($N$76:$N$1505&gt;=N1258)*($O$76:$O$1505&lt;=O1258))=1,FALSE)</f>
        <v/>
      </c>
      <c r="S1258" s="16">
        <f>IF(R1258,ABS((O1258-$AC$76)/MAX(0.0001,$AC$77-$AC$76)-(N1258-$AC$78)/MAX(0.0001,$AC$79-$AC$78)),-1)</f>
        <v/>
      </c>
      <c r="T1258" s="14">
        <f>IF(G1258,O1258,NA())</f>
        <v/>
      </c>
      <c r="U1258" s="13">
        <f>IF(G1258,N1258,NA())</f>
        <v/>
      </c>
      <c r="V1258" s="14">
        <f>IF(R1258,O1258,NA())</f>
        <v/>
      </c>
      <c r="W1258" s="13">
        <f>IF(R1258,N1258,NA())</f>
        <v/>
      </c>
      <c r="X1258" s="27">
        <f>IF(G1258,P1258,"")</f>
        <v/>
      </c>
      <c r="Y1258" s="27">
        <f>IF(G1258,N1258,"")</f>
        <v/>
      </c>
      <c r="Z1258" s="27">
        <f>IF(R1258,O1258,"")</f>
        <v/>
      </c>
      <c r="AA1258" s="27">
        <f>IF(R1258,N1258,"")</f>
        <v/>
      </c>
    </row>
    <row r="1259">
      <c r="A1259" s="31" t="n">
        <v>0.5</v>
      </c>
      <c r="B1259" s="31" t="n">
        <v>0.1</v>
      </c>
      <c r="C1259" s="31" t="n">
        <v>0</v>
      </c>
      <c r="D1259" s="31" t="n">
        <v>0.4</v>
      </c>
      <c r="E1259" s="27" t="inlineStr">
        <is>
          <t>ON 50%/1M 10%/3M 40%</t>
        </is>
      </c>
      <c r="F1259" s="27" t="n">
        <v>75</v>
      </c>
      <c r="G1259" s="27">
        <f>A1259*$B$7&gt;=$B$9</f>
        <v/>
      </c>
      <c r="H1259" s="13">
        <f>$B$7*(A1259*E$71+B1259*F$71+C1259*G$71+D1259*H$71)+F1259/100*$B$7*J$71-$C$71</f>
        <v/>
      </c>
      <c r="I1259" s="13">
        <f>$B$7*(A1259*L$71+B1259*M$71+C1259*N$71+D1259*O$71)+F1259/100*$B$7*Q$71-$C$71</f>
        <v/>
      </c>
      <c r="J1259" s="13">
        <f>$B$7*(A1259*S$71+B1259*T$71+C1259*U$71+D1259*V$71)+F1259/100*$B$7*X$71-$C$71</f>
        <v/>
      </c>
      <c r="K1259" s="13">
        <f>$B$7*(A1259*Z$71+B1259*AA$71+C1259*AB$71+D1259*AC$71)+F1259/100*$B$7*AE$71-$C$71</f>
        <v/>
      </c>
      <c r="L1259" s="13">
        <f>$B$7*(A1259*AG$71+B1259*AH$71+C1259*AI$71+D1259*AJ$71)+F1259/100*$B$7*AL$71-$C$71</f>
        <v/>
      </c>
      <c r="M1259" s="13">
        <f>$B$7*(A1259*AN$71+B1259*AO$71+C1259*AP$71+D1259*AQ$71)+F1259/100*$B$7*AS$71-$C$71</f>
        <v/>
      </c>
      <c r="N1259" s="13">
        <f>SUMPRODUCT($H$24:$M$24,H1259:M1259)</f>
        <v/>
      </c>
      <c r="O1259" s="14">
        <f>SQRT(SUMPRODUCT($H$24:$M$24,(H1259:M1259-N1259)^2))</f>
        <v/>
      </c>
      <c r="P1259" s="13">
        <f>MIN(H1259:M1259)</f>
        <v/>
      </c>
      <c r="Q1259" s="13">
        <f>MAX(H1259:M1259)</f>
        <v/>
      </c>
      <c r="R1259" s="27">
        <f>IF(G1259,SUMPRODUCT(($G$76:$G$1505)*($N$76:$N$1505&gt;=N1259)*($O$76:$O$1505&lt;=O1259))=1,FALSE)</f>
        <v/>
      </c>
      <c r="S1259" s="16">
        <f>IF(R1259,ABS((O1259-$AC$76)/MAX(0.0001,$AC$77-$AC$76)-(N1259-$AC$78)/MAX(0.0001,$AC$79-$AC$78)),-1)</f>
        <v/>
      </c>
      <c r="T1259" s="14">
        <f>IF(G1259,O1259,NA())</f>
        <v/>
      </c>
      <c r="U1259" s="13">
        <f>IF(G1259,N1259,NA())</f>
        <v/>
      </c>
      <c r="V1259" s="14">
        <f>IF(R1259,O1259,NA())</f>
        <v/>
      </c>
      <c r="W1259" s="13">
        <f>IF(R1259,N1259,NA())</f>
        <v/>
      </c>
      <c r="X1259" s="27">
        <f>IF(G1259,P1259,"")</f>
        <v/>
      </c>
      <c r="Y1259" s="27">
        <f>IF(G1259,N1259,"")</f>
        <v/>
      </c>
      <c r="Z1259" s="27">
        <f>IF(R1259,O1259,"")</f>
        <v/>
      </c>
      <c r="AA1259" s="27">
        <f>IF(R1259,N1259,"")</f>
        <v/>
      </c>
    </row>
    <row r="1260">
      <c r="A1260" s="31" t="n">
        <v>0.5</v>
      </c>
      <c r="B1260" s="31" t="n">
        <v>0.1</v>
      </c>
      <c r="C1260" s="31" t="n">
        <v>0</v>
      </c>
      <c r="D1260" s="31" t="n">
        <v>0.4</v>
      </c>
      <c r="E1260" s="27" t="inlineStr">
        <is>
          <t>ON 50%/1M 10%/3M 40%</t>
        </is>
      </c>
      <c r="F1260" s="27" t="n">
        <v>100</v>
      </c>
      <c r="G1260" s="27">
        <f>A1260*$B$7&gt;=$B$9</f>
        <v/>
      </c>
      <c r="H1260" s="13">
        <f>$B$7*(A1260*E$71+B1260*F$71+C1260*G$71+D1260*H$71)+F1260/100*$B$7*J$71-$C$71</f>
        <v/>
      </c>
      <c r="I1260" s="13">
        <f>$B$7*(A1260*L$71+B1260*M$71+C1260*N$71+D1260*O$71)+F1260/100*$B$7*Q$71-$C$71</f>
        <v/>
      </c>
      <c r="J1260" s="13">
        <f>$B$7*(A1260*S$71+B1260*T$71+C1260*U$71+D1260*V$71)+F1260/100*$B$7*X$71-$C$71</f>
        <v/>
      </c>
      <c r="K1260" s="13">
        <f>$B$7*(A1260*Z$71+B1260*AA$71+C1260*AB$71+D1260*AC$71)+F1260/100*$B$7*AE$71-$C$71</f>
        <v/>
      </c>
      <c r="L1260" s="13">
        <f>$B$7*(A1260*AG$71+B1260*AH$71+C1260*AI$71+D1260*AJ$71)+F1260/100*$B$7*AL$71-$C$71</f>
        <v/>
      </c>
      <c r="M1260" s="13">
        <f>$B$7*(A1260*AN$71+B1260*AO$71+C1260*AP$71+D1260*AQ$71)+F1260/100*$B$7*AS$71-$C$71</f>
        <v/>
      </c>
      <c r="N1260" s="13">
        <f>SUMPRODUCT($H$24:$M$24,H1260:M1260)</f>
        <v/>
      </c>
      <c r="O1260" s="14">
        <f>SQRT(SUMPRODUCT($H$24:$M$24,(H1260:M1260-N1260)^2))</f>
        <v/>
      </c>
      <c r="P1260" s="13">
        <f>MIN(H1260:M1260)</f>
        <v/>
      </c>
      <c r="Q1260" s="13">
        <f>MAX(H1260:M1260)</f>
        <v/>
      </c>
      <c r="R1260" s="27">
        <f>IF(G1260,SUMPRODUCT(($G$76:$G$1505)*($N$76:$N$1505&gt;=N1260)*($O$76:$O$1505&lt;=O1260))=1,FALSE)</f>
        <v/>
      </c>
      <c r="S1260" s="16">
        <f>IF(R1260,ABS((O1260-$AC$76)/MAX(0.0001,$AC$77-$AC$76)-(N1260-$AC$78)/MAX(0.0001,$AC$79-$AC$78)),-1)</f>
        <v/>
      </c>
      <c r="T1260" s="14">
        <f>IF(G1260,O1260,NA())</f>
        <v/>
      </c>
      <c r="U1260" s="13">
        <f>IF(G1260,N1260,NA())</f>
        <v/>
      </c>
      <c r="V1260" s="14">
        <f>IF(R1260,O1260,NA())</f>
        <v/>
      </c>
      <c r="W1260" s="13">
        <f>IF(R1260,N1260,NA())</f>
        <v/>
      </c>
      <c r="X1260" s="27">
        <f>IF(G1260,P1260,"")</f>
        <v/>
      </c>
      <c r="Y1260" s="27">
        <f>IF(G1260,N1260,"")</f>
        <v/>
      </c>
      <c r="Z1260" s="27">
        <f>IF(R1260,O1260,"")</f>
        <v/>
      </c>
      <c r="AA1260" s="27">
        <f>IF(R1260,N1260,"")</f>
        <v/>
      </c>
    </row>
    <row r="1261">
      <c r="A1261" s="31" t="n">
        <v>0.5</v>
      </c>
      <c r="B1261" s="31" t="n">
        <v>0.1</v>
      </c>
      <c r="C1261" s="31" t="n">
        <v>0.1</v>
      </c>
      <c r="D1261" s="31" t="n">
        <v>0.3</v>
      </c>
      <c r="E1261" s="27" t="inlineStr">
        <is>
          <t>ON 50%/1M 10%/2M 10%/3M 30%</t>
        </is>
      </c>
      <c r="F1261" s="27" t="n">
        <v>0</v>
      </c>
      <c r="G1261" s="27">
        <f>A1261*$B$7&gt;=$B$9</f>
        <v/>
      </c>
      <c r="H1261" s="13">
        <f>$B$7*(A1261*E$71+B1261*F$71+C1261*G$71+D1261*H$71)+F1261/100*$B$7*J$71-$C$71</f>
        <v/>
      </c>
      <c r="I1261" s="13">
        <f>$B$7*(A1261*L$71+B1261*M$71+C1261*N$71+D1261*O$71)+F1261/100*$B$7*Q$71-$C$71</f>
        <v/>
      </c>
      <c r="J1261" s="13">
        <f>$B$7*(A1261*S$71+B1261*T$71+C1261*U$71+D1261*V$71)+F1261/100*$B$7*X$71-$C$71</f>
        <v/>
      </c>
      <c r="K1261" s="13">
        <f>$B$7*(A1261*Z$71+B1261*AA$71+C1261*AB$71+D1261*AC$71)+F1261/100*$B$7*AE$71-$C$71</f>
        <v/>
      </c>
      <c r="L1261" s="13">
        <f>$B$7*(A1261*AG$71+B1261*AH$71+C1261*AI$71+D1261*AJ$71)+F1261/100*$B$7*AL$71-$C$71</f>
        <v/>
      </c>
      <c r="M1261" s="13">
        <f>$B$7*(A1261*AN$71+B1261*AO$71+C1261*AP$71+D1261*AQ$71)+F1261/100*$B$7*AS$71-$C$71</f>
        <v/>
      </c>
      <c r="N1261" s="13">
        <f>SUMPRODUCT($H$24:$M$24,H1261:M1261)</f>
        <v/>
      </c>
      <c r="O1261" s="14">
        <f>SQRT(SUMPRODUCT($H$24:$M$24,(H1261:M1261-N1261)^2))</f>
        <v/>
      </c>
      <c r="P1261" s="13">
        <f>MIN(H1261:M1261)</f>
        <v/>
      </c>
      <c r="Q1261" s="13">
        <f>MAX(H1261:M1261)</f>
        <v/>
      </c>
      <c r="R1261" s="27">
        <f>IF(G1261,SUMPRODUCT(($G$76:$G$1505)*($N$76:$N$1505&gt;=N1261)*($O$76:$O$1505&lt;=O1261))=1,FALSE)</f>
        <v/>
      </c>
      <c r="S1261" s="16">
        <f>IF(R1261,ABS((O1261-$AC$76)/MAX(0.0001,$AC$77-$AC$76)-(N1261-$AC$78)/MAX(0.0001,$AC$79-$AC$78)),-1)</f>
        <v/>
      </c>
      <c r="T1261" s="14">
        <f>IF(G1261,O1261,NA())</f>
        <v/>
      </c>
      <c r="U1261" s="13">
        <f>IF(G1261,N1261,NA())</f>
        <v/>
      </c>
      <c r="V1261" s="14">
        <f>IF(R1261,O1261,NA())</f>
        <v/>
      </c>
      <c r="W1261" s="13">
        <f>IF(R1261,N1261,NA())</f>
        <v/>
      </c>
      <c r="X1261" s="27">
        <f>IF(G1261,P1261,"")</f>
        <v/>
      </c>
      <c r="Y1261" s="27">
        <f>IF(G1261,N1261,"")</f>
        <v/>
      </c>
      <c r="Z1261" s="27">
        <f>IF(R1261,O1261,"")</f>
        <v/>
      </c>
      <c r="AA1261" s="27">
        <f>IF(R1261,N1261,"")</f>
        <v/>
      </c>
    </row>
    <row r="1262">
      <c r="A1262" s="31" t="n">
        <v>0.5</v>
      </c>
      <c r="B1262" s="31" t="n">
        <v>0.1</v>
      </c>
      <c r="C1262" s="31" t="n">
        <v>0.1</v>
      </c>
      <c r="D1262" s="31" t="n">
        <v>0.3</v>
      </c>
      <c r="E1262" s="27" t="inlineStr">
        <is>
          <t>ON 50%/1M 10%/2M 10%/3M 30%</t>
        </is>
      </c>
      <c r="F1262" s="27" t="n">
        <v>25</v>
      </c>
      <c r="G1262" s="27">
        <f>A1262*$B$7&gt;=$B$9</f>
        <v/>
      </c>
      <c r="H1262" s="13">
        <f>$B$7*(A1262*E$71+B1262*F$71+C1262*G$71+D1262*H$71)+F1262/100*$B$7*J$71-$C$71</f>
        <v/>
      </c>
      <c r="I1262" s="13">
        <f>$B$7*(A1262*L$71+B1262*M$71+C1262*N$71+D1262*O$71)+F1262/100*$B$7*Q$71-$C$71</f>
        <v/>
      </c>
      <c r="J1262" s="13">
        <f>$B$7*(A1262*S$71+B1262*T$71+C1262*U$71+D1262*V$71)+F1262/100*$B$7*X$71-$C$71</f>
        <v/>
      </c>
      <c r="K1262" s="13">
        <f>$B$7*(A1262*Z$71+B1262*AA$71+C1262*AB$71+D1262*AC$71)+F1262/100*$B$7*AE$71-$C$71</f>
        <v/>
      </c>
      <c r="L1262" s="13">
        <f>$B$7*(A1262*AG$71+B1262*AH$71+C1262*AI$71+D1262*AJ$71)+F1262/100*$B$7*AL$71-$C$71</f>
        <v/>
      </c>
      <c r="M1262" s="13">
        <f>$B$7*(A1262*AN$71+B1262*AO$71+C1262*AP$71+D1262*AQ$71)+F1262/100*$B$7*AS$71-$C$71</f>
        <v/>
      </c>
      <c r="N1262" s="13">
        <f>SUMPRODUCT($H$24:$M$24,H1262:M1262)</f>
        <v/>
      </c>
      <c r="O1262" s="14">
        <f>SQRT(SUMPRODUCT($H$24:$M$24,(H1262:M1262-N1262)^2))</f>
        <v/>
      </c>
      <c r="P1262" s="13">
        <f>MIN(H1262:M1262)</f>
        <v/>
      </c>
      <c r="Q1262" s="13">
        <f>MAX(H1262:M1262)</f>
        <v/>
      </c>
      <c r="R1262" s="27">
        <f>IF(G1262,SUMPRODUCT(($G$76:$G$1505)*($N$76:$N$1505&gt;=N1262)*($O$76:$O$1505&lt;=O1262))=1,FALSE)</f>
        <v/>
      </c>
      <c r="S1262" s="16">
        <f>IF(R1262,ABS((O1262-$AC$76)/MAX(0.0001,$AC$77-$AC$76)-(N1262-$AC$78)/MAX(0.0001,$AC$79-$AC$78)),-1)</f>
        <v/>
      </c>
      <c r="T1262" s="14">
        <f>IF(G1262,O1262,NA())</f>
        <v/>
      </c>
      <c r="U1262" s="13">
        <f>IF(G1262,N1262,NA())</f>
        <v/>
      </c>
      <c r="V1262" s="14">
        <f>IF(R1262,O1262,NA())</f>
        <v/>
      </c>
      <c r="W1262" s="13">
        <f>IF(R1262,N1262,NA())</f>
        <v/>
      </c>
      <c r="X1262" s="27">
        <f>IF(G1262,P1262,"")</f>
        <v/>
      </c>
      <c r="Y1262" s="27">
        <f>IF(G1262,N1262,"")</f>
        <v/>
      </c>
      <c r="Z1262" s="27">
        <f>IF(R1262,O1262,"")</f>
        <v/>
      </c>
      <c r="AA1262" s="27">
        <f>IF(R1262,N1262,"")</f>
        <v/>
      </c>
    </row>
    <row r="1263">
      <c r="A1263" s="31" t="n">
        <v>0.5</v>
      </c>
      <c r="B1263" s="31" t="n">
        <v>0.1</v>
      </c>
      <c r="C1263" s="31" t="n">
        <v>0.1</v>
      </c>
      <c r="D1263" s="31" t="n">
        <v>0.3</v>
      </c>
      <c r="E1263" s="27" t="inlineStr">
        <is>
          <t>ON 50%/1M 10%/2M 10%/3M 30%</t>
        </is>
      </c>
      <c r="F1263" s="27" t="n">
        <v>50</v>
      </c>
      <c r="G1263" s="27">
        <f>A1263*$B$7&gt;=$B$9</f>
        <v/>
      </c>
      <c r="H1263" s="13">
        <f>$B$7*(A1263*E$71+B1263*F$71+C1263*G$71+D1263*H$71)+F1263/100*$B$7*J$71-$C$71</f>
        <v/>
      </c>
      <c r="I1263" s="13">
        <f>$B$7*(A1263*L$71+B1263*M$71+C1263*N$71+D1263*O$71)+F1263/100*$B$7*Q$71-$C$71</f>
        <v/>
      </c>
      <c r="J1263" s="13">
        <f>$B$7*(A1263*S$71+B1263*T$71+C1263*U$71+D1263*V$71)+F1263/100*$B$7*X$71-$C$71</f>
        <v/>
      </c>
      <c r="K1263" s="13">
        <f>$B$7*(A1263*Z$71+B1263*AA$71+C1263*AB$71+D1263*AC$71)+F1263/100*$B$7*AE$71-$C$71</f>
        <v/>
      </c>
      <c r="L1263" s="13">
        <f>$B$7*(A1263*AG$71+B1263*AH$71+C1263*AI$71+D1263*AJ$71)+F1263/100*$B$7*AL$71-$C$71</f>
        <v/>
      </c>
      <c r="M1263" s="13">
        <f>$B$7*(A1263*AN$71+B1263*AO$71+C1263*AP$71+D1263*AQ$71)+F1263/100*$B$7*AS$71-$C$71</f>
        <v/>
      </c>
      <c r="N1263" s="13">
        <f>SUMPRODUCT($H$24:$M$24,H1263:M1263)</f>
        <v/>
      </c>
      <c r="O1263" s="14">
        <f>SQRT(SUMPRODUCT($H$24:$M$24,(H1263:M1263-N1263)^2))</f>
        <v/>
      </c>
      <c r="P1263" s="13">
        <f>MIN(H1263:M1263)</f>
        <v/>
      </c>
      <c r="Q1263" s="13">
        <f>MAX(H1263:M1263)</f>
        <v/>
      </c>
      <c r="R1263" s="27">
        <f>IF(G1263,SUMPRODUCT(($G$76:$G$1505)*($N$76:$N$1505&gt;=N1263)*($O$76:$O$1505&lt;=O1263))=1,FALSE)</f>
        <v/>
      </c>
      <c r="S1263" s="16">
        <f>IF(R1263,ABS((O1263-$AC$76)/MAX(0.0001,$AC$77-$AC$76)-(N1263-$AC$78)/MAX(0.0001,$AC$79-$AC$78)),-1)</f>
        <v/>
      </c>
      <c r="T1263" s="14">
        <f>IF(G1263,O1263,NA())</f>
        <v/>
      </c>
      <c r="U1263" s="13">
        <f>IF(G1263,N1263,NA())</f>
        <v/>
      </c>
      <c r="V1263" s="14">
        <f>IF(R1263,O1263,NA())</f>
        <v/>
      </c>
      <c r="W1263" s="13">
        <f>IF(R1263,N1263,NA())</f>
        <v/>
      </c>
      <c r="X1263" s="27">
        <f>IF(G1263,P1263,"")</f>
        <v/>
      </c>
      <c r="Y1263" s="27">
        <f>IF(G1263,N1263,"")</f>
        <v/>
      </c>
      <c r="Z1263" s="27">
        <f>IF(R1263,O1263,"")</f>
        <v/>
      </c>
      <c r="AA1263" s="27">
        <f>IF(R1263,N1263,"")</f>
        <v/>
      </c>
    </row>
    <row r="1264">
      <c r="A1264" s="31" t="n">
        <v>0.5</v>
      </c>
      <c r="B1264" s="31" t="n">
        <v>0.1</v>
      </c>
      <c r="C1264" s="31" t="n">
        <v>0.1</v>
      </c>
      <c r="D1264" s="31" t="n">
        <v>0.3</v>
      </c>
      <c r="E1264" s="27" t="inlineStr">
        <is>
          <t>ON 50%/1M 10%/2M 10%/3M 30%</t>
        </is>
      </c>
      <c r="F1264" s="27" t="n">
        <v>75</v>
      </c>
      <c r="G1264" s="27">
        <f>A1264*$B$7&gt;=$B$9</f>
        <v/>
      </c>
      <c r="H1264" s="13">
        <f>$B$7*(A1264*E$71+B1264*F$71+C1264*G$71+D1264*H$71)+F1264/100*$B$7*J$71-$C$71</f>
        <v/>
      </c>
      <c r="I1264" s="13">
        <f>$B$7*(A1264*L$71+B1264*M$71+C1264*N$71+D1264*O$71)+F1264/100*$B$7*Q$71-$C$71</f>
        <v/>
      </c>
      <c r="J1264" s="13">
        <f>$B$7*(A1264*S$71+B1264*T$71+C1264*U$71+D1264*V$71)+F1264/100*$B$7*X$71-$C$71</f>
        <v/>
      </c>
      <c r="K1264" s="13">
        <f>$B$7*(A1264*Z$71+B1264*AA$71+C1264*AB$71+D1264*AC$71)+F1264/100*$B$7*AE$71-$C$71</f>
        <v/>
      </c>
      <c r="L1264" s="13">
        <f>$B$7*(A1264*AG$71+B1264*AH$71+C1264*AI$71+D1264*AJ$71)+F1264/100*$B$7*AL$71-$C$71</f>
        <v/>
      </c>
      <c r="M1264" s="13">
        <f>$B$7*(A1264*AN$71+B1264*AO$71+C1264*AP$71+D1264*AQ$71)+F1264/100*$B$7*AS$71-$C$71</f>
        <v/>
      </c>
      <c r="N1264" s="13">
        <f>SUMPRODUCT($H$24:$M$24,H1264:M1264)</f>
        <v/>
      </c>
      <c r="O1264" s="14">
        <f>SQRT(SUMPRODUCT($H$24:$M$24,(H1264:M1264-N1264)^2))</f>
        <v/>
      </c>
      <c r="P1264" s="13">
        <f>MIN(H1264:M1264)</f>
        <v/>
      </c>
      <c r="Q1264" s="13">
        <f>MAX(H1264:M1264)</f>
        <v/>
      </c>
      <c r="R1264" s="27">
        <f>IF(G1264,SUMPRODUCT(($G$76:$G$1505)*($N$76:$N$1505&gt;=N1264)*($O$76:$O$1505&lt;=O1264))=1,FALSE)</f>
        <v/>
      </c>
      <c r="S1264" s="16">
        <f>IF(R1264,ABS((O1264-$AC$76)/MAX(0.0001,$AC$77-$AC$76)-(N1264-$AC$78)/MAX(0.0001,$AC$79-$AC$78)),-1)</f>
        <v/>
      </c>
      <c r="T1264" s="14">
        <f>IF(G1264,O1264,NA())</f>
        <v/>
      </c>
      <c r="U1264" s="13">
        <f>IF(G1264,N1264,NA())</f>
        <v/>
      </c>
      <c r="V1264" s="14">
        <f>IF(R1264,O1264,NA())</f>
        <v/>
      </c>
      <c r="W1264" s="13">
        <f>IF(R1264,N1264,NA())</f>
        <v/>
      </c>
      <c r="X1264" s="27">
        <f>IF(G1264,P1264,"")</f>
        <v/>
      </c>
      <c r="Y1264" s="27">
        <f>IF(G1264,N1264,"")</f>
        <v/>
      </c>
      <c r="Z1264" s="27">
        <f>IF(R1264,O1264,"")</f>
        <v/>
      </c>
      <c r="AA1264" s="27">
        <f>IF(R1264,N1264,"")</f>
        <v/>
      </c>
    </row>
    <row r="1265">
      <c r="A1265" s="31" t="n">
        <v>0.5</v>
      </c>
      <c r="B1265" s="31" t="n">
        <v>0.1</v>
      </c>
      <c r="C1265" s="31" t="n">
        <v>0.1</v>
      </c>
      <c r="D1265" s="31" t="n">
        <v>0.3</v>
      </c>
      <c r="E1265" s="27" t="inlineStr">
        <is>
          <t>ON 50%/1M 10%/2M 10%/3M 30%</t>
        </is>
      </c>
      <c r="F1265" s="27" t="n">
        <v>100</v>
      </c>
      <c r="G1265" s="27">
        <f>A1265*$B$7&gt;=$B$9</f>
        <v/>
      </c>
      <c r="H1265" s="13">
        <f>$B$7*(A1265*E$71+B1265*F$71+C1265*G$71+D1265*H$71)+F1265/100*$B$7*J$71-$C$71</f>
        <v/>
      </c>
      <c r="I1265" s="13">
        <f>$B$7*(A1265*L$71+B1265*M$71+C1265*N$71+D1265*O$71)+F1265/100*$B$7*Q$71-$C$71</f>
        <v/>
      </c>
      <c r="J1265" s="13">
        <f>$B$7*(A1265*S$71+B1265*T$71+C1265*U$71+D1265*V$71)+F1265/100*$B$7*X$71-$C$71</f>
        <v/>
      </c>
      <c r="K1265" s="13">
        <f>$B$7*(A1265*Z$71+B1265*AA$71+C1265*AB$71+D1265*AC$71)+F1265/100*$B$7*AE$71-$C$71</f>
        <v/>
      </c>
      <c r="L1265" s="13">
        <f>$B$7*(A1265*AG$71+B1265*AH$71+C1265*AI$71+D1265*AJ$71)+F1265/100*$B$7*AL$71-$C$71</f>
        <v/>
      </c>
      <c r="M1265" s="13">
        <f>$B$7*(A1265*AN$71+B1265*AO$71+C1265*AP$71+D1265*AQ$71)+F1265/100*$B$7*AS$71-$C$71</f>
        <v/>
      </c>
      <c r="N1265" s="13">
        <f>SUMPRODUCT($H$24:$M$24,H1265:M1265)</f>
        <v/>
      </c>
      <c r="O1265" s="14">
        <f>SQRT(SUMPRODUCT($H$24:$M$24,(H1265:M1265-N1265)^2))</f>
        <v/>
      </c>
      <c r="P1265" s="13">
        <f>MIN(H1265:M1265)</f>
        <v/>
      </c>
      <c r="Q1265" s="13">
        <f>MAX(H1265:M1265)</f>
        <v/>
      </c>
      <c r="R1265" s="27">
        <f>IF(G1265,SUMPRODUCT(($G$76:$G$1505)*($N$76:$N$1505&gt;=N1265)*($O$76:$O$1505&lt;=O1265))=1,FALSE)</f>
        <v/>
      </c>
      <c r="S1265" s="16">
        <f>IF(R1265,ABS((O1265-$AC$76)/MAX(0.0001,$AC$77-$AC$76)-(N1265-$AC$78)/MAX(0.0001,$AC$79-$AC$78)),-1)</f>
        <v/>
      </c>
      <c r="T1265" s="14">
        <f>IF(G1265,O1265,NA())</f>
        <v/>
      </c>
      <c r="U1265" s="13">
        <f>IF(G1265,N1265,NA())</f>
        <v/>
      </c>
      <c r="V1265" s="14">
        <f>IF(R1265,O1265,NA())</f>
        <v/>
      </c>
      <c r="W1265" s="13">
        <f>IF(R1265,N1265,NA())</f>
        <v/>
      </c>
      <c r="X1265" s="27">
        <f>IF(G1265,P1265,"")</f>
        <v/>
      </c>
      <c r="Y1265" s="27">
        <f>IF(G1265,N1265,"")</f>
        <v/>
      </c>
      <c r="Z1265" s="27">
        <f>IF(R1265,O1265,"")</f>
        <v/>
      </c>
      <c r="AA1265" s="27">
        <f>IF(R1265,N1265,"")</f>
        <v/>
      </c>
    </row>
    <row r="1266">
      <c r="A1266" s="31" t="n">
        <v>0.5</v>
      </c>
      <c r="B1266" s="31" t="n">
        <v>0.1</v>
      </c>
      <c r="C1266" s="31" t="n">
        <v>0.2</v>
      </c>
      <c r="D1266" s="31" t="n">
        <v>0.2</v>
      </c>
      <c r="E1266" s="27" t="inlineStr">
        <is>
          <t>ON 50%/1M 10%/2M 20%/3M 20%</t>
        </is>
      </c>
      <c r="F1266" s="27" t="n">
        <v>0</v>
      </c>
      <c r="G1266" s="27">
        <f>A1266*$B$7&gt;=$B$9</f>
        <v/>
      </c>
      <c r="H1266" s="13">
        <f>$B$7*(A1266*E$71+B1266*F$71+C1266*G$71+D1266*H$71)+F1266/100*$B$7*J$71-$C$71</f>
        <v/>
      </c>
      <c r="I1266" s="13">
        <f>$B$7*(A1266*L$71+B1266*M$71+C1266*N$71+D1266*O$71)+F1266/100*$B$7*Q$71-$C$71</f>
        <v/>
      </c>
      <c r="J1266" s="13">
        <f>$B$7*(A1266*S$71+B1266*T$71+C1266*U$71+D1266*V$71)+F1266/100*$B$7*X$71-$C$71</f>
        <v/>
      </c>
      <c r="K1266" s="13">
        <f>$B$7*(A1266*Z$71+B1266*AA$71+C1266*AB$71+D1266*AC$71)+F1266/100*$B$7*AE$71-$C$71</f>
        <v/>
      </c>
      <c r="L1266" s="13">
        <f>$B$7*(A1266*AG$71+B1266*AH$71+C1266*AI$71+D1266*AJ$71)+F1266/100*$B$7*AL$71-$C$71</f>
        <v/>
      </c>
      <c r="M1266" s="13">
        <f>$B$7*(A1266*AN$71+B1266*AO$71+C1266*AP$71+D1266*AQ$71)+F1266/100*$B$7*AS$71-$C$71</f>
        <v/>
      </c>
      <c r="N1266" s="13">
        <f>SUMPRODUCT($H$24:$M$24,H1266:M1266)</f>
        <v/>
      </c>
      <c r="O1266" s="14">
        <f>SQRT(SUMPRODUCT($H$24:$M$24,(H1266:M1266-N1266)^2))</f>
        <v/>
      </c>
      <c r="P1266" s="13">
        <f>MIN(H1266:M1266)</f>
        <v/>
      </c>
      <c r="Q1266" s="13">
        <f>MAX(H1266:M1266)</f>
        <v/>
      </c>
      <c r="R1266" s="27">
        <f>IF(G1266,SUMPRODUCT(($G$76:$G$1505)*($N$76:$N$1505&gt;=N1266)*($O$76:$O$1505&lt;=O1266))=1,FALSE)</f>
        <v/>
      </c>
      <c r="S1266" s="16">
        <f>IF(R1266,ABS((O1266-$AC$76)/MAX(0.0001,$AC$77-$AC$76)-(N1266-$AC$78)/MAX(0.0001,$AC$79-$AC$78)),-1)</f>
        <v/>
      </c>
      <c r="T1266" s="14">
        <f>IF(G1266,O1266,NA())</f>
        <v/>
      </c>
      <c r="U1266" s="13">
        <f>IF(G1266,N1266,NA())</f>
        <v/>
      </c>
      <c r="V1266" s="14">
        <f>IF(R1266,O1266,NA())</f>
        <v/>
      </c>
      <c r="W1266" s="13">
        <f>IF(R1266,N1266,NA())</f>
        <v/>
      </c>
      <c r="X1266" s="27">
        <f>IF(G1266,P1266,"")</f>
        <v/>
      </c>
      <c r="Y1266" s="27">
        <f>IF(G1266,N1266,"")</f>
        <v/>
      </c>
      <c r="Z1266" s="27">
        <f>IF(R1266,O1266,"")</f>
        <v/>
      </c>
      <c r="AA1266" s="27">
        <f>IF(R1266,N1266,"")</f>
        <v/>
      </c>
    </row>
    <row r="1267">
      <c r="A1267" s="31" t="n">
        <v>0.5</v>
      </c>
      <c r="B1267" s="31" t="n">
        <v>0.1</v>
      </c>
      <c r="C1267" s="31" t="n">
        <v>0.2</v>
      </c>
      <c r="D1267" s="31" t="n">
        <v>0.2</v>
      </c>
      <c r="E1267" s="27" t="inlineStr">
        <is>
          <t>ON 50%/1M 10%/2M 20%/3M 20%</t>
        </is>
      </c>
      <c r="F1267" s="27" t="n">
        <v>25</v>
      </c>
      <c r="G1267" s="27">
        <f>A1267*$B$7&gt;=$B$9</f>
        <v/>
      </c>
      <c r="H1267" s="13">
        <f>$B$7*(A1267*E$71+B1267*F$71+C1267*G$71+D1267*H$71)+F1267/100*$B$7*J$71-$C$71</f>
        <v/>
      </c>
      <c r="I1267" s="13">
        <f>$B$7*(A1267*L$71+B1267*M$71+C1267*N$71+D1267*O$71)+F1267/100*$B$7*Q$71-$C$71</f>
        <v/>
      </c>
      <c r="J1267" s="13">
        <f>$B$7*(A1267*S$71+B1267*T$71+C1267*U$71+D1267*V$71)+F1267/100*$B$7*X$71-$C$71</f>
        <v/>
      </c>
      <c r="K1267" s="13">
        <f>$B$7*(A1267*Z$71+B1267*AA$71+C1267*AB$71+D1267*AC$71)+F1267/100*$B$7*AE$71-$C$71</f>
        <v/>
      </c>
      <c r="L1267" s="13">
        <f>$B$7*(A1267*AG$71+B1267*AH$71+C1267*AI$71+D1267*AJ$71)+F1267/100*$B$7*AL$71-$C$71</f>
        <v/>
      </c>
      <c r="M1267" s="13">
        <f>$B$7*(A1267*AN$71+B1267*AO$71+C1267*AP$71+D1267*AQ$71)+F1267/100*$B$7*AS$71-$C$71</f>
        <v/>
      </c>
      <c r="N1267" s="13">
        <f>SUMPRODUCT($H$24:$M$24,H1267:M1267)</f>
        <v/>
      </c>
      <c r="O1267" s="14">
        <f>SQRT(SUMPRODUCT($H$24:$M$24,(H1267:M1267-N1267)^2))</f>
        <v/>
      </c>
      <c r="P1267" s="13">
        <f>MIN(H1267:M1267)</f>
        <v/>
      </c>
      <c r="Q1267" s="13">
        <f>MAX(H1267:M1267)</f>
        <v/>
      </c>
      <c r="R1267" s="27">
        <f>IF(G1267,SUMPRODUCT(($G$76:$G$1505)*($N$76:$N$1505&gt;=N1267)*($O$76:$O$1505&lt;=O1267))=1,FALSE)</f>
        <v/>
      </c>
      <c r="S1267" s="16">
        <f>IF(R1267,ABS((O1267-$AC$76)/MAX(0.0001,$AC$77-$AC$76)-(N1267-$AC$78)/MAX(0.0001,$AC$79-$AC$78)),-1)</f>
        <v/>
      </c>
      <c r="T1267" s="14">
        <f>IF(G1267,O1267,NA())</f>
        <v/>
      </c>
      <c r="U1267" s="13">
        <f>IF(G1267,N1267,NA())</f>
        <v/>
      </c>
      <c r="V1267" s="14">
        <f>IF(R1267,O1267,NA())</f>
        <v/>
      </c>
      <c r="W1267" s="13">
        <f>IF(R1267,N1267,NA())</f>
        <v/>
      </c>
      <c r="X1267" s="27">
        <f>IF(G1267,P1267,"")</f>
        <v/>
      </c>
      <c r="Y1267" s="27">
        <f>IF(G1267,N1267,"")</f>
        <v/>
      </c>
      <c r="Z1267" s="27">
        <f>IF(R1267,O1267,"")</f>
        <v/>
      </c>
      <c r="AA1267" s="27">
        <f>IF(R1267,N1267,"")</f>
        <v/>
      </c>
    </row>
    <row r="1268">
      <c r="A1268" s="31" t="n">
        <v>0.5</v>
      </c>
      <c r="B1268" s="31" t="n">
        <v>0.1</v>
      </c>
      <c r="C1268" s="31" t="n">
        <v>0.2</v>
      </c>
      <c r="D1268" s="31" t="n">
        <v>0.2</v>
      </c>
      <c r="E1268" s="27" t="inlineStr">
        <is>
          <t>ON 50%/1M 10%/2M 20%/3M 20%</t>
        </is>
      </c>
      <c r="F1268" s="27" t="n">
        <v>50</v>
      </c>
      <c r="G1268" s="27">
        <f>A1268*$B$7&gt;=$B$9</f>
        <v/>
      </c>
      <c r="H1268" s="13">
        <f>$B$7*(A1268*E$71+B1268*F$71+C1268*G$71+D1268*H$71)+F1268/100*$B$7*J$71-$C$71</f>
        <v/>
      </c>
      <c r="I1268" s="13">
        <f>$B$7*(A1268*L$71+B1268*M$71+C1268*N$71+D1268*O$71)+F1268/100*$B$7*Q$71-$C$71</f>
        <v/>
      </c>
      <c r="J1268" s="13">
        <f>$B$7*(A1268*S$71+B1268*T$71+C1268*U$71+D1268*V$71)+F1268/100*$B$7*X$71-$C$71</f>
        <v/>
      </c>
      <c r="K1268" s="13">
        <f>$B$7*(A1268*Z$71+B1268*AA$71+C1268*AB$71+D1268*AC$71)+F1268/100*$B$7*AE$71-$C$71</f>
        <v/>
      </c>
      <c r="L1268" s="13">
        <f>$B$7*(A1268*AG$71+B1268*AH$71+C1268*AI$71+D1268*AJ$71)+F1268/100*$B$7*AL$71-$C$71</f>
        <v/>
      </c>
      <c r="M1268" s="13">
        <f>$B$7*(A1268*AN$71+B1268*AO$71+C1268*AP$71+D1268*AQ$71)+F1268/100*$B$7*AS$71-$C$71</f>
        <v/>
      </c>
      <c r="N1268" s="13">
        <f>SUMPRODUCT($H$24:$M$24,H1268:M1268)</f>
        <v/>
      </c>
      <c r="O1268" s="14">
        <f>SQRT(SUMPRODUCT($H$24:$M$24,(H1268:M1268-N1268)^2))</f>
        <v/>
      </c>
      <c r="P1268" s="13">
        <f>MIN(H1268:M1268)</f>
        <v/>
      </c>
      <c r="Q1268" s="13">
        <f>MAX(H1268:M1268)</f>
        <v/>
      </c>
      <c r="R1268" s="27">
        <f>IF(G1268,SUMPRODUCT(($G$76:$G$1505)*($N$76:$N$1505&gt;=N1268)*($O$76:$O$1505&lt;=O1268))=1,FALSE)</f>
        <v/>
      </c>
      <c r="S1268" s="16">
        <f>IF(R1268,ABS((O1268-$AC$76)/MAX(0.0001,$AC$77-$AC$76)-(N1268-$AC$78)/MAX(0.0001,$AC$79-$AC$78)),-1)</f>
        <v/>
      </c>
      <c r="T1268" s="14">
        <f>IF(G1268,O1268,NA())</f>
        <v/>
      </c>
      <c r="U1268" s="13">
        <f>IF(G1268,N1268,NA())</f>
        <v/>
      </c>
      <c r="V1268" s="14">
        <f>IF(R1268,O1268,NA())</f>
        <v/>
      </c>
      <c r="W1268" s="13">
        <f>IF(R1268,N1268,NA())</f>
        <v/>
      </c>
      <c r="X1268" s="27">
        <f>IF(G1268,P1268,"")</f>
        <v/>
      </c>
      <c r="Y1268" s="27">
        <f>IF(G1268,N1268,"")</f>
        <v/>
      </c>
      <c r="Z1268" s="27">
        <f>IF(R1268,O1268,"")</f>
        <v/>
      </c>
      <c r="AA1268" s="27">
        <f>IF(R1268,N1268,"")</f>
        <v/>
      </c>
    </row>
    <row r="1269">
      <c r="A1269" s="31" t="n">
        <v>0.5</v>
      </c>
      <c r="B1269" s="31" t="n">
        <v>0.1</v>
      </c>
      <c r="C1269" s="31" t="n">
        <v>0.2</v>
      </c>
      <c r="D1269" s="31" t="n">
        <v>0.2</v>
      </c>
      <c r="E1269" s="27" t="inlineStr">
        <is>
          <t>ON 50%/1M 10%/2M 20%/3M 20%</t>
        </is>
      </c>
      <c r="F1269" s="27" t="n">
        <v>75</v>
      </c>
      <c r="G1269" s="27">
        <f>A1269*$B$7&gt;=$B$9</f>
        <v/>
      </c>
      <c r="H1269" s="13">
        <f>$B$7*(A1269*E$71+B1269*F$71+C1269*G$71+D1269*H$71)+F1269/100*$B$7*J$71-$C$71</f>
        <v/>
      </c>
      <c r="I1269" s="13">
        <f>$B$7*(A1269*L$71+B1269*M$71+C1269*N$71+D1269*O$71)+F1269/100*$B$7*Q$71-$C$71</f>
        <v/>
      </c>
      <c r="J1269" s="13">
        <f>$B$7*(A1269*S$71+B1269*T$71+C1269*U$71+D1269*V$71)+F1269/100*$B$7*X$71-$C$71</f>
        <v/>
      </c>
      <c r="K1269" s="13">
        <f>$B$7*(A1269*Z$71+B1269*AA$71+C1269*AB$71+D1269*AC$71)+F1269/100*$B$7*AE$71-$C$71</f>
        <v/>
      </c>
      <c r="L1269" s="13">
        <f>$B$7*(A1269*AG$71+B1269*AH$71+C1269*AI$71+D1269*AJ$71)+F1269/100*$B$7*AL$71-$C$71</f>
        <v/>
      </c>
      <c r="M1269" s="13">
        <f>$B$7*(A1269*AN$71+B1269*AO$71+C1269*AP$71+D1269*AQ$71)+F1269/100*$B$7*AS$71-$C$71</f>
        <v/>
      </c>
      <c r="N1269" s="13">
        <f>SUMPRODUCT($H$24:$M$24,H1269:M1269)</f>
        <v/>
      </c>
      <c r="O1269" s="14">
        <f>SQRT(SUMPRODUCT($H$24:$M$24,(H1269:M1269-N1269)^2))</f>
        <v/>
      </c>
      <c r="P1269" s="13">
        <f>MIN(H1269:M1269)</f>
        <v/>
      </c>
      <c r="Q1269" s="13">
        <f>MAX(H1269:M1269)</f>
        <v/>
      </c>
      <c r="R1269" s="27">
        <f>IF(G1269,SUMPRODUCT(($G$76:$G$1505)*($N$76:$N$1505&gt;=N1269)*($O$76:$O$1505&lt;=O1269))=1,FALSE)</f>
        <v/>
      </c>
      <c r="S1269" s="16">
        <f>IF(R1269,ABS((O1269-$AC$76)/MAX(0.0001,$AC$77-$AC$76)-(N1269-$AC$78)/MAX(0.0001,$AC$79-$AC$78)),-1)</f>
        <v/>
      </c>
      <c r="T1269" s="14">
        <f>IF(G1269,O1269,NA())</f>
        <v/>
      </c>
      <c r="U1269" s="13">
        <f>IF(G1269,N1269,NA())</f>
        <v/>
      </c>
      <c r="V1269" s="14">
        <f>IF(R1269,O1269,NA())</f>
        <v/>
      </c>
      <c r="W1269" s="13">
        <f>IF(R1269,N1269,NA())</f>
        <v/>
      </c>
      <c r="X1269" s="27">
        <f>IF(G1269,P1269,"")</f>
        <v/>
      </c>
      <c r="Y1269" s="27">
        <f>IF(G1269,N1269,"")</f>
        <v/>
      </c>
      <c r="Z1269" s="27">
        <f>IF(R1269,O1269,"")</f>
        <v/>
      </c>
      <c r="AA1269" s="27">
        <f>IF(R1269,N1269,"")</f>
        <v/>
      </c>
    </row>
    <row r="1270">
      <c r="A1270" s="31" t="n">
        <v>0.5</v>
      </c>
      <c r="B1270" s="31" t="n">
        <v>0.1</v>
      </c>
      <c r="C1270" s="31" t="n">
        <v>0.2</v>
      </c>
      <c r="D1270" s="31" t="n">
        <v>0.2</v>
      </c>
      <c r="E1270" s="27" t="inlineStr">
        <is>
          <t>ON 50%/1M 10%/2M 20%/3M 20%</t>
        </is>
      </c>
      <c r="F1270" s="27" t="n">
        <v>100</v>
      </c>
      <c r="G1270" s="27">
        <f>A1270*$B$7&gt;=$B$9</f>
        <v/>
      </c>
      <c r="H1270" s="13">
        <f>$B$7*(A1270*E$71+B1270*F$71+C1270*G$71+D1270*H$71)+F1270/100*$B$7*J$71-$C$71</f>
        <v/>
      </c>
      <c r="I1270" s="13">
        <f>$B$7*(A1270*L$71+B1270*M$71+C1270*N$71+D1270*O$71)+F1270/100*$B$7*Q$71-$C$71</f>
        <v/>
      </c>
      <c r="J1270" s="13">
        <f>$B$7*(A1270*S$71+B1270*T$71+C1270*U$71+D1270*V$71)+F1270/100*$B$7*X$71-$C$71</f>
        <v/>
      </c>
      <c r="K1270" s="13">
        <f>$B$7*(A1270*Z$71+B1270*AA$71+C1270*AB$71+D1270*AC$71)+F1270/100*$B$7*AE$71-$C$71</f>
        <v/>
      </c>
      <c r="L1270" s="13">
        <f>$B$7*(A1270*AG$71+B1270*AH$71+C1270*AI$71+D1270*AJ$71)+F1270/100*$B$7*AL$71-$C$71</f>
        <v/>
      </c>
      <c r="M1270" s="13">
        <f>$B$7*(A1270*AN$71+B1270*AO$71+C1270*AP$71+D1270*AQ$71)+F1270/100*$B$7*AS$71-$C$71</f>
        <v/>
      </c>
      <c r="N1270" s="13">
        <f>SUMPRODUCT($H$24:$M$24,H1270:M1270)</f>
        <v/>
      </c>
      <c r="O1270" s="14">
        <f>SQRT(SUMPRODUCT($H$24:$M$24,(H1270:M1270-N1270)^2))</f>
        <v/>
      </c>
      <c r="P1270" s="13">
        <f>MIN(H1270:M1270)</f>
        <v/>
      </c>
      <c r="Q1270" s="13">
        <f>MAX(H1270:M1270)</f>
        <v/>
      </c>
      <c r="R1270" s="27">
        <f>IF(G1270,SUMPRODUCT(($G$76:$G$1505)*($N$76:$N$1505&gt;=N1270)*($O$76:$O$1505&lt;=O1270))=1,FALSE)</f>
        <v/>
      </c>
      <c r="S1270" s="16">
        <f>IF(R1270,ABS((O1270-$AC$76)/MAX(0.0001,$AC$77-$AC$76)-(N1270-$AC$78)/MAX(0.0001,$AC$79-$AC$78)),-1)</f>
        <v/>
      </c>
      <c r="T1270" s="14">
        <f>IF(G1270,O1270,NA())</f>
        <v/>
      </c>
      <c r="U1270" s="13">
        <f>IF(G1270,N1270,NA())</f>
        <v/>
      </c>
      <c r="V1270" s="14">
        <f>IF(R1270,O1270,NA())</f>
        <v/>
      </c>
      <c r="W1270" s="13">
        <f>IF(R1270,N1270,NA())</f>
        <v/>
      </c>
      <c r="X1270" s="27">
        <f>IF(G1270,P1270,"")</f>
        <v/>
      </c>
      <c r="Y1270" s="27">
        <f>IF(G1270,N1270,"")</f>
        <v/>
      </c>
      <c r="Z1270" s="27">
        <f>IF(R1270,O1270,"")</f>
        <v/>
      </c>
      <c r="AA1270" s="27">
        <f>IF(R1270,N1270,"")</f>
        <v/>
      </c>
    </row>
    <row r="1271">
      <c r="A1271" s="31" t="n">
        <v>0.5</v>
      </c>
      <c r="B1271" s="31" t="n">
        <v>0.1</v>
      </c>
      <c r="C1271" s="31" t="n">
        <v>0.3</v>
      </c>
      <c r="D1271" s="31" t="n">
        <v>0.1</v>
      </c>
      <c r="E1271" s="27" t="inlineStr">
        <is>
          <t>ON 50%/1M 10%/2M 30%/3M 10%</t>
        </is>
      </c>
      <c r="F1271" s="27" t="n">
        <v>0</v>
      </c>
      <c r="G1271" s="27">
        <f>A1271*$B$7&gt;=$B$9</f>
        <v/>
      </c>
      <c r="H1271" s="13">
        <f>$B$7*(A1271*E$71+B1271*F$71+C1271*G$71+D1271*H$71)+F1271/100*$B$7*J$71-$C$71</f>
        <v/>
      </c>
      <c r="I1271" s="13">
        <f>$B$7*(A1271*L$71+B1271*M$71+C1271*N$71+D1271*O$71)+F1271/100*$B$7*Q$71-$C$71</f>
        <v/>
      </c>
      <c r="J1271" s="13">
        <f>$B$7*(A1271*S$71+B1271*T$71+C1271*U$71+D1271*V$71)+F1271/100*$B$7*X$71-$C$71</f>
        <v/>
      </c>
      <c r="K1271" s="13">
        <f>$B$7*(A1271*Z$71+B1271*AA$71+C1271*AB$71+D1271*AC$71)+F1271/100*$B$7*AE$71-$C$71</f>
        <v/>
      </c>
      <c r="L1271" s="13">
        <f>$B$7*(A1271*AG$71+B1271*AH$71+C1271*AI$71+D1271*AJ$71)+F1271/100*$B$7*AL$71-$C$71</f>
        <v/>
      </c>
      <c r="M1271" s="13">
        <f>$B$7*(A1271*AN$71+B1271*AO$71+C1271*AP$71+D1271*AQ$71)+F1271/100*$B$7*AS$71-$C$71</f>
        <v/>
      </c>
      <c r="N1271" s="13">
        <f>SUMPRODUCT($H$24:$M$24,H1271:M1271)</f>
        <v/>
      </c>
      <c r="O1271" s="14">
        <f>SQRT(SUMPRODUCT($H$24:$M$24,(H1271:M1271-N1271)^2))</f>
        <v/>
      </c>
      <c r="P1271" s="13">
        <f>MIN(H1271:M1271)</f>
        <v/>
      </c>
      <c r="Q1271" s="13">
        <f>MAX(H1271:M1271)</f>
        <v/>
      </c>
      <c r="R1271" s="27">
        <f>IF(G1271,SUMPRODUCT(($G$76:$G$1505)*($N$76:$N$1505&gt;=N1271)*($O$76:$O$1505&lt;=O1271))=1,FALSE)</f>
        <v/>
      </c>
      <c r="S1271" s="16">
        <f>IF(R1271,ABS((O1271-$AC$76)/MAX(0.0001,$AC$77-$AC$76)-(N1271-$AC$78)/MAX(0.0001,$AC$79-$AC$78)),-1)</f>
        <v/>
      </c>
      <c r="T1271" s="14">
        <f>IF(G1271,O1271,NA())</f>
        <v/>
      </c>
      <c r="U1271" s="13">
        <f>IF(G1271,N1271,NA())</f>
        <v/>
      </c>
      <c r="V1271" s="14">
        <f>IF(R1271,O1271,NA())</f>
        <v/>
      </c>
      <c r="W1271" s="13">
        <f>IF(R1271,N1271,NA())</f>
        <v/>
      </c>
      <c r="X1271" s="27">
        <f>IF(G1271,P1271,"")</f>
        <v/>
      </c>
      <c r="Y1271" s="27">
        <f>IF(G1271,N1271,"")</f>
        <v/>
      </c>
      <c r="Z1271" s="27">
        <f>IF(R1271,O1271,"")</f>
        <v/>
      </c>
      <c r="AA1271" s="27">
        <f>IF(R1271,N1271,"")</f>
        <v/>
      </c>
    </row>
    <row r="1272">
      <c r="A1272" s="31" t="n">
        <v>0.5</v>
      </c>
      <c r="B1272" s="31" t="n">
        <v>0.1</v>
      </c>
      <c r="C1272" s="31" t="n">
        <v>0.3</v>
      </c>
      <c r="D1272" s="31" t="n">
        <v>0.1</v>
      </c>
      <c r="E1272" s="27" t="inlineStr">
        <is>
          <t>ON 50%/1M 10%/2M 30%/3M 10%</t>
        </is>
      </c>
      <c r="F1272" s="27" t="n">
        <v>25</v>
      </c>
      <c r="G1272" s="27">
        <f>A1272*$B$7&gt;=$B$9</f>
        <v/>
      </c>
      <c r="H1272" s="13">
        <f>$B$7*(A1272*E$71+B1272*F$71+C1272*G$71+D1272*H$71)+F1272/100*$B$7*J$71-$C$71</f>
        <v/>
      </c>
      <c r="I1272" s="13">
        <f>$B$7*(A1272*L$71+B1272*M$71+C1272*N$71+D1272*O$71)+F1272/100*$B$7*Q$71-$C$71</f>
        <v/>
      </c>
      <c r="J1272" s="13">
        <f>$B$7*(A1272*S$71+B1272*T$71+C1272*U$71+D1272*V$71)+F1272/100*$B$7*X$71-$C$71</f>
        <v/>
      </c>
      <c r="K1272" s="13">
        <f>$B$7*(A1272*Z$71+B1272*AA$71+C1272*AB$71+D1272*AC$71)+F1272/100*$B$7*AE$71-$C$71</f>
        <v/>
      </c>
      <c r="L1272" s="13">
        <f>$B$7*(A1272*AG$71+B1272*AH$71+C1272*AI$71+D1272*AJ$71)+F1272/100*$B$7*AL$71-$C$71</f>
        <v/>
      </c>
      <c r="M1272" s="13">
        <f>$B$7*(A1272*AN$71+B1272*AO$71+C1272*AP$71+D1272*AQ$71)+F1272/100*$B$7*AS$71-$C$71</f>
        <v/>
      </c>
      <c r="N1272" s="13">
        <f>SUMPRODUCT($H$24:$M$24,H1272:M1272)</f>
        <v/>
      </c>
      <c r="O1272" s="14">
        <f>SQRT(SUMPRODUCT($H$24:$M$24,(H1272:M1272-N1272)^2))</f>
        <v/>
      </c>
      <c r="P1272" s="13">
        <f>MIN(H1272:M1272)</f>
        <v/>
      </c>
      <c r="Q1272" s="13">
        <f>MAX(H1272:M1272)</f>
        <v/>
      </c>
      <c r="R1272" s="27">
        <f>IF(G1272,SUMPRODUCT(($G$76:$G$1505)*($N$76:$N$1505&gt;=N1272)*($O$76:$O$1505&lt;=O1272))=1,FALSE)</f>
        <v/>
      </c>
      <c r="S1272" s="16">
        <f>IF(R1272,ABS((O1272-$AC$76)/MAX(0.0001,$AC$77-$AC$76)-(N1272-$AC$78)/MAX(0.0001,$AC$79-$AC$78)),-1)</f>
        <v/>
      </c>
      <c r="T1272" s="14">
        <f>IF(G1272,O1272,NA())</f>
        <v/>
      </c>
      <c r="U1272" s="13">
        <f>IF(G1272,N1272,NA())</f>
        <v/>
      </c>
      <c r="V1272" s="14">
        <f>IF(R1272,O1272,NA())</f>
        <v/>
      </c>
      <c r="W1272" s="13">
        <f>IF(R1272,N1272,NA())</f>
        <v/>
      </c>
      <c r="X1272" s="27">
        <f>IF(G1272,P1272,"")</f>
        <v/>
      </c>
      <c r="Y1272" s="27">
        <f>IF(G1272,N1272,"")</f>
        <v/>
      </c>
      <c r="Z1272" s="27">
        <f>IF(R1272,O1272,"")</f>
        <v/>
      </c>
      <c r="AA1272" s="27">
        <f>IF(R1272,N1272,"")</f>
        <v/>
      </c>
    </row>
    <row r="1273">
      <c r="A1273" s="31" t="n">
        <v>0.5</v>
      </c>
      <c r="B1273" s="31" t="n">
        <v>0.1</v>
      </c>
      <c r="C1273" s="31" t="n">
        <v>0.3</v>
      </c>
      <c r="D1273" s="31" t="n">
        <v>0.1</v>
      </c>
      <c r="E1273" s="27" t="inlineStr">
        <is>
          <t>ON 50%/1M 10%/2M 30%/3M 10%</t>
        </is>
      </c>
      <c r="F1273" s="27" t="n">
        <v>50</v>
      </c>
      <c r="G1273" s="27">
        <f>A1273*$B$7&gt;=$B$9</f>
        <v/>
      </c>
      <c r="H1273" s="13">
        <f>$B$7*(A1273*E$71+B1273*F$71+C1273*G$71+D1273*H$71)+F1273/100*$B$7*J$71-$C$71</f>
        <v/>
      </c>
      <c r="I1273" s="13">
        <f>$B$7*(A1273*L$71+B1273*M$71+C1273*N$71+D1273*O$71)+F1273/100*$B$7*Q$71-$C$71</f>
        <v/>
      </c>
      <c r="J1273" s="13">
        <f>$B$7*(A1273*S$71+B1273*T$71+C1273*U$71+D1273*V$71)+F1273/100*$B$7*X$71-$C$71</f>
        <v/>
      </c>
      <c r="K1273" s="13">
        <f>$B$7*(A1273*Z$71+B1273*AA$71+C1273*AB$71+D1273*AC$71)+F1273/100*$B$7*AE$71-$C$71</f>
        <v/>
      </c>
      <c r="L1273" s="13">
        <f>$B$7*(A1273*AG$71+B1273*AH$71+C1273*AI$71+D1273*AJ$71)+F1273/100*$B$7*AL$71-$C$71</f>
        <v/>
      </c>
      <c r="M1273" s="13">
        <f>$B$7*(A1273*AN$71+B1273*AO$71+C1273*AP$71+D1273*AQ$71)+F1273/100*$B$7*AS$71-$C$71</f>
        <v/>
      </c>
      <c r="N1273" s="13">
        <f>SUMPRODUCT($H$24:$M$24,H1273:M1273)</f>
        <v/>
      </c>
      <c r="O1273" s="14">
        <f>SQRT(SUMPRODUCT($H$24:$M$24,(H1273:M1273-N1273)^2))</f>
        <v/>
      </c>
      <c r="P1273" s="13">
        <f>MIN(H1273:M1273)</f>
        <v/>
      </c>
      <c r="Q1273" s="13">
        <f>MAX(H1273:M1273)</f>
        <v/>
      </c>
      <c r="R1273" s="27">
        <f>IF(G1273,SUMPRODUCT(($G$76:$G$1505)*($N$76:$N$1505&gt;=N1273)*($O$76:$O$1505&lt;=O1273))=1,FALSE)</f>
        <v/>
      </c>
      <c r="S1273" s="16">
        <f>IF(R1273,ABS((O1273-$AC$76)/MAX(0.0001,$AC$77-$AC$76)-(N1273-$AC$78)/MAX(0.0001,$AC$79-$AC$78)),-1)</f>
        <v/>
      </c>
      <c r="T1273" s="14">
        <f>IF(G1273,O1273,NA())</f>
        <v/>
      </c>
      <c r="U1273" s="13">
        <f>IF(G1273,N1273,NA())</f>
        <v/>
      </c>
      <c r="V1273" s="14">
        <f>IF(R1273,O1273,NA())</f>
        <v/>
      </c>
      <c r="W1273" s="13">
        <f>IF(R1273,N1273,NA())</f>
        <v/>
      </c>
      <c r="X1273" s="27">
        <f>IF(G1273,P1273,"")</f>
        <v/>
      </c>
      <c r="Y1273" s="27">
        <f>IF(G1273,N1273,"")</f>
        <v/>
      </c>
      <c r="Z1273" s="27">
        <f>IF(R1273,O1273,"")</f>
        <v/>
      </c>
      <c r="AA1273" s="27">
        <f>IF(R1273,N1273,"")</f>
        <v/>
      </c>
    </row>
    <row r="1274">
      <c r="A1274" s="31" t="n">
        <v>0.5</v>
      </c>
      <c r="B1274" s="31" t="n">
        <v>0.1</v>
      </c>
      <c r="C1274" s="31" t="n">
        <v>0.3</v>
      </c>
      <c r="D1274" s="31" t="n">
        <v>0.1</v>
      </c>
      <c r="E1274" s="27" t="inlineStr">
        <is>
          <t>ON 50%/1M 10%/2M 30%/3M 10%</t>
        </is>
      </c>
      <c r="F1274" s="27" t="n">
        <v>75</v>
      </c>
      <c r="G1274" s="27">
        <f>A1274*$B$7&gt;=$B$9</f>
        <v/>
      </c>
      <c r="H1274" s="13">
        <f>$B$7*(A1274*E$71+B1274*F$71+C1274*G$71+D1274*H$71)+F1274/100*$B$7*J$71-$C$71</f>
        <v/>
      </c>
      <c r="I1274" s="13">
        <f>$B$7*(A1274*L$71+B1274*M$71+C1274*N$71+D1274*O$71)+F1274/100*$B$7*Q$71-$C$71</f>
        <v/>
      </c>
      <c r="J1274" s="13">
        <f>$B$7*(A1274*S$71+B1274*T$71+C1274*U$71+D1274*V$71)+F1274/100*$B$7*X$71-$C$71</f>
        <v/>
      </c>
      <c r="K1274" s="13">
        <f>$B$7*(A1274*Z$71+B1274*AA$71+C1274*AB$71+D1274*AC$71)+F1274/100*$B$7*AE$71-$C$71</f>
        <v/>
      </c>
      <c r="L1274" s="13">
        <f>$B$7*(A1274*AG$71+B1274*AH$71+C1274*AI$71+D1274*AJ$71)+F1274/100*$B$7*AL$71-$C$71</f>
        <v/>
      </c>
      <c r="M1274" s="13">
        <f>$B$7*(A1274*AN$71+B1274*AO$71+C1274*AP$71+D1274*AQ$71)+F1274/100*$B$7*AS$71-$C$71</f>
        <v/>
      </c>
      <c r="N1274" s="13">
        <f>SUMPRODUCT($H$24:$M$24,H1274:M1274)</f>
        <v/>
      </c>
      <c r="O1274" s="14">
        <f>SQRT(SUMPRODUCT($H$24:$M$24,(H1274:M1274-N1274)^2))</f>
        <v/>
      </c>
      <c r="P1274" s="13">
        <f>MIN(H1274:M1274)</f>
        <v/>
      </c>
      <c r="Q1274" s="13">
        <f>MAX(H1274:M1274)</f>
        <v/>
      </c>
      <c r="R1274" s="27">
        <f>IF(G1274,SUMPRODUCT(($G$76:$G$1505)*($N$76:$N$1505&gt;=N1274)*($O$76:$O$1505&lt;=O1274))=1,FALSE)</f>
        <v/>
      </c>
      <c r="S1274" s="16">
        <f>IF(R1274,ABS((O1274-$AC$76)/MAX(0.0001,$AC$77-$AC$76)-(N1274-$AC$78)/MAX(0.0001,$AC$79-$AC$78)),-1)</f>
        <v/>
      </c>
      <c r="T1274" s="14">
        <f>IF(G1274,O1274,NA())</f>
        <v/>
      </c>
      <c r="U1274" s="13">
        <f>IF(G1274,N1274,NA())</f>
        <v/>
      </c>
      <c r="V1274" s="14">
        <f>IF(R1274,O1274,NA())</f>
        <v/>
      </c>
      <c r="W1274" s="13">
        <f>IF(R1274,N1274,NA())</f>
        <v/>
      </c>
      <c r="X1274" s="27">
        <f>IF(G1274,P1274,"")</f>
        <v/>
      </c>
      <c r="Y1274" s="27">
        <f>IF(G1274,N1274,"")</f>
        <v/>
      </c>
      <c r="Z1274" s="27">
        <f>IF(R1274,O1274,"")</f>
        <v/>
      </c>
      <c r="AA1274" s="27">
        <f>IF(R1274,N1274,"")</f>
        <v/>
      </c>
    </row>
    <row r="1275">
      <c r="A1275" s="31" t="n">
        <v>0.5</v>
      </c>
      <c r="B1275" s="31" t="n">
        <v>0.1</v>
      </c>
      <c r="C1275" s="31" t="n">
        <v>0.3</v>
      </c>
      <c r="D1275" s="31" t="n">
        <v>0.1</v>
      </c>
      <c r="E1275" s="27" t="inlineStr">
        <is>
          <t>ON 50%/1M 10%/2M 30%/3M 10%</t>
        </is>
      </c>
      <c r="F1275" s="27" t="n">
        <v>100</v>
      </c>
      <c r="G1275" s="27">
        <f>A1275*$B$7&gt;=$B$9</f>
        <v/>
      </c>
      <c r="H1275" s="13">
        <f>$B$7*(A1275*E$71+B1275*F$71+C1275*G$71+D1275*H$71)+F1275/100*$B$7*J$71-$C$71</f>
        <v/>
      </c>
      <c r="I1275" s="13">
        <f>$B$7*(A1275*L$71+B1275*M$71+C1275*N$71+D1275*O$71)+F1275/100*$B$7*Q$71-$C$71</f>
        <v/>
      </c>
      <c r="J1275" s="13">
        <f>$B$7*(A1275*S$71+B1275*T$71+C1275*U$71+D1275*V$71)+F1275/100*$B$7*X$71-$C$71</f>
        <v/>
      </c>
      <c r="K1275" s="13">
        <f>$B$7*(A1275*Z$71+B1275*AA$71+C1275*AB$71+D1275*AC$71)+F1275/100*$B$7*AE$71-$C$71</f>
        <v/>
      </c>
      <c r="L1275" s="13">
        <f>$B$7*(A1275*AG$71+B1275*AH$71+C1275*AI$71+D1275*AJ$71)+F1275/100*$B$7*AL$71-$C$71</f>
        <v/>
      </c>
      <c r="M1275" s="13">
        <f>$B$7*(A1275*AN$71+B1275*AO$71+C1275*AP$71+D1275*AQ$71)+F1275/100*$B$7*AS$71-$C$71</f>
        <v/>
      </c>
      <c r="N1275" s="13">
        <f>SUMPRODUCT($H$24:$M$24,H1275:M1275)</f>
        <v/>
      </c>
      <c r="O1275" s="14">
        <f>SQRT(SUMPRODUCT($H$24:$M$24,(H1275:M1275-N1275)^2))</f>
        <v/>
      </c>
      <c r="P1275" s="13">
        <f>MIN(H1275:M1275)</f>
        <v/>
      </c>
      <c r="Q1275" s="13">
        <f>MAX(H1275:M1275)</f>
        <v/>
      </c>
      <c r="R1275" s="27">
        <f>IF(G1275,SUMPRODUCT(($G$76:$G$1505)*($N$76:$N$1505&gt;=N1275)*($O$76:$O$1505&lt;=O1275))=1,FALSE)</f>
        <v/>
      </c>
      <c r="S1275" s="16">
        <f>IF(R1275,ABS((O1275-$AC$76)/MAX(0.0001,$AC$77-$AC$76)-(N1275-$AC$78)/MAX(0.0001,$AC$79-$AC$78)),-1)</f>
        <v/>
      </c>
      <c r="T1275" s="14">
        <f>IF(G1275,O1275,NA())</f>
        <v/>
      </c>
      <c r="U1275" s="13">
        <f>IF(G1275,N1275,NA())</f>
        <v/>
      </c>
      <c r="V1275" s="14">
        <f>IF(R1275,O1275,NA())</f>
        <v/>
      </c>
      <c r="W1275" s="13">
        <f>IF(R1275,N1275,NA())</f>
        <v/>
      </c>
      <c r="X1275" s="27">
        <f>IF(G1275,P1275,"")</f>
        <v/>
      </c>
      <c r="Y1275" s="27">
        <f>IF(G1275,N1275,"")</f>
        <v/>
      </c>
      <c r="Z1275" s="27">
        <f>IF(R1275,O1275,"")</f>
        <v/>
      </c>
      <c r="AA1275" s="27">
        <f>IF(R1275,N1275,"")</f>
        <v/>
      </c>
    </row>
    <row r="1276">
      <c r="A1276" s="31" t="n">
        <v>0.5</v>
      </c>
      <c r="B1276" s="31" t="n">
        <v>0.1</v>
      </c>
      <c r="C1276" s="31" t="n">
        <v>0.4</v>
      </c>
      <c r="D1276" s="31" t="n">
        <v>0</v>
      </c>
      <c r="E1276" s="27" t="inlineStr">
        <is>
          <t>ON 50%/1M 10%/2M 40%</t>
        </is>
      </c>
      <c r="F1276" s="27" t="n">
        <v>0</v>
      </c>
      <c r="G1276" s="27">
        <f>A1276*$B$7&gt;=$B$9</f>
        <v/>
      </c>
      <c r="H1276" s="13">
        <f>$B$7*(A1276*E$71+B1276*F$71+C1276*G$71+D1276*H$71)+F1276/100*$B$7*J$71-$C$71</f>
        <v/>
      </c>
      <c r="I1276" s="13">
        <f>$B$7*(A1276*L$71+B1276*M$71+C1276*N$71+D1276*O$71)+F1276/100*$B$7*Q$71-$C$71</f>
        <v/>
      </c>
      <c r="J1276" s="13">
        <f>$B$7*(A1276*S$71+B1276*T$71+C1276*U$71+D1276*V$71)+F1276/100*$B$7*X$71-$C$71</f>
        <v/>
      </c>
      <c r="K1276" s="13">
        <f>$B$7*(A1276*Z$71+B1276*AA$71+C1276*AB$71+D1276*AC$71)+F1276/100*$B$7*AE$71-$C$71</f>
        <v/>
      </c>
      <c r="L1276" s="13">
        <f>$B$7*(A1276*AG$71+B1276*AH$71+C1276*AI$71+D1276*AJ$71)+F1276/100*$B$7*AL$71-$C$71</f>
        <v/>
      </c>
      <c r="M1276" s="13">
        <f>$B$7*(A1276*AN$71+B1276*AO$71+C1276*AP$71+D1276*AQ$71)+F1276/100*$B$7*AS$71-$C$71</f>
        <v/>
      </c>
      <c r="N1276" s="13">
        <f>SUMPRODUCT($H$24:$M$24,H1276:M1276)</f>
        <v/>
      </c>
      <c r="O1276" s="14">
        <f>SQRT(SUMPRODUCT($H$24:$M$24,(H1276:M1276-N1276)^2))</f>
        <v/>
      </c>
      <c r="P1276" s="13">
        <f>MIN(H1276:M1276)</f>
        <v/>
      </c>
      <c r="Q1276" s="13">
        <f>MAX(H1276:M1276)</f>
        <v/>
      </c>
      <c r="R1276" s="27">
        <f>IF(G1276,SUMPRODUCT(($G$76:$G$1505)*($N$76:$N$1505&gt;=N1276)*($O$76:$O$1505&lt;=O1276))=1,FALSE)</f>
        <v/>
      </c>
      <c r="S1276" s="16">
        <f>IF(R1276,ABS((O1276-$AC$76)/MAX(0.0001,$AC$77-$AC$76)-(N1276-$AC$78)/MAX(0.0001,$AC$79-$AC$78)),-1)</f>
        <v/>
      </c>
      <c r="T1276" s="14">
        <f>IF(G1276,O1276,NA())</f>
        <v/>
      </c>
      <c r="U1276" s="13">
        <f>IF(G1276,N1276,NA())</f>
        <v/>
      </c>
      <c r="V1276" s="14">
        <f>IF(R1276,O1276,NA())</f>
        <v/>
      </c>
      <c r="W1276" s="13">
        <f>IF(R1276,N1276,NA())</f>
        <v/>
      </c>
      <c r="X1276" s="27">
        <f>IF(G1276,P1276,"")</f>
        <v/>
      </c>
      <c r="Y1276" s="27">
        <f>IF(G1276,N1276,"")</f>
        <v/>
      </c>
      <c r="Z1276" s="27">
        <f>IF(R1276,O1276,"")</f>
        <v/>
      </c>
      <c r="AA1276" s="27">
        <f>IF(R1276,N1276,"")</f>
        <v/>
      </c>
    </row>
    <row r="1277">
      <c r="A1277" s="31" t="n">
        <v>0.5</v>
      </c>
      <c r="B1277" s="31" t="n">
        <v>0.1</v>
      </c>
      <c r="C1277" s="31" t="n">
        <v>0.4</v>
      </c>
      <c r="D1277" s="31" t="n">
        <v>0</v>
      </c>
      <c r="E1277" s="27" t="inlineStr">
        <is>
          <t>ON 50%/1M 10%/2M 40%</t>
        </is>
      </c>
      <c r="F1277" s="27" t="n">
        <v>25</v>
      </c>
      <c r="G1277" s="27">
        <f>A1277*$B$7&gt;=$B$9</f>
        <v/>
      </c>
      <c r="H1277" s="13">
        <f>$B$7*(A1277*E$71+B1277*F$71+C1277*G$71+D1277*H$71)+F1277/100*$B$7*J$71-$C$71</f>
        <v/>
      </c>
      <c r="I1277" s="13">
        <f>$B$7*(A1277*L$71+B1277*M$71+C1277*N$71+D1277*O$71)+F1277/100*$B$7*Q$71-$C$71</f>
        <v/>
      </c>
      <c r="J1277" s="13">
        <f>$B$7*(A1277*S$71+B1277*T$71+C1277*U$71+D1277*V$71)+F1277/100*$B$7*X$71-$C$71</f>
        <v/>
      </c>
      <c r="K1277" s="13">
        <f>$B$7*(A1277*Z$71+B1277*AA$71+C1277*AB$71+D1277*AC$71)+F1277/100*$B$7*AE$71-$C$71</f>
        <v/>
      </c>
      <c r="L1277" s="13">
        <f>$B$7*(A1277*AG$71+B1277*AH$71+C1277*AI$71+D1277*AJ$71)+F1277/100*$B$7*AL$71-$C$71</f>
        <v/>
      </c>
      <c r="M1277" s="13">
        <f>$B$7*(A1277*AN$71+B1277*AO$71+C1277*AP$71+D1277*AQ$71)+F1277/100*$B$7*AS$71-$C$71</f>
        <v/>
      </c>
      <c r="N1277" s="13">
        <f>SUMPRODUCT($H$24:$M$24,H1277:M1277)</f>
        <v/>
      </c>
      <c r="O1277" s="14">
        <f>SQRT(SUMPRODUCT($H$24:$M$24,(H1277:M1277-N1277)^2))</f>
        <v/>
      </c>
      <c r="P1277" s="13">
        <f>MIN(H1277:M1277)</f>
        <v/>
      </c>
      <c r="Q1277" s="13">
        <f>MAX(H1277:M1277)</f>
        <v/>
      </c>
      <c r="R1277" s="27">
        <f>IF(G1277,SUMPRODUCT(($G$76:$G$1505)*($N$76:$N$1505&gt;=N1277)*($O$76:$O$1505&lt;=O1277))=1,FALSE)</f>
        <v/>
      </c>
      <c r="S1277" s="16">
        <f>IF(R1277,ABS((O1277-$AC$76)/MAX(0.0001,$AC$77-$AC$76)-(N1277-$AC$78)/MAX(0.0001,$AC$79-$AC$78)),-1)</f>
        <v/>
      </c>
      <c r="T1277" s="14">
        <f>IF(G1277,O1277,NA())</f>
        <v/>
      </c>
      <c r="U1277" s="13">
        <f>IF(G1277,N1277,NA())</f>
        <v/>
      </c>
      <c r="V1277" s="14">
        <f>IF(R1277,O1277,NA())</f>
        <v/>
      </c>
      <c r="W1277" s="13">
        <f>IF(R1277,N1277,NA())</f>
        <v/>
      </c>
      <c r="X1277" s="27">
        <f>IF(G1277,P1277,"")</f>
        <v/>
      </c>
      <c r="Y1277" s="27">
        <f>IF(G1277,N1277,"")</f>
        <v/>
      </c>
      <c r="Z1277" s="27">
        <f>IF(R1277,O1277,"")</f>
        <v/>
      </c>
      <c r="AA1277" s="27">
        <f>IF(R1277,N1277,"")</f>
        <v/>
      </c>
    </row>
    <row r="1278">
      <c r="A1278" s="31" t="n">
        <v>0.5</v>
      </c>
      <c r="B1278" s="31" t="n">
        <v>0.1</v>
      </c>
      <c r="C1278" s="31" t="n">
        <v>0.4</v>
      </c>
      <c r="D1278" s="31" t="n">
        <v>0</v>
      </c>
      <c r="E1278" s="27" t="inlineStr">
        <is>
          <t>ON 50%/1M 10%/2M 40%</t>
        </is>
      </c>
      <c r="F1278" s="27" t="n">
        <v>50</v>
      </c>
      <c r="G1278" s="27">
        <f>A1278*$B$7&gt;=$B$9</f>
        <v/>
      </c>
      <c r="H1278" s="13">
        <f>$B$7*(A1278*E$71+B1278*F$71+C1278*G$71+D1278*H$71)+F1278/100*$B$7*J$71-$C$71</f>
        <v/>
      </c>
      <c r="I1278" s="13">
        <f>$B$7*(A1278*L$71+B1278*M$71+C1278*N$71+D1278*O$71)+F1278/100*$B$7*Q$71-$C$71</f>
        <v/>
      </c>
      <c r="J1278" s="13">
        <f>$B$7*(A1278*S$71+B1278*T$71+C1278*U$71+D1278*V$71)+F1278/100*$B$7*X$71-$C$71</f>
        <v/>
      </c>
      <c r="K1278" s="13">
        <f>$B$7*(A1278*Z$71+B1278*AA$71+C1278*AB$71+D1278*AC$71)+F1278/100*$B$7*AE$71-$C$71</f>
        <v/>
      </c>
      <c r="L1278" s="13">
        <f>$B$7*(A1278*AG$71+B1278*AH$71+C1278*AI$71+D1278*AJ$71)+F1278/100*$B$7*AL$71-$C$71</f>
        <v/>
      </c>
      <c r="M1278" s="13">
        <f>$B$7*(A1278*AN$71+B1278*AO$71+C1278*AP$71+D1278*AQ$71)+F1278/100*$B$7*AS$71-$C$71</f>
        <v/>
      </c>
      <c r="N1278" s="13">
        <f>SUMPRODUCT($H$24:$M$24,H1278:M1278)</f>
        <v/>
      </c>
      <c r="O1278" s="14">
        <f>SQRT(SUMPRODUCT($H$24:$M$24,(H1278:M1278-N1278)^2))</f>
        <v/>
      </c>
      <c r="P1278" s="13">
        <f>MIN(H1278:M1278)</f>
        <v/>
      </c>
      <c r="Q1278" s="13">
        <f>MAX(H1278:M1278)</f>
        <v/>
      </c>
      <c r="R1278" s="27">
        <f>IF(G1278,SUMPRODUCT(($G$76:$G$1505)*($N$76:$N$1505&gt;=N1278)*($O$76:$O$1505&lt;=O1278))=1,FALSE)</f>
        <v/>
      </c>
      <c r="S1278" s="16">
        <f>IF(R1278,ABS((O1278-$AC$76)/MAX(0.0001,$AC$77-$AC$76)-(N1278-$AC$78)/MAX(0.0001,$AC$79-$AC$78)),-1)</f>
        <v/>
      </c>
      <c r="T1278" s="14">
        <f>IF(G1278,O1278,NA())</f>
        <v/>
      </c>
      <c r="U1278" s="13">
        <f>IF(G1278,N1278,NA())</f>
        <v/>
      </c>
      <c r="V1278" s="14">
        <f>IF(R1278,O1278,NA())</f>
        <v/>
      </c>
      <c r="W1278" s="13">
        <f>IF(R1278,N1278,NA())</f>
        <v/>
      </c>
      <c r="X1278" s="27">
        <f>IF(G1278,P1278,"")</f>
        <v/>
      </c>
      <c r="Y1278" s="27">
        <f>IF(G1278,N1278,"")</f>
        <v/>
      </c>
      <c r="Z1278" s="27">
        <f>IF(R1278,O1278,"")</f>
        <v/>
      </c>
      <c r="AA1278" s="27">
        <f>IF(R1278,N1278,"")</f>
        <v/>
      </c>
    </row>
    <row r="1279">
      <c r="A1279" s="31" t="n">
        <v>0.5</v>
      </c>
      <c r="B1279" s="31" t="n">
        <v>0.1</v>
      </c>
      <c r="C1279" s="31" t="n">
        <v>0.4</v>
      </c>
      <c r="D1279" s="31" t="n">
        <v>0</v>
      </c>
      <c r="E1279" s="27" t="inlineStr">
        <is>
          <t>ON 50%/1M 10%/2M 40%</t>
        </is>
      </c>
      <c r="F1279" s="27" t="n">
        <v>75</v>
      </c>
      <c r="G1279" s="27">
        <f>A1279*$B$7&gt;=$B$9</f>
        <v/>
      </c>
      <c r="H1279" s="13">
        <f>$B$7*(A1279*E$71+B1279*F$71+C1279*G$71+D1279*H$71)+F1279/100*$B$7*J$71-$C$71</f>
        <v/>
      </c>
      <c r="I1279" s="13">
        <f>$B$7*(A1279*L$71+B1279*M$71+C1279*N$71+D1279*O$71)+F1279/100*$B$7*Q$71-$C$71</f>
        <v/>
      </c>
      <c r="J1279" s="13">
        <f>$B$7*(A1279*S$71+B1279*T$71+C1279*U$71+D1279*V$71)+F1279/100*$B$7*X$71-$C$71</f>
        <v/>
      </c>
      <c r="K1279" s="13">
        <f>$B$7*(A1279*Z$71+B1279*AA$71+C1279*AB$71+D1279*AC$71)+F1279/100*$B$7*AE$71-$C$71</f>
        <v/>
      </c>
      <c r="L1279" s="13">
        <f>$B$7*(A1279*AG$71+B1279*AH$71+C1279*AI$71+D1279*AJ$71)+F1279/100*$B$7*AL$71-$C$71</f>
        <v/>
      </c>
      <c r="M1279" s="13">
        <f>$B$7*(A1279*AN$71+B1279*AO$71+C1279*AP$71+D1279*AQ$71)+F1279/100*$B$7*AS$71-$C$71</f>
        <v/>
      </c>
      <c r="N1279" s="13">
        <f>SUMPRODUCT($H$24:$M$24,H1279:M1279)</f>
        <v/>
      </c>
      <c r="O1279" s="14">
        <f>SQRT(SUMPRODUCT($H$24:$M$24,(H1279:M1279-N1279)^2))</f>
        <v/>
      </c>
      <c r="P1279" s="13">
        <f>MIN(H1279:M1279)</f>
        <v/>
      </c>
      <c r="Q1279" s="13">
        <f>MAX(H1279:M1279)</f>
        <v/>
      </c>
      <c r="R1279" s="27">
        <f>IF(G1279,SUMPRODUCT(($G$76:$G$1505)*($N$76:$N$1505&gt;=N1279)*($O$76:$O$1505&lt;=O1279))=1,FALSE)</f>
        <v/>
      </c>
      <c r="S1279" s="16">
        <f>IF(R1279,ABS((O1279-$AC$76)/MAX(0.0001,$AC$77-$AC$76)-(N1279-$AC$78)/MAX(0.0001,$AC$79-$AC$78)),-1)</f>
        <v/>
      </c>
      <c r="T1279" s="14">
        <f>IF(G1279,O1279,NA())</f>
        <v/>
      </c>
      <c r="U1279" s="13">
        <f>IF(G1279,N1279,NA())</f>
        <v/>
      </c>
      <c r="V1279" s="14">
        <f>IF(R1279,O1279,NA())</f>
        <v/>
      </c>
      <c r="W1279" s="13">
        <f>IF(R1279,N1279,NA())</f>
        <v/>
      </c>
      <c r="X1279" s="27">
        <f>IF(G1279,P1279,"")</f>
        <v/>
      </c>
      <c r="Y1279" s="27">
        <f>IF(G1279,N1279,"")</f>
        <v/>
      </c>
      <c r="Z1279" s="27">
        <f>IF(R1279,O1279,"")</f>
        <v/>
      </c>
      <c r="AA1279" s="27">
        <f>IF(R1279,N1279,"")</f>
        <v/>
      </c>
    </row>
    <row r="1280">
      <c r="A1280" s="31" t="n">
        <v>0.5</v>
      </c>
      <c r="B1280" s="31" t="n">
        <v>0.1</v>
      </c>
      <c r="C1280" s="31" t="n">
        <v>0.4</v>
      </c>
      <c r="D1280" s="31" t="n">
        <v>0</v>
      </c>
      <c r="E1280" s="27" t="inlineStr">
        <is>
          <t>ON 50%/1M 10%/2M 40%</t>
        </is>
      </c>
      <c r="F1280" s="27" t="n">
        <v>100</v>
      </c>
      <c r="G1280" s="27">
        <f>A1280*$B$7&gt;=$B$9</f>
        <v/>
      </c>
      <c r="H1280" s="13">
        <f>$B$7*(A1280*E$71+B1280*F$71+C1280*G$71+D1280*H$71)+F1280/100*$B$7*J$71-$C$71</f>
        <v/>
      </c>
      <c r="I1280" s="13">
        <f>$B$7*(A1280*L$71+B1280*M$71+C1280*N$71+D1280*O$71)+F1280/100*$B$7*Q$71-$C$71</f>
        <v/>
      </c>
      <c r="J1280" s="13">
        <f>$B$7*(A1280*S$71+B1280*T$71+C1280*U$71+D1280*V$71)+F1280/100*$B$7*X$71-$C$71</f>
        <v/>
      </c>
      <c r="K1280" s="13">
        <f>$B$7*(A1280*Z$71+B1280*AA$71+C1280*AB$71+D1280*AC$71)+F1280/100*$B$7*AE$71-$C$71</f>
        <v/>
      </c>
      <c r="L1280" s="13">
        <f>$B$7*(A1280*AG$71+B1280*AH$71+C1280*AI$71+D1280*AJ$71)+F1280/100*$B$7*AL$71-$C$71</f>
        <v/>
      </c>
      <c r="M1280" s="13">
        <f>$B$7*(A1280*AN$71+B1280*AO$71+C1280*AP$71+D1280*AQ$71)+F1280/100*$B$7*AS$71-$C$71</f>
        <v/>
      </c>
      <c r="N1280" s="13">
        <f>SUMPRODUCT($H$24:$M$24,H1280:M1280)</f>
        <v/>
      </c>
      <c r="O1280" s="14">
        <f>SQRT(SUMPRODUCT($H$24:$M$24,(H1280:M1280-N1280)^2))</f>
        <v/>
      </c>
      <c r="P1280" s="13">
        <f>MIN(H1280:M1280)</f>
        <v/>
      </c>
      <c r="Q1280" s="13">
        <f>MAX(H1280:M1280)</f>
        <v/>
      </c>
      <c r="R1280" s="27">
        <f>IF(G1280,SUMPRODUCT(($G$76:$G$1505)*($N$76:$N$1505&gt;=N1280)*($O$76:$O$1505&lt;=O1280))=1,FALSE)</f>
        <v/>
      </c>
      <c r="S1280" s="16">
        <f>IF(R1280,ABS((O1280-$AC$76)/MAX(0.0001,$AC$77-$AC$76)-(N1280-$AC$78)/MAX(0.0001,$AC$79-$AC$78)),-1)</f>
        <v/>
      </c>
      <c r="T1280" s="14">
        <f>IF(G1280,O1280,NA())</f>
        <v/>
      </c>
      <c r="U1280" s="13">
        <f>IF(G1280,N1280,NA())</f>
        <v/>
      </c>
      <c r="V1280" s="14">
        <f>IF(R1280,O1280,NA())</f>
        <v/>
      </c>
      <c r="W1280" s="13">
        <f>IF(R1280,N1280,NA())</f>
        <v/>
      </c>
      <c r="X1280" s="27">
        <f>IF(G1280,P1280,"")</f>
        <v/>
      </c>
      <c r="Y1280" s="27">
        <f>IF(G1280,N1280,"")</f>
        <v/>
      </c>
      <c r="Z1280" s="27">
        <f>IF(R1280,O1280,"")</f>
        <v/>
      </c>
      <c r="AA1280" s="27">
        <f>IF(R1280,N1280,"")</f>
        <v/>
      </c>
    </row>
    <row r="1281">
      <c r="A1281" s="31" t="n">
        <v>0.5</v>
      </c>
      <c r="B1281" s="31" t="n">
        <v>0.2</v>
      </c>
      <c r="C1281" s="31" t="n">
        <v>0</v>
      </c>
      <c r="D1281" s="31" t="n">
        <v>0.3</v>
      </c>
      <c r="E1281" s="27" t="inlineStr">
        <is>
          <t>ON 50%/1M 20%/3M 30%</t>
        </is>
      </c>
      <c r="F1281" s="27" t="n">
        <v>0</v>
      </c>
      <c r="G1281" s="27">
        <f>A1281*$B$7&gt;=$B$9</f>
        <v/>
      </c>
      <c r="H1281" s="13">
        <f>$B$7*(A1281*E$71+B1281*F$71+C1281*G$71+D1281*H$71)+F1281/100*$B$7*J$71-$C$71</f>
        <v/>
      </c>
      <c r="I1281" s="13">
        <f>$B$7*(A1281*L$71+B1281*M$71+C1281*N$71+D1281*O$71)+F1281/100*$B$7*Q$71-$C$71</f>
        <v/>
      </c>
      <c r="J1281" s="13">
        <f>$B$7*(A1281*S$71+B1281*T$71+C1281*U$71+D1281*V$71)+F1281/100*$B$7*X$71-$C$71</f>
        <v/>
      </c>
      <c r="K1281" s="13">
        <f>$B$7*(A1281*Z$71+B1281*AA$71+C1281*AB$71+D1281*AC$71)+F1281/100*$B$7*AE$71-$C$71</f>
        <v/>
      </c>
      <c r="L1281" s="13">
        <f>$B$7*(A1281*AG$71+B1281*AH$71+C1281*AI$71+D1281*AJ$71)+F1281/100*$B$7*AL$71-$C$71</f>
        <v/>
      </c>
      <c r="M1281" s="13">
        <f>$B$7*(A1281*AN$71+B1281*AO$71+C1281*AP$71+D1281*AQ$71)+F1281/100*$B$7*AS$71-$C$71</f>
        <v/>
      </c>
      <c r="N1281" s="13">
        <f>SUMPRODUCT($H$24:$M$24,H1281:M1281)</f>
        <v/>
      </c>
      <c r="O1281" s="14">
        <f>SQRT(SUMPRODUCT($H$24:$M$24,(H1281:M1281-N1281)^2))</f>
        <v/>
      </c>
      <c r="P1281" s="13">
        <f>MIN(H1281:M1281)</f>
        <v/>
      </c>
      <c r="Q1281" s="13">
        <f>MAX(H1281:M1281)</f>
        <v/>
      </c>
      <c r="R1281" s="27">
        <f>IF(G1281,SUMPRODUCT(($G$76:$G$1505)*($N$76:$N$1505&gt;=N1281)*($O$76:$O$1505&lt;=O1281))=1,FALSE)</f>
        <v/>
      </c>
      <c r="S1281" s="16">
        <f>IF(R1281,ABS((O1281-$AC$76)/MAX(0.0001,$AC$77-$AC$76)-(N1281-$AC$78)/MAX(0.0001,$AC$79-$AC$78)),-1)</f>
        <v/>
      </c>
      <c r="T1281" s="14">
        <f>IF(G1281,O1281,NA())</f>
        <v/>
      </c>
      <c r="U1281" s="13">
        <f>IF(G1281,N1281,NA())</f>
        <v/>
      </c>
      <c r="V1281" s="14">
        <f>IF(R1281,O1281,NA())</f>
        <v/>
      </c>
      <c r="W1281" s="13">
        <f>IF(R1281,N1281,NA())</f>
        <v/>
      </c>
      <c r="X1281" s="27">
        <f>IF(G1281,P1281,"")</f>
        <v/>
      </c>
      <c r="Y1281" s="27">
        <f>IF(G1281,N1281,"")</f>
        <v/>
      </c>
      <c r="Z1281" s="27">
        <f>IF(R1281,O1281,"")</f>
        <v/>
      </c>
      <c r="AA1281" s="27">
        <f>IF(R1281,N1281,"")</f>
        <v/>
      </c>
    </row>
    <row r="1282">
      <c r="A1282" s="31" t="n">
        <v>0.5</v>
      </c>
      <c r="B1282" s="31" t="n">
        <v>0.2</v>
      </c>
      <c r="C1282" s="31" t="n">
        <v>0</v>
      </c>
      <c r="D1282" s="31" t="n">
        <v>0.3</v>
      </c>
      <c r="E1282" s="27" t="inlineStr">
        <is>
          <t>ON 50%/1M 20%/3M 30%</t>
        </is>
      </c>
      <c r="F1282" s="27" t="n">
        <v>25</v>
      </c>
      <c r="G1282" s="27">
        <f>A1282*$B$7&gt;=$B$9</f>
        <v/>
      </c>
      <c r="H1282" s="13">
        <f>$B$7*(A1282*E$71+B1282*F$71+C1282*G$71+D1282*H$71)+F1282/100*$B$7*J$71-$C$71</f>
        <v/>
      </c>
      <c r="I1282" s="13">
        <f>$B$7*(A1282*L$71+B1282*M$71+C1282*N$71+D1282*O$71)+F1282/100*$B$7*Q$71-$C$71</f>
        <v/>
      </c>
      <c r="J1282" s="13">
        <f>$B$7*(A1282*S$71+B1282*T$71+C1282*U$71+D1282*V$71)+F1282/100*$B$7*X$71-$C$71</f>
        <v/>
      </c>
      <c r="K1282" s="13">
        <f>$B$7*(A1282*Z$71+B1282*AA$71+C1282*AB$71+D1282*AC$71)+F1282/100*$B$7*AE$71-$C$71</f>
        <v/>
      </c>
      <c r="L1282" s="13">
        <f>$B$7*(A1282*AG$71+B1282*AH$71+C1282*AI$71+D1282*AJ$71)+F1282/100*$B$7*AL$71-$C$71</f>
        <v/>
      </c>
      <c r="M1282" s="13">
        <f>$B$7*(A1282*AN$71+B1282*AO$71+C1282*AP$71+D1282*AQ$71)+F1282/100*$B$7*AS$71-$C$71</f>
        <v/>
      </c>
      <c r="N1282" s="13">
        <f>SUMPRODUCT($H$24:$M$24,H1282:M1282)</f>
        <v/>
      </c>
      <c r="O1282" s="14">
        <f>SQRT(SUMPRODUCT($H$24:$M$24,(H1282:M1282-N1282)^2))</f>
        <v/>
      </c>
      <c r="P1282" s="13">
        <f>MIN(H1282:M1282)</f>
        <v/>
      </c>
      <c r="Q1282" s="13">
        <f>MAX(H1282:M1282)</f>
        <v/>
      </c>
      <c r="R1282" s="27">
        <f>IF(G1282,SUMPRODUCT(($G$76:$G$1505)*($N$76:$N$1505&gt;=N1282)*($O$76:$O$1505&lt;=O1282))=1,FALSE)</f>
        <v/>
      </c>
      <c r="S1282" s="16">
        <f>IF(R1282,ABS((O1282-$AC$76)/MAX(0.0001,$AC$77-$AC$76)-(N1282-$AC$78)/MAX(0.0001,$AC$79-$AC$78)),-1)</f>
        <v/>
      </c>
      <c r="T1282" s="14">
        <f>IF(G1282,O1282,NA())</f>
        <v/>
      </c>
      <c r="U1282" s="13">
        <f>IF(G1282,N1282,NA())</f>
        <v/>
      </c>
      <c r="V1282" s="14">
        <f>IF(R1282,O1282,NA())</f>
        <v/>
      </c>
      <c r="W1282" s="13">
        <f>IF(R1282,N1282,NA())</f>
        <v/>
      </c>
      <c r="X1282" s="27">
        <f>IF(G1282,P1282,"")</f>
        <v/>
      </c>
      <c r="Y1282" s="27">
        <f>IF(G1282,N1282,"")</f>
        <v/>
      </c>
      <c r="Z1282" s="27">
        <f>IF(R1282,O1282,"")</f>
        <v/>
      </c>
      <c r="AA1282" s="27">
        <f>IF(R1282,N1282,"")</f>
        <v/>
      </c>
    </row>
    <row r="1283">
      <c r="A1283" s="31" t="n">
        <v>0.5</v>
      </c>
      <c r="B1283" s="31" t="n">
        <v>0.2</v>
      </c>
      <c r="C1283" s="31" t="n">
        <v>0</v>
      </c>
      <c r="D1283" s="31" t="n">
        <v>0.3</v>
      </c>
      <c r="E1283" s="27" t="inlineStr">
        <is>
          <t>ON 50%/1M 20%/3M 30%</t>
        </is>
      </c>
      <c r="F1283" s="27" t="n">
        <v>50</v>
      </c>
      <c r="G1283" s="27">
        <f>A1283*$B$7&gt;=$B$9</f>
        <v/>
      </c>
      <c r="H1283" s="13">
        <f>$B$7*(A1283*E$71+B1283*F$71+C1283*G$71+D1283*H$71)+F1283/100*$B$7*J$71-$C$71</f>
        <v/>
      </c>
      <c r="I1283" s="13">
        <f>$B$7*(A1283*L$71+B1283*M$71+C1283*N$71+D1283*O$71)+F1283/100*$B$7*Q$71-$C$71</f>
        <v/>
      </c>
      <c r="J1283" s="13">
        <f>$B$7*(A1283*S$71+B1283*T$71+C1283*U$71+D1283*V$71)+F1283/100*$B$7*X$71-$C$71</f>
        <v/>
      </c>
      <c r="K1283" s="13">
        <f>$B$7*(A1283*Z$71+B1283*AA$71+C1283*AB$71+D1283*AC$71)+F1283/100*$B$7*AE$71-$C$71</f>
        <v/>
      </c>
      <c r="L1283" s="13">
        <f>$B$7*(A1283*AG$71+B1283*AH$71+C1283*AI$71+D1283*AJ$71)+F1283/100*$B$7*AL$71-$C$71</f>
        <v/>
      </c>
      <c r="M1283" s="13">
        <f>$B$7*(A1283*AN$71+B1283*AO$71+C1283*AP$71+D1283*AQ$71)+F1283/100*$B$7*AS$71-$C$71</f>
        <v/>
      </c>
      <c r="N1283" s="13">
        <f>SUMPRODUCT($H$24:$M$24,H1283:M1283)</f>
        <v/>
      </c>
      <c r="O1283" s="14">
        <f>SQRT(SUMPRODUCT($H$24:$M$24,(H1283:M1283-N1283)^2))</f>
        <v/>
      </c>
      <c r="P1283" s="13">
        <f>MIN(H1283:M1283)</f>
        <v/>
      </c>
      <c r="Q1283" s="13">
        <f>MAX(H1283:M1283)</f>
        <v/>
      </c>
      <c r="R1283" s="27">
        <f>IF(G1283,SUMPRODUCT(($G$76:$G$1505)*($N$76:$N$1505&gt;=N1283)*($O$76:$O$1505&lt;=O1283))=1,FALSE)</f>
        <v/>
      </c>
      <c r="S1283" s="16">
        <f>IF(R1283,ABS((O1283-$AC$76)/MAX(0.0001,$AC$77-$AC$76)-(N1283-$AC$78)/MAX(0.0001,$AC$79-$AC$78)),-1)</f>
        <v/>
      </c>
      <c r="T1283" s="14">
        <f>IF(G1283,O1283,NA())</f>
        <v/>
      </c>
      <c r="U1283" s="13">
        <f>IF(G1283,N1283,NA())</f>
        <v/>
      </c>
      <c r="V1283" s="14">
        <f>IF(R1283,O1283,NA())</f>
        <v/>
      </c>
      <c r="W1283" s="13">
        <f>IF(R1283,N1283,NA())</f>
        <v/>
      </c>
      <c r="X1283" s="27">
        <f>IF(G1283,P1283,"")</f>
        <v/>
      </c>
      <c r="Y1283" s="27">
        <f>IF(G1283,N1283,"")</f>
        <v/>
      </c>
      <c r="Z1283" s="27">
        <f>IF(R1283,O1283,"")</f>
        <v/>
      </c>
      <c r="AA1283" s="27">
        <f>IF(R1283,N1283,"")</f>
        <v/>
      </c>
    </row>
    <row r="1284">
      <c r="A1284" s="31" t="n">
        <v>0.5</v>
      </c>
      <c r="B1284" s="31" t="n">
        <v>0.2</v>
      </c>
      <c r="C1284" s="31" t="n">
        <v>0</v>
      </c>
      <c r="D1284" s="31" t="n">
        <v>0.3</v>
      </c>
      <c r="E1284" s="27" t="inlineStr">
        <is>
          <t>ON 50%/1M 20%/3M 30%</t>
        </is>
      </c>
      <c r="F1284" s="27" t="n">
        <v>75</v>
      </c>
      <c r="G1284" s="27">
        <f>A1284*$B$7&gt;=$B$9</f>
        <v/>
      </c>
      <c r="H1284" s="13">
        <f>$B$7*(A1284*E$71+B1284*F$71+C1284*G$71+D1284*H$71)+F1284/100*$B$7*J$71-$C$71</f>
        <v/>
      </c>
      <c r="I1284" s="13">
        <f>$B$7*(A1284*L$71+B1284*M$71+C1284*N$71+D1284*O$71)+F1284/100*$B$7*Q$71-$C$71</f>
        <v/>
      </c>
      <c r="J1284" s="13">
        <f>$B$7*(A1284*S$71+B1284*T$71+C1284*U$71+D1284*V$71)+F1284/100*$B$7*X$71-$C$71</f>
        <v/>
      </c>
      <c r="K1284" s="13">
        <f>$B$7*(A1284*Z$71+B1284*AA$71+C1284*AB$71+D1284*AC$71)+F1284/100*$B$7*AE$71-$C$71</f>
        <v/>
      </c>
      <c r="L1284" s="13">
        <f>$B$7*(A1284*AG$71+B1284*AH$71+C1284*AI$71+D1284*AJ$71)+F1284/100*$B$7*AL$71-$C$71</f>
        <v/>
      </c>
      <c r="M1284" s="13">
        <f>$B$7*(A1284*AN$71+B1284*AO$71+C1284*AP$71+D1284*AQ$71)+F1284/100*$B$7*AS$71-$C$71</f>
        <v/>
      </c>
      <c r="N1284" s="13">
        <f>SUMPRODUCT($H$24:$M$24,H1284:M1284)</f>
        <v/>
      </c>
      <c r="O1284" s="14">
        <f>SQRT(SUMPRODUCT($H$24:$M$24,(H1284:M1284-N1284)^2))</f>
        <v/>
      </c>
      <c r="P1284" s="13">
        <f>MIN(H1284:M1284)</f>
        <v/>
      </c>
      <c r="Q1284" s="13">
        <f>MAX(H1284:M1284)</f>
        <v/>
      </c>
      <c r="R1284" s="27">
        <f>IF(G1284,SUMPRODUCT(($G$76:$G$1505)*($N$76:$N$1505&gt;=N1284)*($O$76:$O$1505&lt;=O1284))=1,FALSE)</f>
        <v/>
      </c>
      <c r="S1284" s="16">
        <f>IF(R1284,ABS((O1284-$AC$76)/MAX(0.0001,$AC$77-$AC$76)-(N1284-$AC$78)/MAX(0.0001,$AC$79-$AC$78)),-1)</f>
        <v/>
      </c>
      <c r="T1284" s="14">
        <f>IF(G1284,O1284,NA())</f>
        <v/>
      </c>
      <c r="U1284" s="13">
        <f>IF(G1284,N1284,NA())</f>
        <v/>
      </c>
      <c r="V1284" s="14">
        <f>IF(R1284,O1284,NA())</f>
        <v/>
      </c>
      <c r="W1284" s="13">
        <f>IF(R1284,N1284,NA())</f>
        <v/>
      </c>
      <c r="X1284" s="27">
        <f>IF(G1284,P1284,"")</f>
        <v/>
      </c>
      <c r="Y1284" s="27">
        <f>IF(G1284,N1284,"")</f>
        <v/>
      </c>
      <c r="Z1284" s="27">
        <f>IF(R1284,O1284,"")</f>
        <v/>
      </c>
      <c r="AA1284" s="27">
        <f>IF(R1284,N1284,"")</f>
        <v/>
      </c>
    </row>
    <row r="1285">
      <c r="A1285" s="31" t="n">
        <v>0.5</v>
      </c>
      <c r="B1285" s="31" t="n">
        <v>0.2</v>
      </c>
      <c r="C1285" s="31" t="n">
        <v>0</v>
      </c>
      <c r="D1285" s="31" t="n">
        <v>0.3</v>
      </c>
      <c r="E1285" s="27" t="inlineStr">
        <is>
          <t>ON 50%/1M 20%/3M 30%</t>
        </is>
      </c>
      <c r="F1285" s="27" t="n">
        <v>100</v>
      </c>
      <c r="G1285" s="27">
        <f>A1285*$B$7&gt;=$B$9</f>
        <v/>
      </c>
      <c r="H1285" s="13">
        <f>$B$7*(A1285*E$71+B1285*F$71+C1285*G$71+D1285*H$71)+F1285/100*$B$7*J$71-$C$71</f>
        <v/>
      </c>
      <c r="I1285" s="13">
        <f>$B$7*(A1285*L$71+B1285*M$71+C1285*N$71+D1285*O$71)+F1285/100*$B$7*Q$71-$C$71</f>
        <v/>
      </c>
      <c r="J1285" s="13">
        <f>$B$7*(A1285*S$71+B1285*T$71+C1285*U$71+D1285*V$71)+F1285/100*$B$7*X$71-$C$71</f>
        <v/>
      </c>
      <c r="K1285" s="13">
        <f>$B$7*(A1285*Z$71+B1285*AA$71+C1285*AB$71+D1285*AC$71)+F1285/100*$B$7*AE$71-$C$71</f>
        <v/>
      </c>
      <c r="L1285" s="13">
        <f>$B$7*(A1285*AG$71+B1285*AH$71+C1285*AI$71+D1285*AJ$71)+F1285/100*$B$7*AL$71-$C$71</f>
        <v/>
      </c>
      <c r="M1285" s="13">
        <f>$B$7*(A1285*AN$71+B1285*AO$71+C1285*AP$71+D1285*AQ$71)+F1285/100*$B$7*AS$71-$C$71</f>
        <v/>
      </c>
      <c r="N1285" s="13">
        <f>SUMPRODUCT($H$24:$M$24,H1285:M1285)</f>
        <v/>
      </c>
      <c r="O1285" s="14">
        <f>SQRT(SUMPRODUCT($H$24:$M$24,(H1285:M1285-N1285)^2))</f>
        <v/>
      </c>
      <c r="P1285" s="13">
        <f>MIN(H1285:M1285)</f>
        <v/>
      </c>
      <c r="Q1285" s="13">
        <f>MAX(H1285:M1285)</f>
        <v/>
      </c>
      <c r="R1285" s="27">
        <f>IF(G1285,SUMPRODUCT(($G$76:$G$1505)*($N$76:$N$1505&gt;=N1285)*($O$76:$O$1505&lt;=O1285))=1,FALSE)</f>
        <v/>
      </c>
      <c r="S1285" s="16">
        <f>IF(R1285,ABS((O1285-$AC$76)/MAX(0.0001,$AC$77-$AC$76)-(N1285-$AC$78)/MAX(0.0001,$AC$79-$AC$78)),-1)</f>
        <v/>
      </c>
      <c r="T1285" s="14">
        <f>IF(G1285,O1285,NA())</f>
        <v/>
      </c>
      <c r="U1285" s="13">
        <f>IF(G1285,N1285,NA())</f>
        <v/>
      </c>
      <c r="V1285" s="14">
        <f>IF(R1285,O1285,NA())</f>
        <v/>
      </c>
      <c r="W1285" s="13">
        <f>IF(R1285,N1285,NA())</f>
        <v/>
      </c>
      <c r="X1285" s="27">
        <f>IF(G1285,P1285,"")</f>
        <v/>
      </c>
      <c r="Y1285" s="27">
        <f>IF(G1285,N1285,"")</f>
        <v/>
      </c>
      <c r="Z1285" s="27">
        <f>IF(R1285,O1285,"")</f>
        <v/>
      </c>
      <c r="AA1285" s="27">
        <f>IF(R1285,N1285,"")</f>
        <v/>
      </c>
    </row>
    <row r="1286">
      <c r="A1286" s="31" t="n">
        <v>0.5</v>
      </c>
      <c r="B1286" s="31" t="n">
        <v>0.2</v>
      </c>
      <c r="C1286" s="31" t="n">
        <v>0.1</v>
      </c>
      <c r="D1286" s="31" t="n">
        <v>0.2</v>
      </c>
      <c r="E1286" s="27" t="inlineStr">
        <is>
          <t>ON 50%/1M 20%/2M 10%/3M 20%</t>
        </is>
      </c>
      <c r="F1286" s="27" t="n">
        <v>0</v>
      </c>
      <c r="G1286" s="27">
        <f>A1286*$B$7&gt;=$B$9</f>
        <v/>
      </c>
      <c r="H1286" s="13">
        <f>$B$7*(A1286*E$71+B1286*F$71+C1286*G$71+D1286*H$71)+F1286/100*$B$7*J$71-$C$71</f>
        <v/>
      </c>
      <c r="I1286" s="13">
        <f>$B$7*(A1286*L$71+B1286*M$71+C1286*N$71+D1286*O$71)+F1286/100*$B$7*Q$71-$C$71</f>
        <v/>
      </c>
      <c r="J1286" s="13">
        <f>$B$7*(A1286*S$71+B1286*T$71+C1286*U$71+D1286*V$71)+F1286/100*$B$7*X$71-$C$71</f>
        <v/>
      </c>
      <c r="K1286" s="13">
        <f>$B$7*(A1286*Z$71+B1286*AA$71+C1286*AB$71+D1286*AC$71)+F1286/100*$B$7*AE$71-$C$71</f>
        <v/>
      </c>
      <c r="L1286" s="13">
        <f>$B$7*(A1286*AG$71+B1286*AH$71+C1286*AI$71+D1286*AJ$71)+F1286/100*$B$7*AL$71-$C$71</f>
        <v/>
      </c>
      <c r="M1286" s="13">
        <f>$B$7*(A1286*AN$71+B1286*AO$71+C1286*AP$71+D1286*AQ$71)+F1286/100*$B$7*AS$71-$C$71</f>
        <v/>
      </c>
      <c r="N1286" s="13">
        <f>SUMPRODUCT($H$24:$M$24,H1286:M1286)</f>
        <v/>
      </c>
      <c r="O1286" s="14">
        <f>SQRT(SUMPRODUCT($H$24:$M$24,(H1286:M1286-N1286)^2))</f>
        <v/>
      </c>
      <c r="P1286" s="13">
        <f>MIN(H1286:M1286)</f>
        <v/>
      </c>
      <c r="Q1286" s="13">
        <f>MAX(H1286:M1286)</f>
        <v/>
      </c>
      <c r="R1286" s="27">
        <f>IF(G1286,SUMPRODUCT(($G$76:$G$1505)*($N$76:$N$1505&gt;=N1286)*($O$76:$O$1505&lt;=O1286))=1,FALSE)</f>
        <v/>
      </c>
      <c r="S1286" s="16">
        <f>IF(R1286,ABS((O1286-$AC$76)/MAX(0.0001,$AC$77-$AC$76)-(N1286-$AC$78)/MAX(0.0001,$AC$79-$AC$78)),-1)</f>
        <v/>
      </c>
      <c r="T1286" s="14">
        <f>IF(G1286,O1286,NA())</f>
        <v/>
      </c>
      <c r="U1286" s="13">
        <f>IF(G1286,N1286,NA())</f>
        <v/>
      </c>
      <c r="V1286" s="14">
        <f>IF(R1286,O1286,NA())</f>
        <v/>
      </c>
      <c r="W1286" s="13">
        <f>IF(R1286,N1286,NA())</f>
        <v/>
      </c>
      <c r="X1286" s="27">
        <f>IF(G1286,P1286,"")</f>
        <v/>
      </c>
      <c r="Y1286" s="27">
        <f>IF(G1286,N1286,"")</f>
        <v/>
      </c>
      <c r="Z1286" s="27">
        <f>IF(R1286,O1286,"")</f>
        <v/>
      </c>
      <c r="AA1286" s="27">
        <f>IF(R1286,N1286,"")</f>
        <v/>
      </c>
    </row>
    <row r="1287">
      <c r="A1287" s="31" t="n">
        <v>0.5</v>
      </c>
      <c r="B1287" s="31" t="n">
        <v>0.2</v>
      </c>
      <c r="C1287" s="31" t="n">
        <v>0.1</v>
      </c>
      <c r="D1287" s="31" t="n">
        <v>0.2</v>
      </c>
      <c r="E1287" s="27" t="inlineStr">
        <is>
          <t>ON 50%/1M 20%/2M 10%/3M 20%</t>
        </is>
      </c>
      <c r="F1287" s="27" t="n">
        <v>25</v>
      </c>
      <c r="G1287" s="27">
        <f>A1287*$B$7&gt;=$B$9</f>
        <v/>
      </c>
      <c r="H1287" s="13">
        <f>$B$7*(A1287*E$71+B1287*F$71+C1287*G$71+D1287*H$71)+F1287/100*$B$7*J$71-$C$71</f>
        <v/>
      </c>
      <c r="I1287" s="13">
        <f>$B$7*(A1287*L$71+B1287*M$71+C1287*N$71+D1287*O$71)+F1287/100*$B$7*Q$71-$C$71</f>
        <v/>
      </c>
      <c r="J1287" s="13">
        <f>$B$7*(A1287*S$71+B1287*T$71+C1287*U$71+D1287*V$71)+F1287/100*$B$7*X$71-$C$71</f>
        <v/>
      </c>
      <c r="K1287" s="13">
        <f>$B$7*(A1287*Z$71+B1287*AA$71+C1287*AB$71+D1287*AC$71)+F1287/100*$B$7*AE$71-$C$71</f>
        <v/>
      </c>
      <c r="L1287" s="13">
        <f>$B$7*(A1287*AG$71+B1287*AH$71+C1287*AI$71+D1287*AJ$71)+F1287/100*$B$7*AL$71-$C$71</f>
        <v/>
      </c>
      <c r="M1287" s="13">
        <f>$B$7*(A1287*AN$71+B1287*AO$71+C1287*AP$71+D1287*AQ$71)+F1287/100*$B$7*AS$71-$C$71</f>
        <v/>
      </c>
      <c r="N1287" s="13">
        <f>SUMPRODUCT($H$24:$M$24,H1287:M1287)</f>
        <v/>
      </c>
      <c r="O1287" s="14">
        <f>SQRT(SUMPRODUCT($H$24:$M$24,(H1287:M1287-N1287)^2))</f>
        <v/>
      </c>
      <c r="P1287" s="13">
        <f>MIN(H1287:M1287)</f>
        <v/>
      </c>
      <c r="Q1287" s="13">
        <f>MAX(H1287:M1287)</f>
        <v/>
      </c>
      <c r="R1287" s="27">
        <f>IF(G1287,SUMPRODUCT(($G$76:$G$1505)*($N$76:$N$1505&gt;=N1287)*($O$76:$O$1505&lt;=O1287))=1,FALSE)</f>
        <v/>
      </c>
      <c r="S1287" s="16">
        <f>IF(R1287,ABS((O1287-$AC$76)/MAX(0.0001,$AC$77-$AC$76)-(N1287-$AC$78)/MAX(0.0001,$AC$79-$AC$78)),-1)</f>
        <v/>
      </c>
      <c r="T1287" s="14">
        <f>IF(G1287,O1287,NA())</f>
        <v/>
      </c>
      <c r="U1287" s="13">
        <f>IF(G1287,N1287,NA())</f>
        <v/>
      </c>
      <c r="V1287" s="14">
        <f>IF(R1287,O1287,NA())</f>
        <v/>
      </c>
      <c r="W1287" s="13">
        <f>IF(R1287,N1287,NA())</f>
        <v/>
      </c>
      <c r="X1287" s="27">
        <f>IF(G1287,P1287,"")</f>
        <v/>
      </c>
      <c r="Y1287" s="27">
        <f>IF(G1287,N1287,"")</f>
        <v/>
      </c>
      <c r="Z1287" s="27">
        <f>IF(R1287,O1287,"")</f>
        <v/>
      </c>
      <c r="AA1287" s="27">
        <f>IF(R1287,N1287,"")</f>
        <v/>
      </c>
    </row>
    <row r="1288">
      <c r="A1288" s="31" t="n">
        <v>0.5</v>
      </c>
      <c r="B1288" s="31" t="n">
        <v>0.2</v>
      </c>
      <c r="C1288" s="31" t="n">
        <v>0.1</v>
      </c>
      <c r="D1288" s="31" t="n">
        <v>0.2</v>
      </c>
      <c r="E1288" s="27" t="inlineStr">
        <is>
          <t>ON 50%/1M 20%/2M 10%/3M 20%</t>
        </is>
      </c>
      <c r="F1288" s="27" t="n">
        <v>50</v>
      </c>
      <c r="G1288" s="27">
        <f>A1288*$B$7&gt;=$B$9</f>
        <v/>
      </c>
      <c r="H1288" s="13">
        <f>$B$7*(A1288*E$71+B1288*F$71+C1288*G$71+D1288*H$71)+F1288/100*$B$7*J$71-$C$71</f>
        <v/>
      </c>
      <c r="I1288" s="13">
        <f>$B$7*(A1288*L$71+B1288*M$71+C1288*N$71+D1288*O$71)+F1288/100*$B$7*Q$71-$C$71</f>
        <v/>
      </c>
      <c r="J1288" s="13">
        <f>$B$7*(A1288*S$71+B1288*T$71+C1288*U$71+D1288*V$71)+F1288/100*$B$7*X$71-$C$71</f>
        <v/>
      </c>
      <c r="K1288" s="13">
        <f>$B$7*(A1288*Z$71+B1288*AA$71+C1288*AB$71+D1288*AC$71)+F1288/100*$B$7*AE$71-$C$71</f>
        <v/>
      </c>
      <c r="L1288" s="13">
        <f>$B$7*(A1288*AG$71+B1288*AH$71+C1288*AI$71+D1288*AJ$71)+F1288/100*$B$7*AL$71-$C$71</f>
        <v/>
      </c>
      <c r="M1288" s="13">
        <f>$B$7*(A1288*AN$71+B1288*AO$71+C1288*AP$71+D1288*AQ$71)+F1288/100*$B$7*AS$71-$C$71</f>
        <v/>
      </c>
      <c r="N1288" s="13">
        <f>SUMPRODUCT($H$24:$M$24,H1288:M1288)</f>
        <v/>
      </c>
      <c r="O1288" s="14">
        <f>SQRT(SUMPRODUCT($H$24:$M$24,(H1288:M1288-N1288)^2))</f>
        <v/>
      </c>
      <c r="P1288" s="13">
        <f>MIN(H1288:M1288)</f>
        <v/>
      </c>
      <c r="Q1288" s="13">
        <f>MAX(H1288:M1288)</f>
        <v/>
      </c>
      <c r="R1288" s="27">
        <f>IF(G1288,SUMPRODUCT(($G$76:$G$1505)*($N$76:$N$1505&gt;=N1288)*($O$76:$O$1505&lt;=O1288))=1,FALSE)</f>
        <v/>
      </c>
      <c r="S1288" s="16">
        <f>IF(R1288,ABS((O1288-$AC$76)/MAX(0.0001,$AC$77-$AC$76)-(N1288-$AC$78)/MAX(0.0001,$AC$79-$AC$78)),-1)</f>
        <v/>
      </c>
      <c r="T1288" s="14">
        <f>IF(G1288,O1288,NA())</f>
        <v/>
      </c>
      <c r="U1288" s="13">
        <f>IF(G1288,N1288,NA())</f>
        <v/>
      </c>
      <c r="V1288" s="14">
        <f>IF(R1288,O1288,NA())</f>
        <v/>
      </c>
      <c r="W1288" s="13">
        <f>IF(R1288,N1288,NA())</f>
        <v/>
      </c>
      <c r="X1288" s="27">
        <f>IF(G1288,P1288,"")</f>
        <v/>
      </c>
      <c r="Y1288" s="27">
        <f>IF(G1288,N1288,"")</f>
        <v/>
      </c>
      <c r="Z1288" s="27">
        <f>IF(R1288,O1288,"")</f>
        <v/>
      </c>
      <c r="AA1288" s="27">
        <f>IF(R1288,N1288,"")</f>
        <v/>
      </c>
    </row>
    <row r="1289">
      <c r="A1289" s="31" t="n">
        <v>0.5</v>
      </c>
      <c r="B1289" s="31" t="n">
        <v>0.2</v>
      </c>
      <c r="C1289" s="31" t="n">
        <v>0.1</v>
      </c>
      <c r="D1289" s="31" t="n">
        <v>0.2</v>
      </c>
      <c r="E1289" s="27" t="inlineStr">
        <is>
          <t>ON 50%/1M 20%/2M 10%/3M 20%</t>
        </is>
      </c>
      <c r="F1289" s="27" t="n">
        <v>75</v>
      </c>
      <c r="G1289" s="27">
        <f>A1289*$B$7&gt;=$B$9</f>
        <v/>
      </c>
      <c r="H1289" s="13">
        <f>$B$7*(A1289*E$71+B1289*F$71+C1289*G$71+D1289*H$71)+F1289/100*$B$7*J$71-$C$71</f>
        <v/>
      </c>
      <c r="I1289" s="13">
        <f>$B$7*(A1289*L$71+B1289*M$71+C1289*N$71+D1289*O$71)+F1289/100*$B$7*Q$71-$C$71</f>
        <v/>
      </c>
      <c r="J1289" s="13">
        <f>$B$7*(A1289*S$71+B1289*T$71+C1289*U$71+D1289*V$71)+F1289/100*$B$7*X$71-$C$71</f>
        <v/>
      </c>
      <c r="K1289" s="13">
        <f>$B$7*(A1289*Z$71+B1289*AA$71+C1289*AB$71+D1289*AC$71)+F1289/100*$B$7*AE$71-$C$71</f>
        <v/>
      </c>
      <c r="L1289" s="13">
        <f>$B$7*(A1289*AG$71+B1289*AH$71+C1289*AI$71+D1289*AJ$71)+F1289/100*$B$7*AL$71-$C$71</f>
        <v/>
      </c>
      <c r="M1289" s="13">
        <f>$B$7*(A1289*AN$71+B1289*AO$71+C1289*AP$71+D1289*AQ$71)+F1289/100*$B$7*AS$71-$C$71</f>
        <v/>
      </c>
      <c r="N1289" s="13">
        <f>SUMPRODUCT($H$24:$M$24,H1289:M1289)</f>
        <v/>
      </c>
      <c r="O1289" s="14">
        <f>SQRT(SUMPRODUCT($H$24:$M$24,(H1289:M1289-N1289)^2))</f>
        <v/>
      </c>
      <c r="P1289" s="13">
        <f>MIN(H1289:M1289)</f>
        <v/>
      </c>
      <c r="Q1289" s="13">
        <f>MAX(H1289:M1289)</f>
        <v/>
      </c>
      <c r="R1289" s="27">
        <f>IF(G1289,SUMPRODUCT(($G$76:$G$1505)*($N$76:$N$1505&gt;=N1289)*($O$76:$O$1505&lt;=O1289))=1,FALSE)</f>
        <v/>
      </c>
      <c r="S1289" s="16">
        <f>IF(R1289,ABS((O1289-$AC$76)/MAX(0.0001,$AC$77-$AC$76)-(N1289-$AC$78)/MAX(0.0001,$AC$79-$AC$78)),-1)</f>
        <v/>
      </c>
      <c r="T1289" s="14">
        <f>IF(G1289,O1289,NA())</f>
        <v/>
      </c>
      <c r="U1289" s="13">
        <f>IF(G1289,N1289,NA())</f>
        <v/>
      </c>
      <c r="V1289" s="14">
        <f>IF(R1289,O1289,NA())</f>
        <v/>
      </c>
      <c r="W1289" s="13">
        <f>IF(R1289,N1289,NA())</f>
        <v/>
      </c>
      <c r="X1289" s="27">
        <f>IF(G1289,P1289,"")</f>
        <v/>
      </c>
      <c r="Y1289" s="27">
        <f>IF(G1289,N1289,"")</f>
        <v/>
      </c>
      <c r="Z1289" s="27">
        <f>IF(R1289,O1289,"")</f>
        <v/>
      </c>
      <c r="AA1289" s="27">
        <f>IF(R1289,N1289,"")</f>
        <v/>
      </c>
    </row>
    <row r="1290">
      <c r="A1290" s="31" t="n">
        <v>0.5</v>
      </c>
      <c r="B1290" s="31" t="n">
        <v>0.2</v>
      </c>
      <c r="C1290" s="31" t="n">
        <v>0.1</v>
      </c>
      <c r="D1290" s="31" t="n">
        <v>0.2</v>
      </c>
      <c r="E1290" s="27" t="inlineStr">
        <is>
          <t>ON 50%/1M 20%/2M 10%/3M 20%</t>
        </is>
      </c>
      <c r="F1290" s="27" t="n">
        <v>100</v>
      </c>
      <c r="G1290" s="27">
        <f>A1290*$B$7&gt;=$B$9</f>
        <v/>
      </c>
      <c r="H1290" s="13">
        <f>$B$7*(A1290*E$71+B1290*F$71+C1290*G$71+D1290*H$71)+F1290/100*$B$7*J$71-$C$71</f>
        <v/>
      </c>
      <c r="I1290" s="13">
        <f>$B$7*(A1290*L$71+B1290*M$71+C1290*N$71+D1290*O$71)+F1290/100*$B$7*Q$71-$C$71</f>
        <v/>
      </c>
      <c r="J1290" s="13">
        <f>$B$7*(A1290*S$71+B1290*T$71+C1290*U$71+D1290*V$71)+F1290/100*$B$7*X$71-$C$71</f>
        <v/>
      </c>
      <c r="K1290" s="13">
        <f>$B$7*(A1290*Z$71+B1290*AA$71+C1290*AB$71+D1290*AC$71)+F1290/100*$B$7*AE$71-$C$71</f>
        <v/>
      </c>
      <c r="L1290" s="13">
        <f>$B$7*(A1290*AG$71+B1290*AH$71+C1290*AI$71+D1290*AJ$71)+F1290/100*$B$7*AL$71-$C$71</f>
        <v/>
      </c>
      <c r="M1290" s="13">
        <f>$B$7*(A1290*AN$71+B1290*AO$71+C1290*AP$71+D1290*AQ$71)+F1290/100*$B$7*AS$71-$C$71</f>
        <v/>
      </c>
      <c r="N1290" s="13">
        <f>SUMPRODUCT($H$24:$M$24,H1290:M1290)</f>
        <v/>
      </c>
      <c r="O1290" s="14">
        <f>SQRT(SUMPRODUCT($H$24:$M$24,(H1290:M1290-N1290)^2))</f>
        <v/>
      </c>
      <c r="P1290" s="13">
        <f>MIN(H1290:M1290)</f>
        <v/>
      </c>
      <c r="Q1290" s="13">
        <f>MAX(H1290:M1290)</f>
        <v/>
      </c>
      <c r="R1290" s="27">
        <f>IF(G1290,SUMPRODUCT(($G$76:$G$1505)*($N$76:$N$1505&gt;=N1290)*($O$76:$O$1505&lt;=O1290))=1,FALSE)</f>
        <v/>
      </c>
      <c r="S1290" s="16">
        <f>IF(R1290,ABS((O1290-$AC$76)/MAX(0.0001,$AC$77-$AC$76)-(N1290-$AC$78)/MAX(0.0001,$AC$79-$AC$78)),-1)</f>
        <v/>
      </c>
      <c r="T1290" s="14">
        <f>IF(G1290,O1290,NA())</f>
        <v/>
      </c>
      <c r="U1290" s="13">
        <f>IF(G1290,N1290,NA())</f>
        <v/>
      </c>
      <c r="V1290" s="14">
        <f>IF(R1290,O1290,NA())</f>
        <v/>
      </c>
      <c r="W1290" s="13">
        <f>IF(R1290,N1290,NA())</f>
        <v/>
      </c>
      <c r="X1290" s="27">
        <f>IF(G1290,P1290,"")</f>
        <v/>
      </c>
      <c r="Y1290" s="27">
        <f>IF(G1290,N1290,"")</f>
        <v/>
      </c>
      <c r="Z1290" s="27">
        <f>IF(R1290,O1290,"")</f>
        <v/>
      </c>
      <c r="AA1290" s="27">
        <f>IF(R1290,N1290,"")</f>
        <v/>
      </c>
    </row>
    <row r="1291">
      <c r="A1291" s="31" t="n">
        <v>0.5</v>
      </c>
      <c r="B1291" s="31" t="n">
        <v>0.2</v>
      </c>
      <c r="C1291" s="31" t="n">
        <v>0.2</v>
      </c>
      <c r="D1291" s="31" t="n">
        <v>0.1</v>
      </c>
      <c r="E1291" s="27" t="inlineStr">
        <is>
          <t>ON 50%/1M 20%/2M 20%/3M 10%</t>
        </is>
      </c>
      <c r="F1291" s="27" t="n">
        <v>0</v>
      </c>
      <c r="G1291" s="27">
        <f>A1291*$B$7&gt;=$B$9</f>
        <v/>
      </c>
      <c r="H1291" s="13">
        <f>$B$7*(A1291*E$71+B1291*F$71+C1291*G$71+D1291*H$71)+F1291/100*$B$7*J$71-$C$71</f>
        <v/>
      </c>
      <c r="I1291" s="13">
        <f>$B$7*(A1291*L$71+B1291*M$71+C1291*N$71+D1291*O$71)+F1291/100*$B$7*Q$71-$C$71</f>
        <v/>
      </c>
      <c r="J1291" s="13">
        <f>$B$7*(A1291*S$71+B1291*T$71+C1291*U$71+D1291*V$71)+F1291/100*$B$7*X$71-$C$71</f>
        <v/>
      </c>
      <c r="K1291" s="13">
        <f>$B$7*(A1291*Z$71+B1291*AA$71+C1291*AB$71+D1291*AC$71)+F1291/100*$B$7*AE$71-$C$71</f>
        <v/>
      </c>
      <c r="L1291" s="13">
        <f>$B$7*(A1291*AG$71+B1291*AH$71+C1291*AI$71+D1291*AJ$71)+F1291/100*$B$7*AL$71-$C$71</f>
        <v/>
      </c>
      <c r="M1291" s="13">
        <f>$B$7*(A1291*AN$71+B1291*AO$71+C1291*AP$71+D1291*AQ$71)+F1291/100*$B$7*AS$71-$C$71</f>
        <v/>
      </c>
      <c r="N1291" s="13">
        <f>SUMPRODUCT($H$24:$M$24,H1291:M1291)</f>
        <v/>
      </c>
      <c r="O1291" s="14">
        <f>SQRT(SUMPRODUCT($H$24:$M$24,(H1291:M1291-N1291)^2))</f>
        <v/>
      </c>
      <c r="P1291" s="13">
        <f>MIN(H1291:M1291)</f>
        <v/>
      </c>
      <c r="Q1291" s="13">
        <f>MAX(H1291:M1291)</f>
        <v/>
      </c>
      <c r="R1291" s="27">
        <f>IF(G1291,SUMPRODUCT(($G$76:$G$1505)*($N$76:$N$1505&gt;=N1291)*($O$76:$O$1505&lt;=O1291))=1,FALSE)</f>
        <v/>
      </c>
      <c r="S1291" s="16">
        <f>IF(R1291,ABS((O1291-$AC$76)/MAX(0.0001,$AC$77-$AC$76)-(N1291-$AC$78)/MAX(0.0001,$AC$79-$AC$78)),-1)</f>
        <v/>
      </c>
      <c r="T1291" s="14">
        <f>IF(G1291,O1291,NA())</f>
        <v/>
      </c>
      <c r="U1291" s="13">
        <f>IF(G1291,N1291,NA())</f>
        <v/>
      </c>
      <c r="V1291" s="14">
        <f>IF(R1291,O1291,NA())</f>
        <v/>
      </c>
      <c r="W1291" s="13">
        <f>IF(R1291,N1291,NA())</f>
        <v/>
      </c>
      <c r="X1291" s="27">
        <f>IF(G1291,P1291,"")</f>
        <v/>
      </c>
      <c r="Y1291" s="27">
        <f>IF(G1291,N1291,"")</f>
        <v/>
      </c>
      <c r="Z1291" s="27">
        <f>IF(R1291,O1291,"")</f>
        <v/>
      </c>
      <c r="AA1291" s="27">
        <f>IF(R1291,N1291,"")</f>
        <v/>
      </c>
    </row>
    <row r="1292">
      <c r="A1292" s="31" t="n">
        <v>0.5</v>
      </c>
      <c r="B1292" s="31" t="n">
        <v>0.2</v>
      </c>
      <c r="C1292" s="31" t="n">
        <v>0.2</v>
      </c>
      <c r="D1292" s="31" t="n">
        <v>0.1</v>
      </c>
      <c r="E1292" s="27" t="inlineStr">
        <is>
          <t>ON 50%/1M 20%/2M 20%/3M 10%</t>
        </is>
      </c>
      <c r="F1292" s="27" t="n">
        <v>25</v>
      </c>
      <c r="G1292" s="27">
        <f>A1292*$B$7&gt;=$B$9</f>
        <v/>
      </c>
      <c r="H1292" s="13">
        <f>$B$7*(A1292*E$71+B1292*F$71+C1292*G$71+D1292*H$71)+F1292/100*$B$7*J$71-$C$71</f>
        <v/>
      </c>
      <c r="I1292" s="13">
        <f>$B$7*(A1292*L$71+B1292*M$71+C1292*N$71+D1292*O$71)+F1292/100*$B$7*Q$71-$C$71</f>
        <v/>
      </c>
      <c r="J1292" s="13">
        <f>$B$7*(A1292*S$71+B1292*T$71+C1292*U$71+D1292*V$71)+F1292/100*$B$7*X$71-$C$71</f>
        <v/>
      </c>
      <c r="K1292" s="13">
        <f>$B$7*(A1292*Z$71+B1292*AA$71+C1292*AB$71+D1292*AC$71)+F1292/100*$B$7*AE$71-$C$71</f>
        <v/>
      </c>
      <c r="L1292" s="13">
        <f>$B$7*(A1292*AG$71+B1292*AH$71+C1292*AI$71+D1292*AJ$71)+F1292/100*$B$7*AL$71-$C$71</f>
        <v/>
      </c>
      <c r="M1292" s="13">
        <f>$B$7*(A1292*AN$71+B1292*AO$71+C1292*AP$71+D1292*AQ$71)+F1292/100*$B$7*AS$71-$C$71</f>
        <v/>
      </c>
      <c r="N1292" s="13">
        <f>SUMPRODUCT($H$24:$M$24,H1292:M1292)</f>
        <v/>
      </c>
      <c r="O1292" s="14">
        <f>SQRT(SUMPRODUCT($H$24:$M$24,(H1292:M1292-N1292)^2))</f>
        <v/>
      </c>
      <c r="P1292" s="13">
        <f>MIN(H1292:M1292)</f>
        <v/>
      </c>
      <c r="Q1292" s="13">
        <f>MAX(H1292:M1292)</f>
        <v/>
      </c>
      <c r="R1292" s="27">
        <f>IF(G1292,SUMPRODUCT(($G$76:$G$1505)*($N$76:$N$1505&gt;=N1292)*($O$76:$O$1505&lt;=O1292))=1,FALSE)</f>
        <v/>
      </c>
      <c r="S1292" s="16">
        <f>IF(R1292,ABS((O1292-$AC$76)/MAX(0.0001,$AC$77-$AC$76)-(N1292-$AC$78)/MAX(0.0001,$AC$79-$AC$78)),-1)</f>
        <v/>
      </c>
      <c r="T1292" s="14">
        <f>IF(G1292,O1292,NA())</f>
        <v/>
      </c>
      <c r="U1292" s="13">
        <f>IF(G1292,N1292,NA())</f>
        <v/>
      </c>
      <c r="V1292" s="14">
        <f>IF(R1292,O1292,NA())</f>
        <v/>
      </c>
      <c r="W1292" s="13">
        <f>IF(R1292,N1292,NA())</f>
        <v/>
      </c>
      <c r="X1292" s="27">
        <f>IF(G1292,P1292,"")</f>
        <v/>
      </c>
      <c r="Y1292" s="27">
        <f>IF(G1292,N1292,"")</f>
        <v/>
      </c>
      <c r="Z1292" s="27">
        <f>IF(R1292,O1292,"")</f>
        <v/>
      </c>
      <c r="AA1292" s="27">
        <f>IF(R1292,N1292,"")</f>
        <v/>
      </c>
    </row>
    <row r="1293">
      <c r="A1293" s="31" t="n">
        <v>0.5</v>
      </c>
      <c r="B1293" s="31" t="n">
        <v>0.2</v>
      </c>
      <c r="C1293" s="31" t="n">
        <v>0.2</v>
      </c>
      <c r="D1293" s="31" t="n">
        <v>0.1</v>
      </c>
      <c r="E1293" s="27" t="inlineStr">
        <is>
          <t>ON 50%/1M 20%/2M 20%/3M 10%</t>
        </is>
      </c>
      <c r="F1293" s="27" t="n">
        <v>50</v>
      </c>
      <c r="G1293" s="27">
        <f>A1293*$B$7&gt;=$B$9</f>
        <v/>
      </c>
      <c r="H1293" s="13">
        <f>$B$7*(A1293*E$71+B1293*F$71+C1293*G$71+D1293*H$71)+F1293/100*$B$7*J$71-$C$71</f>
        <v/>
      </c>
      <c r="I1293" s="13">
        <f>$B$7*(A1293*L$71+B1293*M$71+C1293*N$71+D1293*O$71)+F1293/100*$B$7*Q$71-$C$71</f>
        <v/>
      </c>
      <c r="J1293" s="13">
        <f>$B$7*(A1293*S$71+B1293*T$71+C1293*U$71+D1293*V$71)+F1293/100*$B$7*X$71-$C$71</f>
        <v/>
      </c>
      <c r="K1293" s="13">
        <f>$B$7*(A1293*Z$71+B1293*AA$71+C1293*AB$71+D1293*AC$71)+F1293/100*$B$7*AE$71-$C$71</f>
        <v/>
      </c>
      <c r="L1293" s="13">
        <f>$B$7*(A1293*AG$71+B1293*AH$71+C1293*AI$71+D1293*AJ$71)+F1293/100*$B$7*AL$71-$C$71</f>
        <v/>
      </c>
      <c r="M1293" s="13">
        <f>$B$7*(A1293*AN$71+B1293*AO$71+C1293*AP$71+D1293*AQ$71)+F1293/100*$B$7*AS$71-$C$71</f>
        <v/>
      </c>
      <c r="N1293" s="13">
        <f>SUMPRODUCT($H$24:$M$24,H1293:M1293)</f>
        <v/>
      </c>
      <c r="O1293" s="14">
        <f>SQRT(SUMPRODUCT($H$24:$M$24,(H1293:M1293-N1293)^2))</f>
        <v/>
      </c>
      <c r="P1293" s="13">
        <f>MIN(H1293:M1293)</f>
        <v/>
      </c>
      <c r="Q1293" s="13">
        <f>MAX(H1293:M1293)</f>
        <v/>
      </c>
      <c r="R1293" s="27">
        <f>IF(G1293,SUMPRODUCT(($G$76:$G$1505)*($N$76:$N$1505&gt;=N1293)*($O$76:$O$1505&lt;=O1293))=1,FALSE)</f>
        <v/>
      </c>
      <c r="S1293" s="16">
        <f>IF(R1293,ABS((O1293-$AC$76)/MAX(0.0001,$AC$77-$AC$76)-(N1293-$AC$78)/MAX(0.0001,$AC$79-$AC$78)),-1)</f>
        <v/>
      </c>
      <c r="T1293" s="14">
        <f>IF(G1293,O1293,NA())</f>
        <v/>
      </c>
      <c r="U1293" s="13">
        <f>IF(G1293,N1293,NA())</f>
        <v/>
      </c>
      <c r="V1293" s="14">
        <f>IF(R1293,O1293,NA())</f>
        <v/>
      </c>
      <c r="W1293" s="13">
        <f>IF(R1293,N1293,NA())</f>
        <v/>
      </c>
      <c r="X1293" s="27">
        <f>IF(G1293,P1293,"")</f>
        <v/>
      </c>
      <c r="Y1293" s="27">
        <f>IF(G1293,N1293,"")</f>
        <v/>
      </c>
      <c r="Z1293" s="27">
        <f>IF(R1293,O1293,"")</f>
        <v/>
      </c>
      <c r="AA1293" s="27">
        <f>IF(R1293,N1293,"")</f>
        <v/>
      </c>
    </row>
    <row r="1294">
      <c r="A1294" s="31" t="n">
        <v>0.5</v>
      </c>
      <c r="B1294" s="31" t="n">
        <v>0.2</v>
      </c>
      <c r="C1294" s="31" t="n">
        <v>0.2</v>
      </c>
      <c r="D1294" s="31" t="n">
        <v>0.1</v>
      </c>
      <c r="E1294" s="27" t="inlineStr">
        <is>
          <t>ON 50%/1M 20%/2M 20%/3M 10%</t>
        </is>
      </c>
      <c r="F1294" s="27" t="n">
        <v>75</v>
      </c>
      <c r="G1294" s="27">
        <f>A1294*$B$7&gt;=$B$9</f>
        <v/>
      </c>
      <c r="H1294" s="13">
        <f>$B$7*(A1294*E$71+B1294*F$71+C1294*G$71+D1294*H$71)+F1294/100*$B$7*J$71-$C$71</f>
        <v/>
      </c>
      <c r="I1294" s="13">
        <f>$B$7*(A1294*L$71+B1294*M$71+C1294*N$71+D1294*O$71)+F1294/100*$B$7*Q$71-$C$71</f>
        <v/>
      </c>
      <c r="J1294" s="13">
        <f>$B$7*(A1294*S$71+B1294*T$71+C1294*U$71+D1294*V$71)+F1294/100*$B$7*X$71-$C$71</f>
        <v/>
      </c>
      <c r="K1294" s="13">
        <f>$B$7*(A1294*Z$71+B1294*AA$71+C1294*AB$71+D1294*AC$71)+F1294/100*$B$7*AE$71-$C$71</f>
        <v/>
      </c>
      <c r="L1294" s="13">
        <f>$B$7*(A1294*AG$71+B1294*AH$71+C1294*AI$71+D1294*AJ$71)+F1294/100*$B$7*AL$71-$C$71</f>
        <v/>
      </c>
      <c r="M1294" s="13">
        <f>$B$7*(A1294*AN$71+B1294*AO$71+C1294*AP$71+D1294*AQ$71)+F1294/100*$B$7*AS$71-$C$71</f>
        <v/>
      </c>
      <c r="N1294" s="13">
        <f>SUMPRODUCT($H$24:$M$24,H1294:M1294)</f>
        <v/>
      </c>
      <c r="O1294" s="14">
        <f>SQRT(SUMPRODUCT($H$24:$M$24,(H1294:M1294-N1294)^2))</f>
        <v/>
      </c>
      <c r="P1294" s="13">
        <f>MIN(H1294:M1294)</f>
        <v/>
      </c>
      <c r="Q1294" s="13">
        <f>MAX(H1294:M1294)</f>
        <v/>
      </c>
      <c r="R1294" s="27">
        <f>IF(G1294,SUMPRODUCT(($G$76:$G$1505)*($N$76:$N$1505&gt;=N1294)*($O$76:$O$1505&lt;=O1294))=1,FALSE)</f>
        <v/>
      </c>
      <c r="S1294" s="16">
        <f>IF(R1294,ABS((O1294-$AC$76)/MAX(0.0001,$AC$77-$AC$76)-(N1294-$AC$78)/MAX(0.0001,$AC$79-$AC$78)),-1)</f>
        <v/>
      </c>
      <c r="T1294" s="14">
        <f>IF(G1294,O1294,NA())</f>
        <v/>
      </c>
      <c r="U1294" s="13">
        <f>IF(G1294,N1294,NA())</f>
        <v/>
      </c>
      <c r="V1294" s="14">
        <f>IF(R1294,O1294,NA())</f>
        <v/>
      </c>
      <c r="W1294" s="13">
        <f>IF(R1294,N1294,NA())</f>
        <v/>
      </c>
      <c r="X1294" s="27">
        <f>IF(G1294,P1294,"")</f>
        <v/>
      </c>
      <c r="Y1294" s="27">
        <f>IF(G1294,N1294,"")</f>
        <v/>
      </c>
      <c r="Z1294" s="27">
        <f>IF(R1294,O1294,"")</f>
        <v/>
      </c>
      <c r="AA1294" s="27">
        <f>IF(R1294,N1294,"")</f>
        <v/>
      </c>
    </row>
    <row r="1295">
      <c r="A1295" s="31" t="n">
        <v>0.5</v>
      </c>
      <c r="B1295" s="31" t="n">
        <v>0.2</v>
      </c>
      <c r="C1295" s="31" t="n">
        <v>0.2</v>
      </c>
      <c r="D1295" s="31" t="n">
        <v>0.1</v>
      </c>
      <c r="E1295" s="27" t="inlineStr">
        <is>
          <t>ON 50%/1M 20%/2M 20%/3M 10%</t>
        </is>
      </c>
      <c r="F1295" s="27" t="n">
        <v>100</v>
      </c>
      <c r="G1295" s="27">
        <f>A1295*$B$7&gt;=$B$9</f>
        <v/>
      </c>
      <c r="H1295" s="13">
        <f>$B$7*(A1295*E$71+B1295*F$71+C1295*G$71+D1295*H$71)+F1295/100*$B$7*J$71-$C$71</f>
        <v/>
      </c>
      <c r="I1295" s="13">
        <f>$B$7*(A1295*L$71+B1295*M$71+C1295*N$71+D1295*O$71)+F1295/100*$B$7*Q$71-$C$71</f>
        <v/>
      </c>
      <c r="J1295" s="13">
        <f>$B$7*(A1295*S$71+B1295*T$71+C1295*U$71+D1295*V$71)+F1295/100*$B$7*X$71-$C$71</f>
        <v/>
      </c>
      <c r="K1295" s="13">
        <f>$B$7*(A1295*Z$71+B1295*AA$71+C1295*AB$71+D1295*AC$71)+F1295/100*$B$7*AE$71-$C$71</f>
        <v/>
      </c>
      <c r="L1295" s="13">
        <f>$B$7*(A1295*AG$71+B1295*AH$71+C1295*AI$71+D1295*AJ$71)+F1295/100*$B$7*AL$71-$C$71</f>
        <v/>
      </c>
      <c r="M1295" s="13">
        <f>$B$7*(A1295*AN$71+B1295*AO$71+C1295*AP$71+D1295*AQ$71)+F1295/100*$B$7*AS$71-$C$71</f>
        <v/>
      </c>
      <c r="N1295" s="13">
        <f>SUMPRODUCT($H$24:$M$24,H1295:M1295)</f>
        <v/>
      </c>
      <c r="O1295" s="14">
        <f>SQRT(SUMPRODUCT($H$24:$M$24,(H1295:M1295-N1295)^2))</f>
        <v/>
      </c>
      <c r="P1295" s="13">
        <f>MIN(H1295:M1295)</f>
        <v/>
      </c>
      <c r="Q1295" s="13">
        <f>MAX(H1295:M1295)</f>
        <v/>
      </c>
      <c r="R1295" s="27">
        <f>IF(G1295,SUMPRODUCT(($G$76:$G$1505)*($N$76:$N$1505&gt;=N1295)*($O$76:$O$1505&lt;=O1295))=1,FALSE)</f>
        <v/>
      </c>
      <c r="S1295" s="16">
        <f>IF(R1295,ABS((O1295-$AC$76)/MAX(0.0001,$AC$77-$AC$76)-(N1295-$AC$78)/MAX(0.0001,$AC$79-$AC$78)),-1)</f>
        <v/>
      </c>
      <c r="T1295" s="14">
        <f>IF(G1295,O1295,NA())</f>
        <v/>
      </c>
      <c r="U1295" s="13">
        <f>IF(G1295,N1295,NA())</f>
        <v/>
      </c>
      <c r="V1295" s="14">
        <f>IF(R1295,O1295,NA())</f>
        <v/>
      </c>
      <c r="W1295" s="13">
        <f>IF(R1295,N1295,NA())</f>
        <v/>
      </c>
      <c r="X1295" s="27">
        <f>IF(G1295,P1295,"")</f>
        <v/>
      </c>
      <c r="Y1295" s="27">
        <f>IF(G1295,N1295,"")</f>
        <v/>
      </c>
      <c r="Z1295" s="27">
        <f>IF(R1295,O1295,"")</f>
        <v/>
      </c>
      <c r="AA1295" s="27">
        <f>IF(R1295,N1295,"")</f>
        <v/>
      </c>
    </row>
    <row r="1296">
      <c r="A1296" s="31" t="n">
        <v>0.5</v>
      </c>
      <c r="B1296" s="31" t="n">
        <v>0.2</v>
      </c>
      <c r="C1296" s="31" t="n">
        <v>0.3</v>
      </c>
      <c r="D1296" s="31" t="n">
        <v>0</v>
      </c>
      <c r="E1296" s="27" t="inlineStr">
        <is>
          <t>ON 50%/1M 20%/2M 30%</t>
        </is>
      </c>
      <c r="F1296" s="27" t="n">
        <v>0</v>
      </c>
      <c r="G1296" s="27">
        <f>A1296*$B$7&gt;=$B$9</f>
        <v/>
      </c>
      <c r="H1296" s="13">
        <f>$B$7*(A1296*E$71+B1296*F$71+C1296*G$71+D1296*H$71)+F1296/100*$B$7*J$71-$C$71</f>
        <v/>
      </c>
      <c r="I1296" s="13">
        <f>$B$7*(A1296*L$71+B1296*M$71+C1296*N$71+D1296*O$71)+F1296/100*$B$7*Q$71-$C$71</f>
        <v/>
      </c>
      <c r="J1296" s="13">
        <f>$B$7*(A1296*S$71+B1296*T$71+C1296*U$71+D1296*V$71)+F1296/100*$B$7*X$71-$C$71</f>
        <v/>
      </c>
      <c r="K1296" s="13">
        <f>$B$7*(A1296*Z$71+B1296*AA$71+C1296*AB$71+D1296*AC$71)+F1296/100*$B$7*AE$71-$C$71</f>
        <v/>
      </c>
      <c r="L1296" s="13">
        <f>$B$7*(A1296*AG$71+B1296*AH$71+C1296*AI$71+D1296*AJ$71)+F1296/100*$B$7*AL$71-$C$71</f>
        <v/>
      </c>
      <c r="M1296" s="13">
        <f>$B$7*(A1296*AN$71+B1296*AO$71+C1296*AP$71+D1296*AQ$71)+F1296/100*$B$7*AS$71-$C$71</f>
        <v/>
      </c>
      <c r="N1296" s="13">
        <f>SUMPRODUCT($H$24:$M$24,H1296:M1296)</f>
        <v/>
      </c>
      <c r="O1296" s="14">
        <f>SQRT(SUMPRODUCT($H$24:$M$24,(H1296:M1296-N1296)^2))</f>
        <v/>
      </c>
      <c r="P1296" s="13">
        <f>MIN(H1296:M1296)</f>
        <v/>
      </c>
      <c r="Q1296" s="13">
        <f>MAX(H1296:M1296)</f>
        <v/>
      </c>
      <c r="R1296" s="27">
        <f>IF(G1296,SUMPRODUCT(($G$76:$G$1505)*($N$76:$N$1505&gt;=N1296)*($O$76:$O$1505&lt;=O1296))=1,FALSE)</f>
        <v/>
      </c>
      <c r="S1296" s="16">
        <f>IF(R1296,ABS((O1296-$AC$76)/MAX(0.0001,$AC$77-$AC$76)-(N1296-$AC$78)/MAX(0.0001,$AC$79-$AC$78)),-1)</f>
        <v/>
      </c>
      <c r="T1296" s="14">
        <f>IF(G1296,O1296,NA())</f>
        <v/>
      </c>
      <c r="U1296" s="13">
        <f>IF(G1296,N1296,NA())</f>
        <v/>
      </c>
      <c r="V1296" s="14">
        <f>IF(R1296,O1296,NA())</f>
        <v/>
      </c>
      <c r="W1296" s="13">
        <f>IF(R1296,N1296,NA())</f>
        <v/>
      </c>
      <c r="X1296" s="27">
        <f>IF(G1296,P1296,"")</f>
        <v/>
      </c>
      <c r="Y1296" s="27">
        <f>IF(G1296,N1296,"")</f>
        <v/>
      </c>
      <c r="Z1296" s="27">
        <f>IF(R1296,O1296,"")</f>
        <v/>
      </c>
      <c r="AA1296" s="27">
        <f>IF(R1296,N1296,"")</f>
        <v/>
      </c>
    </row>
    <row r="1297">
      <c r="A1297" s="31" t="n">
        <v>0.5</v>
      </c>
      <c r="B1297" s="31" t="n">
        <v>0.2</v>
      </c>
      <c r="C1297" s="31" t="n">
        <v>0.3</v>
      </c>
      <c r="D1297" s="31" t="n">
        <v>0</v>
      </c>
      <c r="E1297" s="27" t="inlineStr">
        <is>
          <t>ON 50%/1M 20%/2M 30%</t>
        </is>
      </c>
      <c r="F1297" s="27" t="n">
        <v>25</v>
      </c>
      <c r="G1297" s="27">
        <f>A1297*$B$7&gt;=$B$9</f>
        <v/>
      </c>
      <c r="H1297" s="13">
        <f>$B$7*(A1297*E$71+B1297*F$71+C1297*G$71+D1297*H$71)+F1297/100*$B$7*J$71-$C$71</f>
        <v/>
      </c>
      <c r="I1297" s="13">
        <f>$B$7*(A1297*L$71+B1297*M$71+C1297*N$71+D1297*O$71)+F1297/100*$B$7*Q$71-$C$71</f>
        <v/>
      </c>
      <c r="J1297" s="13">
        <f>$B$7*(A1297*S$71+B1297*T$71+C1297*U$71+D1297*V$71)+F1297/100*$B$7*X$71-$C$71</f>
        <v/>
      </c>
      <c r="K1297" s="13">
        <f>$B$7*(A1297*Z$71+B1297*AA$71+C1297*AB$71+D1297*AC$71)+F1297/100*$B$7*AE$71-$C$71</f>
        <v/>
      </c>
      <c r="L1297" s="13">
        <f>$B$7*(A1297*AG$71+B1297*AH$71+C1297*AI$71+D1297*AJ$71)+F1297/100*$B$7*AL$71-$C$71</f>
        <v/>
      </c>
      <c r="M1297" s="13">
        <f>$B$7*(A1297*AN$71+B1297*AO$71+C1297*AP$71+D1297*AQ$71)+F1297/100*$B$7*AS$71-$C$71</f>
        <v/>
      </c>
      <c r="N1297" s="13">
        <f>SUMPRODUCT($H$24:$M$24,H1297:M1297)</f>
        <v/>
      </c>
      <c r="O1297" s="14">
        <f>SQRT(SUMPRODUCT($H$24:$M$24,(H1297:M1297-N1297)^2))</f>
        <v/>
      </c>
      <c r="P1297" s="13">
        <f>MIN(H1297:M1297)</f>
        <v/>
      </c>
      <c r="Q1297" s="13">
        <f>MAX(H1297:M1297)</f>
        <v/>
      </c>
      <c r="R1297" s="27">
        <f>IF(G1297,SUMPRODUCT(($G$76:$G$1505)*($N$76:$N$1505&gt;=N1297)*($O$76:$O$1505&lt;=O1297))=1,FALSE)</f>
        <v/>
      </c>
      <c r="S1297" s="16">
        <f>IF(R1297,ABS((O1297-$AC$76)/MAX(0.0001,$AC$77-$AC$76)-(N1297-$AC$78)/MAX(0.0001,$AC$79-$AC$78)),-1)</f>
        <v/>
      </c>
      <c r="T1297" s="14">
        <f>IF(G1297,O1297,NA())</f>
        <v/>
      </c>
      <c r="U1297" s="13">
        <f>IF(G1297,N1297,NA())</f>
        <v/>
      </c>
      <c r="V1297" s="14">
        <f>IF(R1297,O1297,NA())</f>
        <v/>
      </c>
      <c r="W1297" s="13">
        <f>IF(R1297,N1297,NA())</f>
        <v/>
      </c>
      <c r="X1297" s="27">
        <f>IF(G1297,P1297,"")</f>
        <v/>
      </c>
      <c r="Y1297" s="27">
        <f>IF(G1297,N1297,"")</f>
        <v/>
      </c>
      <c r="Z1297" s="27">
        <f>IF(R1297,O1297,"")</f>
        <v/>
      </c>
      <c r="AA1297" s="27">
        <f>IF(R1297,N1297,"")</f>
        <v/>
      </c>
    </row>
    <row r="1298">
      <c r="A1298" s="31" t="n">
        <v>0.5</v>
      </c>
      <c r="B1298" s="31" t="n">
        <v>0.2</v>
      </c>
      <c r="C1298" s="31" t="n">
        <v>0.3</v>
      </c>
      <c r="D1298" s="31" t="n">
        <v>0</v>
      </c>
      <c r="E1298" s="27" t="inlineStr">
        <is>
          <t>ON 50%/1M 20%/2M 30%</t>
        </is>
      </c>
      <c r="F1298" s="27" t="n">
        <v>50</v>
      </c>
      <c r="G1298" s="27">
        <f>A1298*$B$7&gt;=$B$9</f>
        <v/>
      </c>
      <c r="H1298" s="13">
        <f>$B$7*(A1298*E$71+B1298*F$71+C1298*G$71+D1298*H$71)+F1298/100*$B$7*J$71-$C$71</f>
        <v/>
      </c>
      <c r="I1298" s="13">
        <f>$B$7*(A1298*L$71+B1298*M$71+C1298*N$71+D1298*O$71)+F1298/100*$B$7*Q$71-$C$71</f>
        <v/>
      </c>
      <c r="J1298" s="13">
        <f>$B$7*(A1298*S$71+B1298*T$71+C1298*U$71+D1298*V$71)+F1298/100*$B$7*X$71-$C$71</f>
        <v/>
      </c>
      <c r="K1298" s="13">
        <f>$B$7*(A1298*Z$71+B1298*AA$71+C1298*AB$71+D1298*AC$71)+F1298/100*$B$7*AE$71-$C$71</f>
        <v/>
      </c>
      <c r="L1298" s="13">
        <f>$B$7*(A1298*AG$71+B1298*AH$71+C1298*AI$71+D1298*AJ$71)+F1298/100*$B$7*AL$71-$C$71</f>
        <v/>
      </c>
      <c r="M1298" s="13">
        <f>$B$7*(A1298*AN$71+B1298*AO$71+C1298*AP$71+D1298*AQ$71)+F1298/100*$B$7*AS$71-$C$71</f>
        <v/>
      </c>
      <c r="N1298" s="13">
        <f>SUMPRODUCT($H$24:$M$24,H1298:M1298)</f>
        <v/>
      </c>
      <c r="O1298" s="14">
        <f>SQRT(SUMPRODUCT($H$24:$M$24,(H1298:M1298-N1298)^2))</f>
        <v/>
      </c>
      <c r="P1298" s="13">
        <f>MIN(H1298:M1298)</f>
        <v/>
      </c>
      <c r="Q1298" s="13">
        <f>MAX(H1298:M1298)</f>
        <v/>
      </c>
      <c r="R1298" s="27">
        <f>IF(G1298,SUMPRODUCT(($G$76:$G$1505)*($N$76:$N$1505&gt;=N1298)*($O$76:$O$1505&lt;=O1298))=1,FALSE)</f>
        <v/>
      </c>
      <c r="S1298" s="16">
        <f>IF(R1298,ABS((O1298-$AC$76)/MAX(0.0001,$AC$77-$AC$76)-(N1298-$AC$78)/MAX(0.0001,$AC$79-$AC$78)),-1)</f>
        <v/>
      </c>
      <c r="T1298" s="14">
        <f>IF(G1298,O1298,NA())</f>
        <v/>
      </c>
      <c r="U1298" s="13">
        <f>IF(G1298,N1298,NA())</f>
        <v/>
      </c>
      <c r="V1298" s="14">
        <f>IF(R1298,O1298,NA())</f>
        <v/>
      </c>
      <c r="W1298" s="13">
        <f>IF(R1298,N1298,NA())</f>
        <v/>
      </c>
      <c r="X1298" s="27">
        <f>IF(G1298,P1298,"")</f>
        <v/>
      </c>
      <c r="Y1298" s="27">
        <f>IF(G1298,N1298,"")</f>
        <v/>
      </c>
      <c r="Z1298" s="27">
        <f>IF(R1298,O1298,"")</f>
        <v/>
      </c>
      <c r="AA1298" s="27">
        <f>IF(R1298,N1298,"")</f>
        <v/>
      </c>
    </row>
    <row r="1299">
      <c r="A1299" s="31" t="n">
        <v>0.5</v>
      </c>
      <c r="B1299" s="31" t="n">
        <v>0.2</v>
      </c>
      <c r="C1299" s="31" t="n">
        <v>0.3</v>
      </c>
      <c r="D1299" s="31" t="n">
        <v>0</v>
      </c>
      <c r="E1299" s="27" t="inlineStr">
        <is>
          <t>ON 50%/1M 20%/2M 30%</t>
        </is>
      </c>
      <c r="F1299" s="27" t="n">
        <v>75</v>
      </c>
      <c r="G1299" s="27">
        <f>A1299*$B$7&gt;=$B$9</f>
        <v/>
      </c>
      <c r="H1299" s="13">
        <f>$B$7*(A1299*E$71+B1299*F$71+C1299*G$71+D1299*H$71)+F1299/100*$B$7*J$71-$C$71</f>
        <v/>
      </c>
      <c r="I1299" s="13">
        <f>$B$7*(A1299*L$71+B1299*M$71+C1299*N$71+D1299*O$71)+F1299/100*$B$7*Q$71-$C$71</f>
        <v/>
      </c>
      <c r="J1299" s="13">
        <f>$B$7*(A1299*S$71+B1299*T$71+C1299*U$71+D1299*V$71)+F1299/100*$B$7*X$71-$C$71</f>
        <v/>
      </c>
      <c r="K1299" s="13">
        <f>$B$7*(A1299*Z$71+B1299*AA$71+C1299*AB$71+D1299*AC$71)+F1299/100*$B$7*AE$71-$C$71</f>
        <v/>
      </c>
      <c r="L1299" s="13">
        <f>$B$7*(A1299*AG$71+B1299*AH$71+C1299*AI$71+D1299*AJ$71)+F1299/100*$B$7*AL$71-$C$71</f>
        <v/>
      </c>
      <c r="M1299" s="13">
        <f>$B$7*(A1299*AN$71+B1299*AO$71+C1299*AP$71+D1299*AQ$71)+F1299/100*$B$7*AS$71-$C$71</f>
        <v/>
      </c>
      <c r="N1299" s="13">
        <f>SUMPRODUCT($H$24:$M$24,H1299:M1299)</f>
        <v/>
      </c>
      <c r="O1299" s="14">
        <f>SQRT(SUMPRODUCT($H$24:$M$24,(H1299:M1299-N1299)^2))</f>
        <v/>
      </c>
      <c r="P1299" s="13">
        <f>MIN(H1299:M1299)</f>
        <v/>
      </c>
      <c r="Q1299" s="13">
        <f>MAX(H1299:M1299)</f>
        <v/>
      </c>
      <c r="R1299" s="27">
        <f>IF(G1299,SUMPRODUCT(($G$76:$G$1505)*($N$76:$N$1505&gt;=N1299)*($O$76:$O$1505&lt;=O1299))=1,FALSE)</f>
        <v/>
      </c>
      <c r="S1299" s="16">
        <f>IF(R1299,ABS((O1299-$AC$76)/MAX(0.0001,$AC$77-$AC$76)-(N1299-$AC$78)/MAX(0.0001,$AC$79-$AC$78)),-1)</f>
        <v/>
      </c>
      <c r="T1299" s="14">
        <f>IF(G1299,O1299,NA())</f>
        <v/>
      </c>
      <c r="U1299" s="13">
        <f>IF(G1299,N1299,NA())</f>
        <v/>
      </c>
      <c r="V1299" s="14">
        <f>IF(R1299,O1299,NA())</f>
        <v/>
      </c>
      <c r="W1299" s="13">
        <f>IF(R1299,N1299,NA())</f>
        <v/>
      </c>
      <c r="X1299" s="27">
        <f>IF(G1299,P1299,"")</f>
        <v/>
      </c>
      <c r="Y1299" s="27">
        <f>IF(G1299,N1299,"")</f>
        <v/>
      </c>
      <c r="Z1299" s="27">
        <f>IF(R1299,O1299,"")</f>
        <v/>
      </c>
      <c r="AA1299" s="27">
        <f>IF(R1299,N1299,"")</f>
        <v/>
      </c>
    </row>
    <row r="1300">
      <c r="A1300" s="31" t="n">
        <v>0.5</v>
      </c>
      <c r="B1300" s="31" t="n">
        <v>0.2</v>
      </c>
      <c r="C1300" s="31" t="n">
        <v>0.3</v>
      </c>
      <c r="D1300" s="31" t="n">
        <v>0</v>
      </c>
      <c r="E1300" s="27" t="inlineStr">
        <is>
          <t>ON 50%/1M 20%/2M 30%</t>
        </is>
      </c>
      <c r="F1300" s="27" t="n">
        <v>100</v>
      </c>
      <c r="G1300" s="27">
        <f>A1300*$B$7&gt;=$B$9</f>
        <v/>
      </c>
      <c r="H1300" s="13">
        <f>$B$7*(A1300*E$71+B1300*F$71+C1300*G$71+D1300*H$71)+F1300/100*$B$7*J$71-$C$71</f>
        <v/>
      </c>
      <c r="I1300" s="13">
        <f>$B$7*(A1300*L$71+B1300*M$71+C1300*N$71+D1300*O$71)+F1300/100*$B$7*Q$71-$C$71</f>
        <v/>
      </c>
      <c r="J1300" s="13">
        <f>$B$7*(A1300*S$71+B1300*T$71+C1300*U$71+D1300*V$71)+F1300/100*$B$7*X$71-$C$71</f>
        <v/>
      </c>
      <c r="K1300" s="13">
        <f>$B$7*(A1300*Z$71+B1300*AA$71+C1300*AB$71+D1300*AC$71)+F1300/100*$B$7*AE$71-$C$71</f>
        <v/>
      </c>
      <c r="L1300" s="13">
        <f>$B$7*(A1300*AG$71+B1300*AH$71+C1300*AI$71+D1300*AJ$71)+F1300/100*$B$7*AL$71-$C$71</f>
        <v/>
      </c>
      <c r="M1300" s="13">
        <f>$B$7*(A1300*AN$71+B1300*AO$71+C1300*AP$71+D1300*AQ$71)+F1300/100*$B$7*AS$71-$C$71</f>
        <v/>
      </c>
      <c r="N1300" s="13">
        <f>SUMPRODUCT($H$24:$M$24,H1300:M1300)</f>
        <v/>
      </c>
      <c r="O1300" s="14">
        <f>SQRT(SUMPRODUCT($H$24:$M$24,(H1300:M1300-N1300)^2))</f>
        <v/>
      </c>
      <c r="P1300" s="13">
        <f>MIN(H1300:M1300)</f>
        <v/>
      </c>
      <c r="Q1300" s="13">
        <f>MAX(H1300:M1300)</f>
        <v/>
      </c>
      <c r="R1300" s="27">
        <f>IF(G1300,SUMPRODUCT(($G$76:$G$1505)*($N$76:$N$1505&gt;=N1300)*($O$76:$O$1505&lt;=O1300))=1,FALSE)</f>
        <v/>
      </c>
      <c r="S1300" s="16">
        <f>IF(R1300,ABS((O1300-$AC$76)/MAX(0.0001,$AC$77-$AC$76)-(N1300-$AC$78)/MAX(0.0001,$AC$79-$AC$78)),-1)</f>
        <v/>
      </c>
      <c r="T1300" s="14">
        <f>IF(G1300,O1300,NA())</f>
        <v/>
      </c>
      <c r="U1300" s="13">
        <f>IF(G1300,N1300,NA())</f>
        <v/>
      </c>
      <c r="V1300" s="14">
        <f>IF(R1300,O1300,NA())</f>
        <v/>
      </c>
      <c r="W1300" s="13">
        <f>IF(R1300,N1300,NA())</f>
        <v/>
      </c>
      <c r="X1300" s="27">
        <f>IF(G1300,P1300,"")</f>
        <v/>
      </c>
      <c r="Y1300" s="27">
        <f>IF(G1300,N1300,"")</f>
        <v/>
      </c>
      <c r="Z1300" s="27">
        <f>IF(R1300,O1300,"")</f>
        <v/>
      </c>
      <c r="AA1300" s="27">
        <f>IF(R1300,N1300,"")</f>
        <v/>
      </c>
    </row>
    <row r="1301">
      <c r="A1301" s="31" t="n">
        <v>0.5</v>
      </c>
      <c r="B1301" s="31" t="n">
        <v>0.3</v>
      </c>
      <c r="C1301" s="31" t="n">
        <v>0</v>
      </c>
      <c r="D1301" s="31" t="n">
        <v>0.2</v>
      </c>
      <c r="E1301" s="27" t="inlineStr">
        <is>
          <t>ON 50%/1M 30%/3M 20%</t>
        </is>
      </c>
      <c r="F1301" s="27" t="n">
        <v>0</v>
      </c>
      <c r="G1301" s="27">
        <f>A1301*$B$7&gt;=$B$9</f>
        <v/>
      </c>
      <c r="H1301" s="13">
        <f>$B$7*(A1301*E$71+B1301*F$71+C1301*G$71+D1301*H$71)+F1301/100*$B$7*J$71-$C$71</f>
        <v/>
      </c>
      <c r="I1301" s="13">
        <f>$B$7*(A1301*L$71+B1301*M$71+C1301*N$71+D1301*O$71)+F1301/100*$B$7*Q$71-$C$71</f>
        <v/>
      </c>
      <c r="J1301" s="13">
        <f>$B$7*(A1301*S$71+B1301*T$71+C1301*U$71+D1301*V$71)+F1301/100*$B$7*X$71-$C$71</f>
        <v/>
      </c>
      <c r="K1301" s="13">
        <f>$B$7*(A1301*Z$71+B1301*AA$71+C1301*AB$71+D1301*AC$71)+F1301/100*$B$7*AE$71-$C$71</f>
        <v/>
      </c>
      <c r="L1301" s="13">
        <f>$B$7*(A1301*AG$71+B1301*AH$71+C1301*AI$71+D1301*AJ$71)+F1301/100*$B$7*AL$71-$C$71</f>
        <v/>
      </c>
      <c r="M1301" s="13">
        <f>$B$7*(A1301*AN$71+B1301*AO$71+C1301*AP$71+D1301*AQ$71)+F1301/100*$B$7*AS$71-$C$71</f>
        <v/>
      </c>
      <c r="N1301" s="13">
        <f>SUMPRODUCT($H$24:$M$24,H1301:M1301)</f>
        <v/>
      </c>
      <c r="O1301" s="14">
        <f>SQRT(SUMPRODUCT($H$24:$M$24,(H1301:M1301-N1301)^2))</f>
        <v/>
      </c>
      <c r="P1301" s="13">
        <f>MIN(H1301:M1301)</f>
        <v/>
      </c>
      <c r="Q1301" s="13">
        <f>MAX(H1301:M1301)</f>
        <v/>
      </c>
      <c r="R1301" s="27">
        <f>IF(G1301,SUMPRODUCT(($G$76:$G$1505)*($N$76:$N$1505&gt;=N1301)*($O$76:$O$1505&lt;=O1301))=1,FALSE)</f>
        <v/>
      </c>
      <c r="S1301" s="16">
        <f>IF(R1301,ABS((O1301-$AC$76)/MAX(0.0001,$AC$77-$AC$76)-(N1301-$AC$78)/MAX(0.0001,$AC$79-$AC$78)),-1)</f>
        <v/>
      </c>
      <c r="T1301" s="14">
        <f>IF(G1301,O1301,NA())</f>
        <v/>
      </c>
      <c r="U1301" s="13">
        <f>IF(G1301,N1301,NA())</f>
        <v/>
      </c>
      <c r="V1301" s="14">
        <f>IF(R1301,O1301,NA())</f>
        <v/>
      </c>
      <c r="W1301" s="13">
        <f>IF(R1301,N1301,NA())</f>
        <v/>
      </c>
      <c r="X1301" s="27">
        <f>IF(G1301,P1301,"")</f>
        <v/>
      </c>
      <c r="Y1301" s="27">
        <f>IF(G1301,N1301,"")</f>
        <v/>
      </c>
      <c r="Z1301" s="27">
        <f>IF(R1301,O1301,"")</f>
        <v/>
      </c>
      <c r="AA1301" s="27">
        <f>IF(R1301,N1301,"")</f>
        <v/>
      </c>
    </row>
    <row r="1302">
      <c r="A1302" s="31" t="n">
        <v>0.5</v>
      </c>
      <c r="B1302" s="31" t="n">
        <v>0.3</v>
      </c>
      <c r="C1302" s="31" t="n">
        <v>0</v>
      </c>
      <c r="D1302" s="31" t="n">
        <v>0.2</v>
      </c>
      <c r="E1302" s="27" t="inlineStr">
        <is>
          <t>ON 50%/1M 30%/3M 20%</t>
        </is>
      </c>
      <c r="F1302" s="27" t="n">
        <v>25</v>
      </c>
      <c r="G1302" s="27">
        <f>A1302*$B$7&gt;=$B$9</f>
        <v/>
      </c>
      <c r="H1302" s="13">
        <f>$B$7*(A1302*E$71+B1302*F$71+C1302*G$71+D1302*H$71)+F1302/100*$B$7*J$71-$C$71</f>
        <v/>
      </c>
      <c r="I1302" s="13">
        <f>$B$7*(A1302*L$71+B1302*M$71+C1302*N$71+D1302*O$71)+F1302/100*$B$7*Q$71-$C$71</f>
        <v/>
      </c>
      <c r="J1302" s="13">
        <f>$B$7*(A1302*S$71+B1302*T$71+C1302*U$71+D1302*V$71)+F1302/100*$B$7*X$71-$C$71</f>
        <v/>
      </c>
      <c r="K1302" s="13">
        <f>$B$7*(A1302*Z$71+B1302*AA$71+C1302*AB$71+D1302*AC$71)+F1302/100*$B$7*AE$71-$C$71</f>
        <v/>
      </c>
      <c r="L1302" s="13">
        <f>$B$7*(A1302*AG$71+B1302*AH$71+C1302*AI$71+D1302*AJ$71)+F1302/100*$B$7*AL$71-$C$71</f>
        <v/>
      </c>
      <c r="M1302" s="13">
        <f>$B$7*(A1302*AN$71+B1302*AO$71+C1302*AP$71+D1302*AQ$71)+F1302/100*$B$7*AS$71-$C$71</f>
        <v/>
      </c>
      <c r="N1302" s="13">
        <f>SUMPRODUCT($H$24:$M$24,H1302:M1302)</f>
        <v/>
      </c>
      <c r="O1302" s="14">
        <f>SQRT(SUMPRODUCT($H$24:$M$24,(H1302:M1302-N1302)^2))</f>
        <v/>
      </c>
      <c r="P1302" s="13">
        <f>MIN(H1302:M1302)</f>
        <v/>
      </c>
      <c r="Q1302" s="13">
        <f>MAX(H1302:M1302)</f>
        <v/>
      </c>
      <c r="R1302" s="27">
        <f>IF(G1302,SUMPRODUCT(($G$76:$G$1505)*($N$76:$N$1505&gt;=N1302)*($O$76:$O$1505&lt;=O1302))=1,FALSE)</f>
        <v/>
      </c>
      <c r="S1302" s="16">
        <f>IF(R1302,ABS((O1302-$AC$76)/MAX(0.0001,$AC$77-$AC$76)-(N1302-$AC$78)/MAX(0.0001,$AC$79-$AC$78)),-1)</f>
        <v/>
      </c>
      <c r="T1302" s="14">
        <f>IF(G1302,O1302,NA())</f>
        <v/>
      </c>
      <c r="U1302" s="13">
        <f>IF(G1302,N1302,NA())</f>
        <v/>
      </c>
      <c r="V1302" s="14">
        <f>IF(R1302,O1302,NA())</f>
        <v/>
      </c>
      <c r="W1302" s="13">
        <f>IF(R1302,N1302,NA())</f>
        <v/>
      </c>
      <c r="X1302" s="27">
        <f>IF(G1302,P1302,"")</f>
        <v/>
      </c>
      <c r="Y1302" s="27">
        <f>IF(G1302,N1302,"")</f>
        <v/>
      </c>
      <c r="Z1302" s="27">
        <f>IF(R1302,O1302,"")</f>
        <v/>
      </c>
      <c r="AA1302" s="27">
        <f>IF(R1302,N1302,"")</f>
        <v/>
      </c>
    </row>
    <row r="1303">
      <c r="A1303" s="31" t="n">
        <v>0.5</v>
      </c>
      <c r="B1303" s="31" t="n">
        <v>0.3</v>
      </c>
      <c r="C1303" s="31" t="n">
        <v>0</v>
      </c>
      <c r="D1303" s="31" t="n">
        <v>0.2</v>
      </c>
      <c r="E1303" s="27" t="inlineStr">
        <is>
          <t>ON 50%/1M 30%/3M 20%</t>
        </is>
      </c>
      <c r="F1303" s="27" t="n">
        <v>50</v>
      </c>
      <c r="G1303" s="27">
        <f>A1303*$B$7&gt;=$B$9</f>
        <v/>
      </c>
      <c r="H1303" s="13">
        <f>$B$7*(A1303*E$71+B1303*F$71+C1303*G$71+D1303*H$71)+F1303/100*$B$7*J$71-$C$71</f>
        <v/>
      </c>
      <c r="I1303" s="13">
        <f>$B$7*(A1303*L$71+B1303*M$71+C1303*N$71+D1303*O$71)+F1303/100*$B$7*Q$71-$C$71</f>
        <v/>
      </c>
      <c r="J1303" s="13">
        <f>$B$7*(A1303*S$71+B1303*T$71+C1303*U$71+D1303*V$71)+F1303/100*$B$7*X$71-$C$71</f>
        <v/>
      </c>
      <c r="K1303" s="13">
        <f>$B$7*(A1303*Z$71+B1303*AA$71+C1303*AB$71+D1303*AC$71)+F1303/100*$B$7*AE$71-$C$71</f>
        <v/>
      </c>
      <c r="L1303" s="13">
        <f>$B$7*(A1303*AG$71+B1303*AH$71+C1303*AI$71+D1303*AJ$71)+F1303/100*$B$7*AL$71-$C$71</f>
        <v/>
      </c>
      <c r="M1303" s="13">
        <f>$B$7*(A1303*AN$71+B1303*AO$71+C1303*AP$71+D1303*AQ$71)+F1303/100*$B$7*AS$71-$C$71</f>
        <v/>
      </c>
      <c r="N1303" s="13">
        <f>SUMPRODUCT($H$24:$M$24,H1303:M1303)</f>
        <v/>
      </c>
      <c r="O1303" s="14">
        <f>SQRT(SUMPRODUCT($H$24:$M$24,(H1303:M1303-N1303)^2))</f>
        <v/>
      </c>
      <c r="P1303" s="13">
        <f>MIN(H1303:M1303)</f>
        <v/>
      </c>
      <c r="Q1303" s="13">
        <f>MAX(H1303:M1303)</f>
        <v/>
      </c>
      <c r="R1303" s="27">
        <f>IF(G1303,SUMPRODUCT(($G$76:$G$1505)*($N$76:$N$1505&gt;=N1303)*($O$76:$O$1505&lt;=O1303))=1,FALSE)</f>
        <v/>
      </c>
      <c r="S1303" s="16">
        <f>IF(R1303,ABS((O1303-$AC$76)/MAX(0.0001,$AC$77-$AC$76)-(N1303-$AC$78)/MAX(0.0001,$AC$79-$AC$78)),-1)</f>
        <v/>
      </c>
      <c r="T1303" s="14">
        <f>IF(G1303,O1303,NA())</f>
        <v/>
      </c>
      <c r="U1303" s="13">
        <f>IF(G1303,N1303,NA())</f>
        <v/>
      </c>
      <c r="V1303" s="14">
        <f>IF(R1303,O1303,NA())</f>
        <v/>
      </c>
      <c r="W1303" s="13">
        <f>IF(R1303,N1303,NA())</f>
        <v/>
      </c>
      <c r="X1303" s="27">
        <f>IF(G1303,P1303,"")</f>
        <v/>
      </c>
      <c r="Y1303" s="27">
        <f>IF(G1303,N1303,"")</f>
        <v/>
      </c>
      <c r="Z1303" s="27">
        <f>IF(R1303,O1303,"")</f>
        <v/>
      </c>
      <c r="AA1303" s="27">
        <f>IF(R1303,N1303,"")</f>
        <v/>
      </c>
    </row>
    <row r="1304">
      <c r="A1304" s="31" t="n">
        <v>0.5</v>
      </c>
      <c r="B1304" s="31" t="n">
        <v>0.3</v>
      </c>
      <c r="C1304" s="31" t="n">
        <v>0</v>
      </c>
      <c r="D1304" s="31" t="n">
        <v>0.2</v>
      </c>
      <c r="E1304" s="27" t="inlineStr">
        <is>
          <t>ON 50%/1M 30%/3M 20%</t>
        </is>
      </c>
      <c r="F1304" s="27" t="n">
        <v>75</v>
      </c>
      <c r="G1304" s="27">
        <f>A1304*$B$7&gt;=$B$9</f>
        <v/>
      </c>
      <c r="H1304" s="13">
        <f>$B$7*(A1304*E$71+B1304*F$71+C1304*G$71+D1304*H$71)+F1304/100*$B$7*J$71-$C$71</f>
        <v/>
      </c>
      <c r="I1304" s="13">
        <f>$B$7*(A1304*L$71+B1304*M$71+C1304*N$71+D1304*O$71)+F1304/100*$B$7*Q$71-$C$71</f>
        <v/>
      </c>
      <c r="J1304" s="13">
        <f>$B$7*(A1304*S$71+B1304*T$71+C1304*U$71+D1304*V$71)+F1304/100*$B$7*X$71-$C$71</f>
        <v/>
      </c>
      <c r="K1304" s="13">
        <f>$B$7*(A1304*Z$71+B1304*AA$71+C1304*AB$71+D1304*AC$71)+F1304/100*$B$7*AE$71-$C$71</f>
        <v/>
      </c>
      <c r="L1304" s="13">
        <f>$B$7*(A1304*AG$71+B1304*AH$71+C1304*AI$71+D1304*AJ$71)+F1304/100*$B$7*AL$71-$C$71</f>
        <v/>
      </c>
      <c r="M1304" s="13">
        <f>$B$7*(A1304*AN$71+B1304*AO$71+C1304*AP$71+D1304*AQ$71)+F1304/100*$B$7*AS$71-$C$71</f>
        <v/>
      </c>
      <c r="N1304" s="13">
        <f>SUMPRODUCT($H$24:$M$24,H1304:M1304)</f>
        <v/>
      </c>
      <c r="O1304" s="14">
        <f>SQRT(SUMPRODUCT($H$24:$M$24,(H1304:M1304-N1304)^2))</f>
        <v/>
      </c>
      <c r="P1304" s="13">
        <f>MIN(H1304:M1304)</f>
        <v/>
      </c>
      <c r="Q1304" s="13">
        <f>MAX(H1304:M1304)</f>
        <v/>
      </c>
      <c r="R1304" s="27">
        <f>IF(G1304,SUMPRODUCT(($G$76:$G$1505)*($N$76:$N$1505&gt;=N1304)*($O$76:$O$1505&lt;=O1304))=1,FALSE)</f>
        <v/>
      </c>
      <c r="S1304" s="16">
        <f>IF(R1304,ABS((O1304-$AC$76)/MAX(0.0001,$AC$77-$AC$76)-(N1304-$AC$78)/MAX(0.0001,$AC$79-$AC$78)),-1)</f>
        <v/>
      </c>
      <c r="T1304" s="14">
        <f>IF(G1304,O1304,NA())</f>
        <v/>
      </c>
      <c r="U1304" s="13">
        <f>IF(G1304,N1304,NA())</f>
        <v/>
      </c>
      <c r="V1304" s="14">
        <f>IF(R1304,O1304,NA())</f>
        <v/>
      </c>
      <c r="W1304" s="13">
        <f>IF(R1304,N1304,NA())</f>
        <v/>
      </c>
      <c r="X1304" s="27">
        <f>IF(G1304,P1304,"")</f>
        <v/>
      </c>
      <c r="Y1304" s="27">
        <f>IF(G1304,N1304,"")</f>
        <v/>
      </c>
      <c r="Z1304" s="27">
        <f>IF(R1304,O1304,"")</f>
        <v/>
      </c>
      <c r="AA1304" s="27">
        <f>IF(R1304,N1304,"")</f>
        <v/>
      </c>
    </row>
    <row r="1305">
      <c r="A1305" s="31" t="n">
        <v>0.5</v>
      </c>
      <c r="B1305" s="31" t="n">
        <v>0.3</v>
      </c>
      <c r="C1305" s="31" t="n">
        <v>0</v>
      </c>
      <c r="D1305" s="31" t="n">
        <v>0.2</v>
      </c>
      <c r="E1305" s="27" t="inlineStr">
        <is>
          <t>ON 50%/1M 30%/3M 20%</t>
        </is>
      </c>
      <c r="F1305" s="27" t="n">
        <v>100</v>
      </c>
      <c r="G1305" s="27">
        <f>A1305*$B$7&gt;=$B$9</f>
        <v/>
      </c>
      <c r="H1305" s="13">
        <f>$B$7*(A1305*E$71+B1305*F$71+C1305*G$71+D1305*H$71)+F1305/100*$B$7*J$71-$C$71</f>
        <v/>
      </c>
      <c r="I1305" s="13">
        <f>$B$7*(A1305*L$71+B1305*M$71+C1305*N$71+D1305*O$71)+F1305/100*$B$7*Q$71-$C$71</f>
        <v/>
      </c>
      <c r="J1305" s="13">
        <f>$B$7*(A1305*S$71+B1305*T$71+C1305*U$71+D1305*V$71)+F1305/100*$B$7*X$71-$C$71</f>
        <v/>
      </c>
      <c r="K1305" s="13">
        <f>$B$7*(A1305*Z$71+B1305*AA$71+C1305*AB$71+D1305*AC$71)+F1305/100*$B$7*AE$71-$C$71</f>
        <v/>
      </c>
      <c r="L1305" s="13">
        <f>$B$7*(A1305*AG$71+B1305*AH$71+C1305*AI$71+D1305*AJ$71)+F1305/100*$B$7*AL$71-$C$71</f>
        <v/>
      </c>
      <c r="M1305" s="13">
        <f>$B$7*(A1305*AN$71+B1305*AO$71+C1305*AP$71+D1305*AQ$71)+F1305/100*$B$7*AS$71-$C$71</f>
        <v/>
      </c>
      <c r="N1305" s="13">
        <f>SUMPRODUCT($H$24:$M$24,H1305:M1305)</f>
        <v/>
      </c>
      <c r="O1305" s="14">
        <f>SQRT(SUMPRODUCT($H$24:$M$24,(H1305:M1305-N1305)^2))</f>
        <v/>
      </c>
      <c r="P1305" s="13">
        <f>MIN(H1305:M1305)</f>
        <v/>
      </c>
      <c r="Q1305" s="13">
        <f>MAX(H1305:M1305)</f>
        <v/>
      </c>
      <c r="R1305" s="27">
        <f>IF(G1305,SUMPRODUCT(($G$76:$G$1505)*($N$76:$N$1505&gt;=N1305)*($O$76:$O$1505&lt;=O1305))=1,FALSE)</f>
        <v/>
      </c>
      <c r="S1305" s="16">
        <f>IF(R1305,ABS((O1305-$AC$76)/MAX(0.0001,$AC$77-$AC$76)-(N1305-$AC$78)/MAX(0.0001,$AC$79-$AC$78)),-1)</f>
        <v/>
      </c>
      <c r="T1305" s="14">
        <f>IF(G1305,O1305,NA())</f>
        <v/>
      </c>
      <c r="U1305" s="13">
        <f>IF(G1305,N1305,NA())</f>
        <v/>
      </c>
      <c r="V1305" s="14">
        <f>IF(R1305,O1305,NA())</f>
        <v/>
      </c>
      <c r="W1305" s="13">
        <f>IF(R1305,N1305,NA())</f>
        <v/>
      </c>
      <c r="X1305" s="27">
        <f>IF(G1305,P1305,"")</f>
        <v/>
      </c>
      <c r="Y1305" s="27">
        <f>IF(G1305,N1305,"")</f>
        <v/>
      </c>
      <c r="Z1305" s="27">
        <f>IF(R1305,O1305,"")</f>
        <v/>
      </c>
      <c r="AA1305" s="27">
        <f>IF(R1305,N1305,"")</f>
        <v/>
      </c>
    </row>
    <row r="1306">
      <c r="A1306" s="31" t="n">
        <v>0.5</v>
      </c>
      <c r="B1306" s="31" t="n">
        <v>0.3</v>
      </c>
      <c r="C1306" s="31" t="n">
        <v>0.1</v>
      </c>
      <c r="D1306" s="31" t="n">
        <v>0.1</v>
      </c>
      <c r="E1306" s="27" t="inlineStr">
        <is>
          <t>ON 50%/1M 30%/2M 10%/3M 10%</t>
        </is>
      </c>
      <c r="F1306" s="27" t="n">
        <v>0</v>
      </c>
      <c r="G1306" s="27">
        <f>A1306*$B$7&gt;=$B$9</f>
        <v/>
      </c>
      <c r="H1306" s="13">
        <f>$B$7*(A1306*E$71+B1306*F$71+C1306*G$71+D1306*H$71)+F1306/100*$B$7*J$71-$C$71</f>
        <v/>
      </c>
      <c r="I1306" s="13">
        <f>$B$7*(A1306*L$71+B1306*M$71+C1306*N$71+D1306*O$71)+F1306/100*$B$7*Q$71-$C$71</f>
        <v/>
      </c>
      <c r="J1306" s="13">
        <f>$B$7*(A1306*S$71+B1306*T$71+C1306*U$71+D1306*V$71)+F1306/100*$B$7*X$71-$C$71</f>
        <v/>
      </c>
      <c r="K1306" s="13">
        <f>$B$7*(A1306*Z$71+B1306*AA$71+C1306*AB$71+D1306*AC$71)+F1306/100*$B$7*AE$71-$C$71</f>
        <v/>
      </c>
      <c r="L1306" s="13">
        <f>$B$7*(A1306*AG$71+B1306*AH$71+C1306*AI$71+D1306*AJ$71)+F1306/100*$B$7*AL$71-$C$71</f>
        <v/>
      </c>
      <c r="M1306" s="13">
        <f>$B$7*(A1306*AN$71+B1306*AO$71+C1306*AP$71+D1306*AQ$71)+F1306/100*$B$7*AS$71-$C$71</f>
        <v/>
      </c>
      <c r="N1306" s="13">
        <f>SUMPRODUCT($H$24:$M$24,H1306:M1306)</f>
        <v/>
      </c>
      <c r="O1306" s="14">
        <f>SQRT(SUMPRODUCT($H$24:$M$24,(H1306:M1306-N1306)^2))</f>
        <v/>
      </c>
      <c r="P1306" s="13">
        <f>MIN(H1306:M1306)</f>
        <v/>
      </c>
      <c r="Q1306" s="13">
        <f>MAX(H1306:M1306)</f>
        <v/>
      </c>
      <c r="R1306" s="27">
        <f>IF(G1306,SUMPRODUCT(($G$76:$G$1505)*($N$76:$N$1505&gt;=N1306)*($O$76:$O$1505&lt;=O1306))=1,FALSE)</f>
        <v/>
      </c>
      <c r="S1306" s="16">
        <f>IF(R1306,ABS((O1306-$AC$76)/MAX(0.0001,$AC$77-$AC$76)-(N1306-$AC$78)/MAX(0.0001,$AC$79-$AC$78)),-1)</f>
        <v/>
      </c>
      <c r="T1306" s="14">
        <f>IF(G1306,O1306,NA())</f>
        <v/>
      </c>
      <c r="U1306" s="13">
        <f>IF(G1306,N1306,NA())</f>
        <v/>
      </c>
      <c r="V1306" s="14">
        <f>IF(R1306,O1306,NA())</f>
        <v/>
      </c>
      <c r="W1306" s="13">
        <f>IF(R1306,N1306,NA())</f>
        <v/>
      </c>
      <c r="X1306" s="27">
        <f>IF(G1306,P1306,"")</f>
        <v/>
      </c>
      <c r="Y1306" s="27">
        <f>IF(G1306,N1306,"")</f>
        <v/>
      </c>
      <c r="Z1306" s="27">
        <f>IF(R1306,O1306,"")</f>
        <v/>
      </c>
      <c r="AA1306" s="27">
        <f>IF(R1306,N1306,"")</f>
        <v/>
      </c>
    </row>
    <row r="1307">
      <c r="A1307" s="31" t="n">
        <v>0.5</v>
      </c>
      <c r="B1307" s="31" t="n">
        <v>0.3</v>
      </c>
      <c r="C1307" s="31" t="n">
        <v>0.1</v>
      </c>
      <c r="D1307" s="31" t="n">
        <v>0.1</v>
      </c>
      <c r="E1307" s="27" t="inlineStr">
        <is>
          <t>ON 50%/1M 30%/2M 10%/3M 10%</t>
        </is>
      </c>
      <c r="F1307" s="27" t="n">
        <v>25</v>
      </c>
      <c r="G1307" s="27">
        <f>A1307*$B$7&gt;=$B$9</f>
        <v/>
      </c>
      <c r="H1307" s="13">
        <f>$B$7*(A1307*E$71+B1307*F$71+C1307*G$71+D1307*H$71)+F1307/100*$B$7*J$71-$C$71</f>
        <v/>
      </c>
      <c r="I1307" s="13">
        <f>$B$7*(A1307*L$71+B1307*M$71+C1307*N$71+D1307*O$71)+F1307/100*$B$7*Q$71-$C$71</f>
        <v/>
      </c>
      <c r="J1307" s="13">
        <f>$B$7*(A1307*S$71+B1307*T$71+C1307*U$71+D1307*V$71)+F1307/100*$B$7*X$71-$C$71</f>
        <v/>
      </c>
      <c r="K1307" s="13">
        <f>$B$7*(A1307*Z$71+B1307*AA$71+C1307*AB$71+D1307*AC$71)+F1307/100*$B$7*AE$71-$C$71</f>
        <v/>
      </c>
      <c r="L1307" s="13">
        <f>$B$7*(A1307*AG$71+B1307*AH$71+C1307*AI$71+D1307*AJ$71)+F1307/100*$B$7*AL$71-$C$71</f>
        <v/>
      </c>
      <c r="M1307" s="13">
        <f>$B$7*(A1307*AN$71+B1307*AO$71+C1307*AP$71+D1307*AQ$71)+F1307/100*$B$7*AS$71-$C$71</f>
        <v/>
      </c>
      <c r="N1307" s="13">
        <f>SUMPRODUCT($H$24:$M$24,H1307:M1307)</f>
        <v/>
      </c>
      <c r="O1307" s="14">
        <f>SQRT(SUMPRODUCT($H$24:$M$24,(H1307:M1307-N1307)^2))</f>
        <v/>
      </c>
      <c r="P1307" s="13">
        <f>MIN(H1307:M1307)</f>
        <v/>
      </c>
      <c r="Q1307" s="13">
        <f>MAX(H1307:M1307)</f>
        <v/>
      </c>
      <c r="R1307" s="27">
        <f>IF(G1307,SUMPRODUCT(($G$76:$G$1505)*($N$76:$N$1505&gt;=N1307)*($O$76:$O$1505&lt;=O1307))=1,FALSE)</f>
        <v/>
      </c>
      <c r="S1307" s="16">
        <f>IF(R1307,ABS((O1307-$AC$76)/MAX(0.0001,$AC$77-$AC$76)-(N1307-$AC$78)/MAX(0.0001,$AC$79-$AC$78)),-1)</f>
        <v/>
      </c>
      <c r="T1307" s="14">
        <f>IF(G1307,O1307,NA())</f>
        <v/>
      </c>
      <c r="U1307" s="13">
        <f>IF(G1307,N1307,NA())</f>
        <v/>
      </c>
      <c r="V1307" s="14">
        <f>IF(R1307,O1307,NA())</f>
        <v/>
      </c>
      <c r="W1307" s="13">
        <f>IF(R1307,N1307,NA())</f>
        <v/>
      </c>
      <c r="X1307" s="27">
        <f>IF(G1307,P1307,"")</f>
        <v/>
      </c>
      <c r="Y1307" s="27">
        <f>IF(G1307,N1307,"")</f>
        <v/>
      </c>
      <c r="Z1307" s="27">
        <f>IF(R1307,O1307,"")</f>
        <v/>
      </c>
      <c r="AA1307" s="27">
        <f>IF(R1307,N1307,"")</f>
        <v/>
      </c>
    </row>
    <row r="1308">
      <c r="A1308" s="31" t="n">
        <v>0.5</v>
      </c>
      <c r="B1308" s="31" t="n">
        <v>0.3</v>
      </c>
      <c r="C1308" s="31" t="n">
        <v>0.1</v>
      </c>
      <c r="D1308" s="31" t="n">
        <v>0.1</v>
      </c>
      <c r="E1308" s="27" t="inlineStr">
        <is>
          <t>ON 50%/1M 30%/2M 10%/3M 10%</t>
        </is>
      </c>
      <c r="F1308" s="27" t="n">
        <v>50</v>
      </c>
      <c r="G1308" s="27">
        <f>A1308*$B$7&gt;=$B$9</f>
        <v/>
      </c>
      <c r="H1308" s="13">
        <f>$B$7*(A1308*E$71+B1308*F$71+C1308*G$71+D1308*H$71)+F1308/100*$B$7*J$71-$C$71</f>
        <v/>
      </c>
      <c r="I1308" s="13">
        <f>$B$7*(A1308*L$71+B1308*M$71+C1308*N$71+D1308*O$71)+F1308/100*$B$7*Q$71-$C$71</f>
        <v/>
      </c>
      <c r="J1308" s="13">
        <f>$B$7*(A1308*S$71+B1308*T$71+C1308*U$71+D1308*V$71)+F1308/100*$B$7*X$71-$C$71</f>
        <v/>
      </c>
      <c r="K1308" s="13">
        <f>$B$7*(A1308*Z$71+B1308*AA$71+C1308*AB$71+D1308*AC$71)+F1308/100*$B$7*AE$71-$C$71</f>
        <v/>
      </c>
      <c r="L1308" s="13">
        <f>$B$7*(A1308*AG$71+B1308*AH$71+C1308*AI$71+D1308*AJ$71)+F1308/100*$B$7*AL$71-$C$71</f>
        <v/>
      </c>
      <c r="M1308" s="13">
        <f>$B$7*(A1308*AN$71+B1308*AO$71+C1308*AP$71+D1308*AQ$71)+F1308/100*$B$7*AS$71-$C$71</f>
        <v/>
      </c>
      <c r="N1308" s="13">
        <f>SUMPRODUCT($H$24:$M$24,H1308:M1308)</f>
        <v/>
      </c>
      <c r="O1308" s="14">
        <f>SQRT(SUMPRODUCT($H$24:$M$24,(H1308:M1308-N1308)^2))</f>
        <v/>
      </c>
      <c r="P1308" s="13">
        <f>MIN(H1308:M1308)</f>
        <v/>
      </c>
      <c r="Q1308" s="13">
        <f>MAX(H1308:M1308)</f>
        <v/>
      </c>
      <c r="R1308" s="27">
        <f>IF(G1308,SUMPRODUCT(($G$76:$G$1505)*($N$76:$N$1505&gt;=N1308)*($O$76:$O$1505&lt;=O1308))=1,FALSE)</f>
        <v/>
      </c>
      <c r="S1308" s="16">
        <f>IF(R1308,ABS((O1308-$AC$76)/MAX(0.0001,$AC$77-$AC$76)-(N1308-$AC$78)/MAX(0.0001,$AC$79-$AC$78)),-1)</f>
        <v/>
      </c>
      <c r="T1308" s="14">
        <f>IF(G1308,O1308,NA())</f>
        <v/>
      </c>
      <c r="U1308" s="13">
        <f>IF(G1308,N1308,NA())</f>
        <v/>
      </c>
      <c r="V1308" s="14">
        <f>IF(R1308,O1308,NA())</f>
        <v/>
      </c>
      <c r="W1308" s="13">
        <f>IF(R1308,N1308,NA())</f>
        <v/>
      </c>
      <c r="X1308" s="27">
        <f>IF(G1308,P1308,"")</f>
        <v/>
      </c>
      <c r="Y1308" s="27">
        <f>IF(G1308,N1308,"")</f>
        <v/>
      </c>
      <c r="Z1308" s="27">
        <f>IF(R1308,O1308,"")</f>
        <v/>
      </c>
      <c r="AA1308" s="27">
        <f>IF(R1308,N1308,"")</f>
        <v/>
      </c>
    </row>
    <row r="1309">
      <c r="A1309" s="31" t="n">
        <v>0.5</v>
      </c>
      <c r="B1309" s="31" t="n">
        <v>0.3</v>
      </c>
      <c r="C1309" s="31" t="n">
        <v>0.1</v>
      </c>
      <c r="D1309" s="31" t="n">
        <v>0.1</v>
      </c>
      <c r="E1309" s="27" t="inlineStr">
        <is>
          <t>ON 50%/1M 30%/2M 10%/3M 10%</t>
        </is>
      </c>
      <c r="F1309" s="27" t="n">
        <v>75</v>
      </c>
      <c r="G1309" s="27">
        <f>A1309*$B$7&gt;=$B$9</f>
        <v/>
      </c>
      <c r="H1309" s="13">
        <f>$B$7*(A1309*E$71+B1309*F$71+C1309*G$71+D1309*H$71)+F1309/100*$B$7*J$71-$C$71</f>
        <v/>
      </c>
      <c r="I1309" s="13">
        <f>$B$7*(A1309*L$71+B1309*M$71+C1309*N$71+D1309*O$71)+F1309/100*$B$7*Q$71-$C$71</f>
        <v/>
      </c>
      <c r="J1309" s="13">
        <f>$B$7*(A1309*S$71+B1309*T$71+C1309*U$71+D1309*V$71)+F1309/100*$B$7*X$71-$C$71</f>
        <v/>
      </c>
      <c r="K1309" s="13">
        <f>$B$7*(A1309*Z$71+B1309*AA$71+C1309*AB$71+D1309*AC$71)+F1309/100*$B$7*AE$71-$C$71</f>
        <v/>
      </c>
      <c r="L1309" s="13">
        <f>$B$7*(A1309*AG$71+B1309*AH$71+C1309*AI$71+D1309*AJ$71)+F1309/100*$B$7*AL$71-$C$71</f>
        <v/>
      </c>
      <c r="M1309" s="13">
        <f>$B$7*(A1309*AN$71+B1309*AO$71+C1309*AP$71+D1309*AQ$71)+F1309/100*$B$7*AS$71-$C$71</f>
        <v/>
      </c>
      <c r="N1309" s="13">
        <f>SUMPRODUCT($H$24:$M$24,H1309:M1309)</f>
        <v/>
      </c>
      <c r="O1309" s="14">
        <f>SQRT(SUMPRODUCT($H$24:$M$24,(H1309:M1309-N1309)^2))</f>
        <v/>
      </c>
      <c r="P1309" s="13">
        <f>MIN(H1309:M1309)</f>
        <v/>
      </c>
      <c r="Q1309" s="13">
        <f>MAX(H1309:M1309)</f>
        <v/>
      </c>
      <c r="R1309" s="27">
        <f>IF(G1309,SUMPRODUCT(($G$76:$G$1505)*($N$76:$N$1505&gt;=N1309)*($O$76:$O$1505&lt;=O1309))=1,FALSE)</f>
        <v/>
      </c>
      <c r="S1309" s="16">
        <f>IF(R1309,ABS((O1309-$AC$76)/MAX(0.0001,$AC$77-$AC$76)-(N1309-$AC$78)/MAX(0.0001,$AC$79-$AC$78)),-1)</f>
        <v/>
      </c>
      <c r="T1309" s="14">
        <f>IF(G1309,O1309,NA())</f>
        <v/>
      </c>
      <c r="U1309" s="13">
        <f>IF(G1309,N1309,NA())</f>
        <v/>
      </c>
      <c r="V1309" s="14">
        <f>IF(R1309,O1309,NA())</f>
        <v/>
      </c>
      <c r="W1309" s="13">
        <f>IF(R1309,N1309,NA())</f>
        <v/>
      </c>
      <c r="X1309" s="27">
        <f>IF(G1309,P1309,"")</f>
        <v/>
      </c>
      <c r="Y1309" s="27">
        <f>IF(G1309,N1309,"")</f>
        <v/>
      </c>
      <c r="Z1309" s="27">
        <f>IF(R1309,O1309,"")</f>
        <v/>
      </c>
      <c r="AA1309" s="27">
        <f>IF(R1309,N1309,"")</f>
        <v/>
      </c>
    </row>
    <row r="1310">
      <c r="A1310" s="31" t="n">
        <v>0.5</v>
      </c>
      <c r="B1310" s="31" t="n">
        <v>0.3</v>
      </c>
      <c r="C1310" s="31" t="n">
        <v>0.1</v>
      </c>
      <c r="D1310" s="31" t="n">
        <v>0.1</v>
      </c>
      <c r="E1310" s="27" t="inlineStr">
        <is>
          <t>ON 50%/1M 30%/2M 10%/3M 10%</t>
        </is>
      </c>
      <c r="F1310" s="27" t="n">
        <v>100</v>
      </c>
      <c r="G1310" s="27">
        <f>A1310*$B$7&gt;=$B$9</f>
        <v/>
      </c>
      <c r="H1310" s="13">
        <f>$B$7*(A1310*E$71+B1310*F$71+C1310*G$71+D1310*H$71)+F1310/100*$B$7*J$71-$C$71</f>
        <v/>
      </c>
      <c r="I1310" s="13">
        <f>$B$7*(A1310*L$71+B1310*M$71+C1310*N$71+D1310*O$71)+F1310/100*$B$7*Q$71-$C$71</f>
        <v/>
      </c>
      <c r="J1310" s="13">
        <f>$B$7*(A1310*S$71+B1310*T$71+C1310*U$71+D1310*V$71)+F1310/100*$B$7*X$71-$C$71</f>
        <v/>
      </c>
      <c r="K1310" s="13">
        <f>$B$7*(A1310*Z$71+B1310*AA$71+C1310*AB$71+D1310*AC$71)+F1310/100*$B$7*AE$71-$C$71</f>
        <v/>
      </c>
      <c r="L1310" s="13">
        <f>$B$7*(A1310*AG$71+B1310*AH$71+C1310*AI$71+D1310*AJ$71)+F1310/100*$B$7*AL$71-$C$71</f>
        <v/>
      </c>
      <c r="M1310" s="13">
        <f>$B$7*(A1310*AN$71+B1310*AO$71+C1310*AP$71+D1310*AQ$71)+F1310/100*$B$7*AS$71-$C$71</f>
        <v/>
      </c>
      <c r="N1310" s="13">
        <f>SUMPRODUCT($H$24:$M$24,H1310:M1310)</f>
        <v/>
      </c>
      <c r="O1310" s="14">
        <f>SQRT(SUMPRODUCT($H$24:$M$24,(H1310:M1310-N1310)^2))</f>
        <v/>
      </c>
      <c r="P1310" s="13">
        <f>MIN(H1310:M1310)</f>
        <v/>
      </c>
      <c r="Q1310" s="13">
        <f>MAX(H1310:M1310)</f>
        <v/>
      </c>
      <c r="R1310" s="27">
        <f>IF(G1310,SUMPRODUCT(($G$76:$G$1505)*($N$76:$N$1505&gt;=N1310)*($O$76:$O$1505&lt;=O1310))=1,FALSE)</f>
        <v/>
      </c>
      <c r="S1310" s="16">
        <f>IF(R1310,ABS((O1310-$AC$76)/MAX(0.0001,$AC$77-$AC$76)-(N1310-$AC$78)/MAX(0.0001,$AC$79-$AC$78)),-1)</f>
        <v/>
      </c>
      <c r="T1310" s="14">
        <f>IF(G1310,O1310,NA())</f>
        <v/>
      </c>
      <c r="U1310" s="13">
        <f>IF(G1310,N1310,NA())</f>
        <v/>
      </c>
      <c r="V1310" s="14">
        <f>IF(R1310,O1310,NA())</f>
        <v/>
      </c>
      <c r="W1310" s="13">
        <f>IF(R1310,N1310,NA())</f>
        <v/>
      </c>
      <c r="X1310" s="27">
        <f>IF(G1310,P1310,"")</f>
        <v/>
      </c>
      <c r="Y1310" s="27">
        <f>IF(G1310,N1310,"")</f>
        <v/>
      </c>
      <c r="Z1310" s="27">
        <f>IF(R1310,O1310,"")</f>
        <v/>
      </c>
      <c r="AA1310" s="27">
        <f>IF(R1310,N1310,"")</f>
        <v/>
      </c>
    </row>
    <row r="1311">
      <c r="A1311" s="31" t="n">
        <v>0.5</v>
      </c>
      <c r="B1311" s="31" t="n">
        <v>0.3</v>
      </c>
      <c r="C1311" s="31" t="n">
        <v>0.2</v>
      </c>
      <c r="D1311" s="31" t="n">
        <v>0</v>
      </c>
      <c r="E1311" s="27" t="inlineStr">
        <is>
          <t>ON 50%/1M 30%/2M 20%</t>
        </is>
      </c>
      <c r="F1311" s="27" t="n">
        <v>0</v>
      </c>
      <c r="G1311" s="27">
        <f>A1311*$B$7&gt;=$B$9</f>
        <v/>
      </c>
      <c r="H1311" s="13">
        <f>$B$7*(A1311*E$71+B1311*F$71+C1311*G$71+D1311*H$71)+F1311/100*$B$7*J$71-$C$71</f>
        <v/>
      </c>
      <c r="I1311" s="13">
        <f>$B$7*(A1311*L$71+B1311*M$71+C1311*N$71+D1311*O$71)+F1311/100*$B$7*Q$71-$C$71</f>
        <v/>
      </c>
      <c r="J1311" s="13">
        <f>$B$7*(A1311*S$71+B1311*T$71+C1311*U$71+D1311*V$71)+F1311/100*$B$7*X$71-$C$71</f>
        <v/>
      </c>
      <c r="K1311" s="13">
        <f>$B$7*(A1311*Z$71+B1311*AA$71+C1311*AB$71+D1311*AC$71)+F1311/100*$B$7*AE$71-$C$71</f>
        <v/>
      </c>
      <c r="L1311" s="13">
        <f>$B$7*(A1311*AG$71+B1311*AH$71+C1311*AI$71+D1311*AJ$71)+F1311/100*$B$7*AL$71-$C$71</f>
        <v/>
      </c>
      <c r="M1311" s="13">
        <f>$B$7*(A1311*AN$71+B1311*AO$71+C1311*AP$71+D1311*AQ$71)+F1311/100*$B$7*AS$71-$C$71</f>
        <v/>
      </c>
      <c r="N1311" s="13">
        <f>SUMPRODUCT($H$24:$M$24,H1311:M1311)</f>
        <v/>
      </c>
      <c r="O1311" s="14">
        <f>SQRT(SUMPRODUCT($H$24:$M$24,(H1311:M1311-N1311)^2))</f>
        <v/>
      </c>
      <c r="P1311" s="13">
        <f>MIN(H1311:M1311)</f>
        <v/>
      </c>
      <c r="Q1311" s="13">
        <f>MAX(H1311:M1311)</f>
        <v/>
      </c>
      <c r="R1311" s="27">
        <f>IF(G1311,SUMPRODUCT(($G$76:$G$1505)*($N$76:$N$1505&gt;=N1311)*($O$76:$O$1505&lt;=O1311))=1,FALSE)</f>
        <v/>
      </c>
      <c r="S1311" s="16">
        <f>IF(R1311,ABS((O1311-$AC$76)/MAX(0.0001,$AC$77-$AC$76)-(N1311-$AC$78)/MAX(0.0001,$AC$79-$AC$78)),-1)</f>
        <v/>
      </c>
      <c r="T1311" s="14">
        <f>IF(G1311,O1311,NA())</f>
        <v/>
      </c>
      <c r="U1311" s="13">
        <f>IF(G1311,N1311,NA())</f>
        <v/>
      </c>
      <c r="V1311" s="14">
        <f>IF(R1311,O1311,NA())</f>
        <v/>
      </c>
      <c r="W1311" s="13">
        <f>IF(R1311,N1311,NA())</f>
        <v/>
      </c>
      <c r="X1311" s="27">
        <f>IF(G1311,P1311,"")</f>
        <v/>
      </c>
      <c r="Y1311" s="27">
        <f>IF(G1311,N1311,"")</f>
        <v/>
      </c>
      <c r="Z1311" s="27">
        <f>IF(R1311,O1311,"")</f>
        <v/>
      </c>
      <c r="AA1311" s="27">
        <f>IF(R1311,N1311,"")</f>
        <v/>
      </c>
    </row>
    <row r="1312">
      <c r="A1312" s="31" t="n">
        <v>0.5</v>
      </c>
      <c r="B1312" s="31" t="n">
        <v>0.3</v>
      </c>
      <c r="C1312" s="31" t="n">
        <v>0.2</v>
      </c>
      <c r="D1312" s="31" t="n">
        <v>0</v>
      </c>
      <c r="E1312" s="27" t="inlineStr">
        <is>
          <t>ON 50%/1M 30%/2M 20%</t>
        </is>
      </c>
      <c r="F1312" s="27" t="n">
        <v>25</v>
      </c>
      <c r="G1312" s="27">
        <f>A1312*$B$7&gt;=$B$9</f>
        <v/>
      </c>
      <c r="H1312" s="13">
        <f>$B$7*(A1312*E$71+B1312*F$71+C1312*G$71+D1312*H$71)+F1312/100*$B$7*J$71-$C$71</f>
        <v/>
      </c>
      <c r="I1312" s="13">
        <f>$B$7*(A1312*L$71+B1312*M$71+C1312*N$71+D1312*O$71)+F1312/100*$B$7*Q$71-$C$71</f>
        <v/>
      </c>
      <c r="J1312" s="13">
        <f>$B$7*(A1312*S$71+B1312*T$71+C1312*U$71+D1312*V$71)+F1312/100*$B$7*X$71-$C$71</f>
        <v/>
      </c>
      <c r="K1312" s="13">
        <f>$B$7*(A1312*Z$71+B1312*AA$71+C1312*AB$71+D1312*AC$71)+F1312/100*$B$7*AE$71-$C$71</f>
        <v/>
      </c>
      <c r="L1312" s="13">
        <f>$B$7*(A1312*AG$71+B1312*AH$71+C1312*AI$71+D1312*AJ$71)+F1312/100*$B$7*AL$71-$C$71</f>
        <v/>
      </c>
      <c r="M1312" s="13">
        <f>$B$7*(A1312*AN$71+B1312*AO$71+C1312*AP$71+D1312*AQ$71)+F1312/100*$B$7*AS$71-$C$71</f>
        <v/>
      </c>
      <c r="N1312" s="13">
        <f>SUMPRODUCT($H$24:$M$24,H1312:M1312)</f>
        <v/>
      </c>
      <c r="O1312" s="14">
        <f>SQRT(SUMPRODUCT($H$24:$M$24,(H1312:M1312-N1312)^2))</f>
        <v/>
      </c>
      <c r="P1312" s="13">
        <f>MIN(H1312:M1312)</f>
        <v/>
      </c>
      <c r="Q1312" s="13">
        <f>MAX(H1312:M1312)</f>
        <v/>
      </c>
      <c r="R1312" s="27">
        <f>IF(G1312,SUMPRODUCT(($G$76:$G$1505)*($N$76:$N$1505&gt;=N1312)*($O$76:$O$1505&lt;=O1312))=1,FALSE)</f>
        <v/>
      </c>
      <c r="S1312" s="16">
        <f>IF(R1312,ABS((O1312-$AC$76)/MAX(0.0001,$AC$77-$AC$76)-(N1312-$AC$78)/MAX(0.0001,$AC$79-$AC$78)),-1)</f>
        <v/>
      </c>
      <c r="T1312" s="14">
        <f>IF(G1312,O1312,NA())</f>
        <v/>
      </c>
      <c r="U1312" s="13">
        <f>IF(G1312,N1312,NA())</f>
        <v/>
      </c>
      <c r="V1312" s="14">
        <f>IF(R1312,O1312,NA())</f>
        <v/>
      </c>
      <c r="W1312" s="13">
        <f>IF(R1312,N1312,NA())</f>
        <v/>
      </c>
      <c r="X1312" s="27">
        <f>IF(G1312,P1312,"")</f>
        <v/>
      </c>
      <c r="Y1312" s="27">
        <f>IF(G1312,N1312,"")</f>
        <v/>
      </c>
      <c r="Z1312" s="27">
        <f>IF(R1312,O1312,"")</f>
        <v/>
      </c>
      <c r="AA1312" s="27">
        <f>IF(R1312,N1312,"")</f>
        <v/>
      </c>
    </row>
    <row r="1313">
      <c r="A1313" s="31" t="n">
        <v>0.5</v>
      </c>
      <c r="B1313" s="31" t="n">
        <v>0.3</v>
      </c>
      <c r="C1313" s="31" t="n">
        <v>0.2</v>
      </c>
      <c r="D1313" s="31" t="n">
        <v>0</v>
      </c>
      <c r="E1313" s="27" t="inlineStr">
        <is>
          <t>ON 50%/1M 30%/2M 20%</t>
        </is>
      </c>
      <c r="F1313" s="27" t="n">
        <v>50</v>
      </c>
      <c r="G1313" s="27">
        <f>A1313*$B$7&gt;=$B$9</f>
        <v/>
      </c>
      <c r="H1313" s="13">
        <f>$B$7*(A1313*E$71+B1313*F$71+C1313*G$71+D1313*H$71)+F1313/100*$B$7*J$71-$C$71</f>
        <v/>
      </c>
      <c r="I1313" s="13">
        <f>$B$7*(A1313*L$71+B1313*M$71+C1313*N$71+D1313*O$71)+F1313/100*$B$7*Q$71-$C$71</f>
        <v/>
      </c>
      <c r="J1313" s="13">
        <f>$B$7*(A1313*S$71+B1313*T$71+C1313*U$71+D1313*V$71)+F1313/100*$B$7*X$71-$C$71</f>
        <v/>
      </c>
      <c r="K1313" s="13">
        <f>$B$7*(A1313*Z$71+B1313*AA$71+C1313*AB$71+D1313*AC$71)+F1313/100*$B$7*AE$71-$C$71</f>
        <v/>
      </c>
      <c r="L1313" s="13">
        <f>$B$7*(A1313*AG$71+B1313*AH$71+C1313*AI$71+D1313*AJ$71)+F1313/100*$B$7*AL$71-$C$71</f>
        <v/>
      </c>
      <c r="M1313" s="13">
        <f>$B$7*(A1313*AN$71+B1313*AO$71+C1313*AP$71+D1313*AQ$71)+F1313/100*$B$7*AS$71-$C$71</f>
        <v/>
      </c>
      <c r="N1313" s="13">
        <f>SUMPRODUCT($H$24:$M$24,H1313:M1313)</f>
        <v/>
      </c>
      <c r="O1313" s="14">
        <f>SQRT(SUMPRODUCT($H$24:$M$24,(H1313:M1313-N1313)^2))</f>
        <v/>
      </c>
      <c r="P1313" s="13">
        <f>MIN(H1313:M1313)</f>
        <v/>
      </c>
      <c r="Q1313" s="13">
        <f>MAX(H1313:M1313)</f>
        <v/>
      </c>
      <c r="R1313" s="27">
        <f>IF(G1313,SUMPRODUCT(($G$76:$G$1505)*($N$76:$N$1505&gt;=N1313)*($O$76:$O$1505&lt;=O1313))=1,FALSE)</f>
        <v/>
      </c>
      <c r="S1313" s="16">
        <f>IF(R1313,ABS((O1313-$AC$76)/MAX(0.0001,$AC$77-$AC$76)-(N1313-$AC$78)/MAX(0.0001,$AC$79-$AC$78)),-1)</f>
        <v/>
      </c>
      <c r="T1313" s="14">
        <f>IF(G1313,O1313,NA())</f>
        <v/>
      </c>
      <c r="U1313" s="13">
        <f>IF(G1313,N1313,NA())</f>
        <v/>
      </c>
      <c r="V1313" s="14">
        <f>IF(R1313,O1313,NA())</f>
        <v/>
      </c>
      <c r="W1313" s="13">
        <f>IF(R1313,N1313,NA())</f>
        <v/>
      </c>
      <c r="X1313" s="27">
        <f>IF(G1313,P1313,"")</f>
        <v/>
      </c>
      <c r="Y1313" s="27">
        <f>IF(G1313,N1313,"")</f>
        <v/>
      </c>
      <c r="Z1313" s="27">
        <f>IF(R1313,O1313,"")</f>
        <v/>
      </c>
      <c r="AA1313" s="27">
        <f>IF(R1313,N1313,"")</f>
        <v/>
      </c>
    </row>
    <row r="1314">
      <c r="A1314" s="31" t="n">
        <v>0.5</v>
      </c>
      <c r="B1314" s="31" t="n">
        <v>0.3</v>
      </c>
      <c r="C1314" s="31" t="n">
        <v>0.2</v>
      </c>
      <c r="D1314" s="31" t="n">
        <v>0</v>
      </c>
      <c r="E1314" s="27" t="inlineStr">
        <is>
          <t>ON 50%/1M 30%/2M 20%</t>
        </is>
      </c>
      <c r="F1314" s="27" t="n">
        <v>75</v>
      </c>
      <c r="G1314" s="27">
        <f>A1314*$B$7&gt;=$B$9</f>
        <v/>
      </c>
      <c r="H1314" s="13">
        <f>$B$7*(A1314*E$71+B1314*F$71+C1314*G$71+D1314*H$71)+F1314/100*$B$7*J$71-$C$71</f>
        <v/>
      </c>
      <c r="I1314" s="13">
        <f>$B$7*(A1314*L$71+B1314*M$71+C1314*N$71+D1314*O$71)+F1314/100*$B$7*Q$71-$C$71</f>
        <v/>
      </c>
      <c r="J1314" s="13">
        <f>$B$7*(A1314*S$71+B1314*T$71+C1314*U$71+D1314*V$71)+F1314/100*$B$7*X$71-$C$71</f>
        <v/>
      </c>
      <c r="K1314" s="13">
        <f>$B$7*(A1314*Z$71+B1314*AA$71+C1314*AB$71+D1314*AC$71)+F1314/100*$B$7*AE$71-$C$71</f>
        <v/>
      </c>
      <c r="L1314" s="13">
        <f>$B$7*(A1314*AG$71+B1314*AH$71+C1314*AI$71+D1314*AJ$71)+F1314/100*$B$7*AL$71-$C$71</f>
        <v/>
      </c>
      <c r="M1314" s="13">
        <f>$B$7*(A1314*AN$71+B1314*AO$71+C1314*AP$71+D1314*AQ$71)+F1314/100*$B$7*AS$71-$C$71</f>
        <v/>
      </c>
      <c r="N1314" s="13">
        <f>SUMPRODUCT($H$24:$M$24,H1314:M1314)</f>
        <v/>
      </c>
      <c r="O1314" s="14">
        <f>SQRT(SUMPRODUCT($H$24:$M$24,(H1314:M1314-N1314)^2))</f>
        <v/>
      </c>
      <c r="P1314" s="13">
        <f>MIN(H1314:M1314)</f>
        <v/>
      </c>
      <c r="Q1314" s="13">
        <f>MAX(H1314:M1314)</f>
        <v/>
      </c>
      <c r="R1314" s="27">
        <f>IF(G1314,SUMPRODUCT(($G$76:$G$1505)*($N$76:$N$1505&gt;=N1314)*($O$76:$O$1505&lt;=O1314))=1,FALSE)</f>
        <v/>
      </c>
      <c r="S1314" s="16">
        <f>IF(R1314,ABS((O1314-$AC$76)/MAX(0.0001,$AC$77-$AC$76)-(N1314-$AC$78)/MAX(0.0001,$AC$79-$AC$78)),-1)</f>
        <v/>
      </c>
      <c r="T1314" s="14">
        <f>IF(G1314,O1314,NA())</f>
        <v/>
      </c>
      <c r="U1314" s="13">
        <f>IF(G1314,N1314,NA())</f>
        <v/>
      </c>
      <c r="V1314" s="14">
        <f>IF(R1314,O1314,NA())</f>
        <v/>
      </c>
      <c r="W1314" s="13">
        <f>IF(R1314,N1314,NA())</f>
        <v/>
      </c>
      <c r="X1314" s="27">
        <f>IF(G1314,P1314,"")</f>
        <v/>
      </c>
      <c r="Y1314" s="27">
        <f>IF(G1314,N1314,"")</f>
        <v/>
      </c>
      <c r="Z1314" s="27">
        <f>IF(R1314,O1314,"")</f>
        <v/>
      </c>
      <c r="AA1314" s="27">
        <f>IF(R1314,N1314,"")</f>
        <v/>
      </c>
    </row>
    <row r="1315">
      <c r="A1315" s="31" t="n">
        <v>0.5</v>
      </c>
      <c r="B1315" s="31" t="n">
        <v>0.3</v>
      </c>
      <c r="C1315" s="31" t="n">
        <v>0.2</v>
      </c>
      <c r="D1315" s="31" t="n">
        <v>0</v>
      </c>
      <c r="E1315" s="27" t="inlineStr">
        <is>
          <t>ON 50%/1M 30%/2M 20%</t>
        </is>
      </c>
      <c r="F1315" s="27" t="n">
        <v>100</v>
      </c>
      <c r="G1315" s="27">
        <f>A1315*$B$7&gt;=$B$9</f>
        <v/>
      </c>
      <c r="H1315" s="13">
        <f>$B$7*(A1315*E$71+B1315*F$71+C1315*G$71+D1315*H$71)+F1315/100*$B$7*J$71-$C$71</f>
        <v/>
      </c>
      <c r="I1315" s="13">
        <f>$B$7*(A1315*L$71+B1315*M$71+C1315*N$71+D1315*O$71)+F1315/100*$B$7*Q$71-$C$71</f>
        <v/>
      </c>
      <c r="J1315" s="13">
        <f>$B$7*(A1315*S$71+B1315*T$71+C1315*U$71+D1315*V$71)+F1315/100*$B$7*X$71-$C$71</f>
        <v/>
      </c>
      <c r="K1315" s="13">
        <f>$B$7*(A1315*Z$71+B1315*AA$71+C1315*AB$71+D1315*AC$71)+F1315/100*$B$7*AE$71-$C$71</f>
        <v/>
      </c>
      <c r="L1315" s="13">
        <f>$B$7*(A1315*AG$71+B1315*AH$71+C1315*AI$71+D1315*AJ$71)+F1315/100*$B$7*AL$71-$C$71</f>
        <v/>
      </c>
      <c r="M1315" s="13">
        <f>$B$7*(A1315*AN$71+B1315*AO$71+C1315*AP$71+D1315*AQ$71)+F1315/100*$B$7*AS$71-$C$71</f>
        <v/>
      </c>
      <c r="N1315" s="13">
        <f>SUMPRODUCT($H$24:$M$24,H1315:M1315)</f>
        <v/>
      </c>
      <c r="O1315" s="14">
        <f>SQRT(SUMPRODUCT($H$24:$M$24,(H1315:M1315-N1315)^2))</f>
        <v/>
      </c>
      <c r="P1315" s="13">
        <f>MIN(H1315:M1315)</f>
        <v/>
      </c>
      <c r="Q1315" s="13">
        <f>MAX(H1315:M1315)</f>
        <v/>
      </c>
      <c r="R1315" s="27">
        <f>IF(G1315,SUMPRODUCT(($G$76:$G$1505)*($N$76:$N$1505&gt;=N1315)*($O$76:$O$1505&lt;=O1315))=1,FALSE)</f>
        <v/>
      </c>
      <c r="S1315" s="16">
        <f>IF(R1315,ABS((O1315-$AC$76)/MAX(0.0001,$AC$77-$AC$76)-(N1315-$AC$78)/MAX(0.0001,$AC$79-$AC$78)),-1)</f>
        <v/>
      </c>
      <c r="T1315" s="14">
        <f>IF(G1315,O1315,NA())</f>
        <v/>
      </c>
      <c r="U1315" s="13">
        <f>IF(G1315,N1315,NA())</f>
        <v/>
      </c>
      <c r="V1315" s="14">
        <f>IF(R1315,O1315,NA())</f>
        <v/>
      </c>
      <c r="W1315" s="13">
        <f>IF(R1315,N1315,NA())</f>
        <v/>
      </c>
      <c r="X1315" s="27">
        <f>IF(G1315,P1315,"")</f>
        <v/>
      </c>
      <c r="Y1315" s="27">
        <f>IF(G1315,N1315,"")</f>
        <v/>
      </c>
      <c r="Z1315" s="27">
        <f>IF(R1315,O1315,"")</f>
        <v/>
      </c>
      <c r="AA1315" s="27">
        <f>IF(R1315,N1315,"")</f>
        <v/>
      </c>
    </row>
    <row r="1316">
      <c r="A1316" s="31" t="n">
        <v>0.5</v>
      </c>
      <c r="B1316" s="31" t="n">
        <v>0.4</v>
      </c>
      <c r="C1316" s="31" t="n">
        <v>0</v>
      </c>
      <c r="D1316" s="31" t="n">
        <v>0.1</v>
      </c>
      <c r="E1316" s="27" t="inlineStr">
        <is>
          <t>ON 50%/1M 40%/3M 10%</t>
        </is>
      </c>
      <c r="F1316" s="27" t="n">
        <v>0</v>
      </c>
      <c r="G1316" s="27">
        <f>A1316*$B$7&gt;=$B$9</f>
        <v/>
      </c>
      <c r="H1316" s="13">
        <f>$B$7*(A1316*E$71+B1316*F$71+C1316*G$71+D1316*H$71)+F1316/100*$B$7*J$71-$C$71</f>
        <v/>
      </c>
      <c r="I1316" s="13">
        <f>$B$7*(A1316*L$71+B1316*M$71+C1316*N$71+D1316*O$71)+F1316/100*$B$7*Q$71-$C$71</f>
        <v/>
      </c>
      <c r="J1316" s="13">
        <f>$B$7*(A1316*S$71+B1316*T$71+C1316*U$71+D1316*V$71)+F1316/100*$B$7*X$71-$C$71</f>
        <v/>
      </c>
      <c r="K1316" s="13">
        <f>$B$7*(A1316*Z$71+B1316*AA$71+C1316*AB$71+D1316*AC$71)+F1316/100*$B$7*AE$71-$C$71</f>
        <v/>
      </c>
      <c r="L1316" s="13">
        <f>$B$7*(A1316*AG$71+B1316*AH$71+C1316*AI$71+D1316*AJ$71)+F1316/100*$B$7*AL$71-$C$71</f>
        <v/>
      </c>
      <c r="M1316" s="13">
        <f>$B$7*(A1316*AN$71+B1316*AO$71+C1316*AP$71+D1316*AQ$71)+F1316/100*$B$7*AS$71-$C$71</f>
        <v/>
      </c>
      <c r="N1316" s="13">
        <f>SUMPRODUCT($H$24:$M$24,H1316:M1316)</f>
        <v/>
      </c>
      <c r="O1316" s="14">
        <f>SQRT(SUMPRODUCT($H$24:$M$24,(H1316:M1316-N1316)^2))</f>
        <v/>
      </c>
      <c r="P1316" s="13">
        <f>MIN(H1316:M1316)</f>
        <v/>
      </c>
      <c r="Q1316" s="13">
        <f>MAX(H1316:M1316)</f>
        <v/>
      </c>
      <c r="R1316" s="27">
        <f>IF(G1316,SUMPRODUCT(($G$76:$G$1505)*($N$76:$N$1505&gt;=N1316)*($O$76:$O$1505&lt;=O1316))=1,FALSE)</f>
        <v/>
      </c>
      <c r="S1316" s="16">
        <f>IF(R1316,ABS((O1316-$AC$76)/MAX(0.0001,$AC$77-$AC$76)-(N1316-$AC$78)/MAX(0.0001,$AC$79-$AC$78)),-1)</f>
        <v/>
      </c>
      <c r="T1316" s="14">
        <f>IF(G1316,O1316,NA())</f>
        <v/>
      </c>
      <c r="U1316" s="13">
        <f>IF(G1316,N1316,NA())</f>
        <v/>
      </c>
      <c r="V1316" s="14">
        <f>IF(R1316,O1316,NA())</f>
        <v/>
      </c>
      <c r="W1316" s="13">
        <f>IF(R1316,N1316,NA())</f>
        <v/>
      </c>
      <c r="X1316" s="27">
        <f>IF(G1316,P1316,"")</f>
        <v/>
      </c>
      <c r="Y1316" s="27">
        <f>IF(G1316,N1316,"")</f>
        <v/>
      </c>
      <c r="Z1316" s="27">
        <f>IF(R1316,O1316,"")</f>
        <v/>
      </c>
      <c r="AA1316" s="27">
        <f>IF(R1316,N1316,"")</f>
        <v/>
      </c>
    </row>
    <row r="1317">
      <c r="A1317" s="31" t="n">
        <v>0.5</v>
      </c>
      <c r="B1317" s="31" t="n">
        <v>0.4</v>
      </c>
      <c r="C1317" s="31" t="n">
        <v>0</v>
      </c>
      <c r="D1317" s="31" t="n">
        <v>0.1</v>
      </c>
      <c r="E1317" s="27" t="inlineStr">
        <is>
          <t>ON 50%/1M 40%/3M 10%</t>
        </is>
      </c>
      <c r="F1317" s="27" t="n">
        <v>25</v>
      </c>
      <c r="G1317" s="27">
        <f>A1317*$B$7&gt;=$B$9</f>
        <v/>
      </c>
      <c r="H1317" s="13">
        <f>$B$7*(A1317*E$71+B1317*F$71+C1317*G$71+D1317*H$71)+F1317/100*$B$7*J$71-$C$71</f>
        <v/>
      </c>
      <c r="I1317" s="13">
        <f>$B$7*(A1317*L$71+B1317*M$71+C1317*N$71+D1317*O$71)+F1317/100*$B$7*Q$71-$C$71</f>
        <v/>
      </c>
      <c r="J1317" s="13">
        <f>$B$7*(A1317*S$71+B1317*T$71+C1317*U$71+D1317*V$71)+F1317/100*$B$7*X$71-$C$71</f>
        <v/>
      </c>
      <c r="K1317" s="13">
        <f>$B$7*(A1317*Z$71+B1317*AA$71+C1317*AB$71+D1317*AC$71)+F1317/100*$B$7*AE$71-$C$71</f>
        <v/>
      </c>
      <c r="L1317" s="13">
        <f>$B$7*(A1317*AG$71+B1317*AH$71+C1317*AI$71+D1317*AJ$71)+F1317/100*$B$7*AL$71-$C$71</f>
        <v/>
      </c>
      <c r="M1317" s="13">
        <f>$B$7*(A1317*AN$71+B1317*AO$71+C1317*AP$71+D1317*AQ$71)+F1317/100*$B$7*AS$71-$C$71</f>
        <v/>
      </c>
      <c r="N1317" s="13">
        <f>SUMPRODUCT($H$24:$M$24,H1317:M1317)</f>
        <v/>
      </c>
      <c r="O1317" s="14">
        <f>SQRT(SUMPRODUCT($H$24:$M$24,(H1317:M1317-N1317)^2))</f>
        <v/>
      </c>
      <c r="P1317" s="13">
        <f>MIN(H1317:M1317)</f>
        <v/>
      </c>
      <c r="Q1317" s="13">
        <f>MAX(H1317:M1317)</f>
        <v/>
      </c>
      <c r="R1317" s="27">
        <f>IF(G1317,SUMPRODUCT(($G$76:$G$1505)*($N$76:$N$1505&gt;=N1317)*($O$76:$O$1505&lt;=O1317))=1,FALSE)</f>
        <v/>
      </c>
      <c r="S1317" s="16">
        <f>IF(R1317,ABS((O1317-$AC$76)/MAX(0.0001,$AC$77-$AC$76)-(N1317-$AC$78)/MAX(0.0001,$AC$79-$AC$78)),-1)</f>
        <v/>
      </c>
      <c r="T1317" s="14">
        <f>IF(G1317,O1317,NA())</f>
        <v/>
      </c>
      <c r="U1317" s="13">
        <f>IF(G1317,N1317,NA())</f>
        <v/>
      </c>
      <c r="V1317" s="14">
        <f>IF(R1317,O1317,NA())</f>
        <v/>
      </c>
      <c r="W1317" s="13">
        <f>IF(R1317,N1317,NA())</f>
        <v/>
      </c>
      <c r="X1317" s="27">
        <f>IF(G1317,P1317,"")</f>
        <v/>
      </c>
      <c r="Y1317" s="27">
        <f>IF(G1317,N1317,"")</f>
        <v/>
      </c>
      <c r="Z1317" s="27">
        <f>IF(R1317,O1317,"")</f>
        <v/>
      </c>
      <c r="AA1317" s="27">
        <f>IF(R1317,N1317,"")</f>
        <v/>
      </c>
    </row>
    <row r="1318">
      <c r="A1318" s="31" t="n">
        <v>0.5</v>
      </c>
      <c r="B1318" s="31" t="n">
        <v>0.4</v>
      </c>
      <c r="C1318" s="31" t="n">
        <v>0</v>
      </c>
      <c r="D1318" s="31" t="n">
        <v>0.1</v>
      </c>
      <c r="E1318" s="27" t="inlineStr">
        <is>
          <t>ON 50%/1M 40%/3M 10%</t>
        </is>
      </c>
      <c r="F1318" s="27" t="n">
        <v>50</v>
      </c>
      <c r="G1318" s="27">
        <f>A1318*$B$7&gt;=$B$9</f>
        <v/>
      </c>
      <c r="H1318" s="13">
        <f>$B$7*(A1318*E$71+B1318*F$71+C1318*G$71+D1318*H$71)+F1318/100*$B$7*J$71-$C$71</f>
        <v/>
      </c>
      <c r="I1318" s="13">
        <f>$B$7*(A1318*L$71+B1318*M$71+C1318*N$71+D1318*O$71)+F1318/100*$B$7*Q$71-$C$71</f>
        <v/>
      </c>
      <c r="J1318" s="13">
        <f>$B$7*(A1318*S$71+B1318*T$71+C1318*U$71+D1318*V$71)+F1318/100*$B$7*X$71-$C$71</f>
        <v/>
      </c>
      <c r="K1318" s="13">
        <f>$B$7*(A1318*Z$71+B1318*AA$71+C1318*AB$71+D1318*AC$71)+F1318/100*$B$7*AE$71-$C$71</f>
        <v/>
      </c>
      <c r="L1318" s="13">
        <f>$B$7*(A1318*AG$71+B1318*AH$71+C1318*AI$71+D1318*AJ$71)+F1318/100*$B$7*AL$71-$C$71</f>
        <v/>
      </c>
      <c r="M1318" s="13">
        <f>$B$7*(A1318*AN$71+B1318*AO$71+C1318*AP$71+D1318*AQ$71)+F1318/100*$B$7*AS$71-$C$71</f>
        <v/>
      </c>
      <c r="N1318" s="13">
        <f>SUMPRODUCT($H$24:$M$24,H1318:M1318)</f>
        <v/>
      </c>
      <c r="O1318" s="14">
        <f>SQRT(SUMPRODUCT($H$24:$M$24,(H1318:M1318-N1318)^2))</f>
        <v/>
      </c>
      <c r="P1318" s="13">
        <f>MIN(H1318:M1318)</f>
        <v/>
      </c>
      <c r="Q1318" s="13">
        <f>MAX(H1318:M1318)</f>
        <v/>
      </c>
      <c r="R1318" s="27">
        <f>IF(G1318,SUMPRODUCT(($G$76:$G$1505)*($N$76:$N$1505&gt;=N1318)*($O$76:$O$1505&lt;=O1318))=1,FALSE)</f>
        <v/>
      </c>
      <c r="S1318" s="16">
        <f>IF(R1318,ABS((O1318-$AC$76)/MAX(0.0001,$AC$77-$AC$76)-(N1318-$AC$78)/MAX(0.0001,$AC$79-$AC$78)),-1)</f>
        <v/>
      </c>
      <c r="T1318" s="14">
        <f>IF(G1318,O1318,NA())</f>
        <v/>
      </c>
      <c r="U1318" s="13">
        <f>IF(G1318,N1318,NA())</f>
        <v/>
      </c>
      <c r="V1318" s="14">
        <f>IF(R1318,O1318,NA())</f>
        <v/>
      </c>
      <c r="W1318" s="13">
        <f>IF(R1318,N1318,NA())</f>
        <v/>
      </c>
      <c r="X1318" s="27">
        <f>IF(G1318,P1318,"")</f>
        <v/>
      </c>
      <c r="Y1318" s="27">
        <f>IF(G1318,N1318,"")</f>
        <v/>
      </c>
      <c r="Z1318" s="27">
        <f>IF(R1318,O1318,"")</f>
        <v/>
      </c>
      <c r="AA1318" s="27">
        <f>IF(R1318,N1318,"")</f>
        <v/>
      </c>
    </row>
    <row r="1319">
      <c r="A1319" s="31" t="n">
        <v>0.5</v>
      </c>
      <c r="B1319" s="31" t="n">
        <v>0.4</v>
      </c>
      <c r="C1319" s="31" t="n">
        <v>0</v>
      </c>
      <c r="D1319" s="31" t="n">
        <v>0.1</v>
      </c>
      <c r="E1319" s="27" t="inlineStr">
        <is>
          <t>ON 50%/1M 40%/3M 10%</t>
        </is>
      </c>
      <c r="F1319" s="27" t="n">
        <v>75</v>
      </c>
      <c r="G1319" s="27">
        <f>A1319*$B$7&gt;=$B$9</f>
        <v/>
      </c>
      <c r="H1319" s="13">
        <f>$B$7*(A1319*E$71+B1319*F$71+C1319*G$71+D1319*H$71)+F1319/100*$B$7*J$71-$C$71</f>
        <v/>
      </c>
      <c r="I1319" s="13">
        <f>$B$7*(A1319*L$71+B1319*M$71+C1319*N$71+D1319*O$71)+F1319/100*$B$7*Q$71-$C$71</f>
        <v/>
      </c>
      <c r="J1319" s="13">
        <f>$B$7*(A1319*S$71+B1319*T$71+C1319*U$71+D1319*V$71)+F1319/100*$B$7*X$71-$C$71</f>
        <v/>
      </c>
      <c r="K1319" s="13">
        <f>$B$7*(A1319*Z$71+B1319*AA$71+C1319*AB$71+D1319*AC$71)+F1319/100*$B$7*AE$71-$C$71</f>
        <v/>
      </c>
      <c r="L1319" s="13">
        <f>$B$7*(A1319*AG$71+B1319*AH$71+C1319*AI$71+D1319*AJ$71)+F1319/100*$B$7*AL$71-$C$71</f>
        <v/>
      </c>
      <c r="M1319" s="13">
        <f>$B$7*(A1319*AN$71+B1319*AO$71+C1319*AP$71+D1319*AQ$71)+F1319/100*$B$7*AS$71-$C$71</f>
        <v/>
      </c>
      <c r="N1319" s="13">
        <f>SUMPRODUCT($H$24:$M$24,H1319:M1319)</f>
        <v/>
      </c>
      <c r="O1319" s="14">
        <f>SQRT(SUMPRODUCT($H$24:$M$24,(H1319:M1319-N1319)^2))</f>
        <v/>
      </c>
      <c r="P1319" s="13">
        <f>MIN(H1319:M1319)</f>
        <v/>
      </c>
      <c r="Q1319" s="13">
        <f>MAX(H1319:M1319)</f>
        <v/>
      </c>
      <c r="R1319" s="27">
        <f>IF(G1319,SUMPRODUCT(($G$76:$G$1505)*($N$76:$N$1505&gt;=N1319)*($O$76:$O$1505&lt;=O1319))=1,FALSE)</f>
        <v/>
      </c>
      <c r="S1319" s="16">
        <f>IF(R1319,ABS((O1319-$AC$76)/MAX(0.0001,$AC$77-$AC$76)-(N1319-$AC$78)/MAX(0.0001,$AC$79-$AC$78)),-1)</f>
        <v/>
      </c>
      <c r="T1319" s="14">
        <f>IF(G1319,O1319,NA())</f>
        <v/>
      </c>
      <c r="U1319" s="13">
        <f>IF(G1319,N1319,NA())</f>
        <v/>
      </c>
      <c r="V1319" s="14">
        <f>IF(R1319,O1319,NA())</f>
        <v/>
      </c>
      <c r="W1319" s="13">
        <f>IF(R1319,N1319,NA())</f>
        <v/>
      </c>
      <c r="X1319" s="27">
        <f>IF(G1319,P1319,"")</f>
        <v/>
      </c>
      <c r="Y1319" s="27">
        <f>IF(G1319,N1319,"")</f>
        <v/>
      </c>
      <c r="Z1319" s="27">
        <f>IF(R1319,O1319,"")</f>
        <v/>
      </c>
      <c r="AA1319" s="27">
        <f>IF(R1319,N1319,"")</f>
        <v/>
      </c>
    </row>
    <row r="1320">
      <c r="A1320" s="31" t="n">
        <v>0.5</v>
      </c>
      <c r="B1320" s="31" t="n">
        <v>0.4</v>
      </c>
      <c r="C1320" s="31" t="n">
        <v>0</v>
      </c>
      <c r="D1320" s="31" t="n">
        <v>0.1</v>
      </c>
      <c r="E1320" s="27" t="inlineStr">
        <is>
          <t>ON 50%/1M 40%/3M 10%</t>
        </is>
      </c>
      <c r="F1320" s="27" t="n">
        <v>100</v>
      </c>
      <c r="G1320" s="27">
        <f>A1320*$B$7&gt;=$B$9</f>
        <v/>
      </c>
      <c r="H1320" s="13">
        <f>$B$7*(A1320*E$71+B1320*F$71+C1320*G$71+D1320*H$71)+F1320/100*$B$7*J$71-$C$71</f>
        <v/>
      </c>
      <c r="I1320" s="13">
        <f>$B$7*(A1320*L$71+B1320*M$71+C1320*N$71+D1320*O$71)+F1320/100*$B$7*Q$71-$C$71</f>
        <v/>
      </c>
      <c r="J1320" s="13">
        <f>$B$7*(A1320*S$71+B1320*T$71+C1320*U$71+D1320*V$71)+F1320/100*$B$7*X$71-$C$71</f>
        <v/>
      </c>
      <c r="K1320" s="13">
        <f>$B$7*(A1320*Z$71+B1320*AA$71+C1320*AB$71+D1320*AC$71)+F1320/100*$B$7*AE$71-$C$71</f>
        <v/>
      </c>
      <c r="L1320" s="13">
        <f>$B$7*(A1320*AG$71+B1320*AH$71+C1320*AI$71+D1320*AJ$71)+F1320/100*$B$7*AL$71-$C$71</f>
        <v/>
      </c>
      <c r="M1320" s="13">
        <f>$B$7*(A1320*AN$71+B1320*AO$71+C1320*AP$71+D1320*AQ$71)+F1320/100*$B$7*AS$71-$C$71</f>
        <v/>
      </c>
      <c r="N1320" s="13">
        <f>SUMPRODUCT($H$24:$M$24,H1320:M1320)</f>
        <v/>
      </c>
      <c r="O1320" s="14">
        <f>SQRT(SUMPRODUCT($H$24:$M$24,(H1320:M1320-N1320)^2))</f>
        <v/>
      </c>
      <c r="P1320" s="13">
        <f>MIN(H1320:M1320)</f>
        <v/>
      </c>
      <c r="Q1320" s="13">
        <f>MAX(H1320:M1320)</f>
        <v/>
      </c>
      <c r="R1320" s="27">
        <f>IF(G1320,SUMPRODUCT(($G$76:$G$1505)*($N$76:$N$1505&gt;=N1320)*($O$76:$O$1505&lt;=O1320))=1,FALSE)</f>
        <v/>
      </c>
      <c r="S1320" s="16">
        <f>IF(R1320,ABS((O1320-$AC$76)/MAX(0.0001,$AC$77-$AC$76)-(N1320-$AC$78)/MAX(0.0001,$AC$79-$AC$78)),-1)</f>
        <v/>
      </c>
      <c r="T1320" s="14">
        <f>IF(G1320,O1320,NA())</f>
        <v/>
      </c>
      <c r="U1320" s="13">
        <f>IF(G1320,N1320,NA())</f>
        <v/>
      </c>
      <c r="V1320" s="14">
        <f>IF(R1320,O1320,NA())</f>
        <v/>
      </c>
      <c r="W1320" s="13">
        <f>IF(R1320,N1320,NA())</f>
        <v/>
      </c>
      <c r="X1320" s="27">
        <f>IF(G1320,P1320,"")</f>
        <v/>
      </c>
      <c r="Y1320" s="27">
        <f>IF(G1320,N1320,"")</f>
        <v/>
      </c>
      <c r="Z1320" s="27">
        <f>IF(R1320,O1320,"")</f>
        <v/>
      </c>
      <c r="AA1320" s="27">
        <f>IF(R1320,N1320,"")</f>
        <v/>
      </c>
    </row>
    <row r="1321">
      <c r="A1321" s="31" t="n">
        <v>0.5</v>
      </c>
      <c r="B1321" s="31" t="n">
        <v>0.4</v>
      </c>
      <c r="C1321" s="31" t="n">
        <v>0.1</v>
      </c>
      <c r="D1321" s="31" t="n">
        <v>0</v>
      </c>
      <c r="E1321" s="27" t="inlineStr">
        <is>
          <t>ON 50%/1M 40%/2M 10%</t>
        </is>
      </c>
      <c r="F1321" s="27" t="n">
        <v>0</v>
      </c>
      <c r="G1321" s="27">
        <f>A1321*$B$7&gt;=$B$9</f>
        <v/>
      </c>
      <c r="H1321" s="13">
        <f>$B$7*(A1321*E$71+B1321*F$71+C1321*G$71+D1321*H$71)+F1321/100*$B$7*J$71-$C$71</f>
        <v/>
      </c>
      <c r="I1321" s="13">
        <f>$B$7*(A1321*L$71+B1321*M$71+C1321*N$71+D1321*O$71)+F1321/100*$B$7*Q$71-$C$71</f>
        <v/>
      </c>
      <c r="J1321" s="13">
        <f>$B$7*(A1321*S$71+B1321*T$71+C1321*U$71+D1321*V$71)+F1321/100*$B$7*X$71-$C$71</f>
        <v/>
      </c>
      <c r="K1321" s="13">
        <f>$B$7*(A1321*Z$71+B1321*AA$71+C1321*AB$71+D1321*AC$71)+F1321/100*$B$7*AE$71-$C$71</f>
        <v/>
      </c>
      <c r="L1321" s="13">
        <f>$B$7*(A1321*AG$71+B1321*AH$71+C1321*AI$71+D1321*AJ$71)+F1321/100*$B$7*AL$71-$C$71</f>
        <v/>
      </c>
      <c r="M1321" s="13">
        <f>$B$7*(A1321*AN$71+B1321*AO$71+C1321*AP$71+D1321*AQ$71)+F1321/100*$B$7*AS$71-$C$71</f>
        <v/>
      </c>
      <c r="N1321" s="13">
        <f>SUMPRODUCT($H$24:$M$24,H1321:M1321)</f>
        <v/>
      </c>
      <c r="O1321" s="14">
        <f>SQRT(SUMPRODUCT($H$24:$M$24,(H1321:M1321-N1321)^2))</f>
        <v/>
      </c>
      <c r="P1321" s="13">
        <f>MIN(H1321:M1321)</f>
        <v/>
      </c>
      <c r="Q1321" s="13">
        <f>MAX(H1321:M1321)</f>
        <v/>
      </c>
      <c r="R1321" s="27">
        <f>IF(G1321,SUMPRODUCT(($G$76:$G$1505)*($N$76:$N$1505&gt;=N1321)*($O$76:$O$1505&lt;=O1321))=1,FALSE)</f>
        <v/>
      </c>
      <c r="S1321" s="16">
        <f>IF(R1321,ABS((O1321-$AC$76)/MAX(0.0001,$AC$77-$AC$76)-(N1321-$AC$78)/MAX(0.0001,$AC$79-$AC$78)),-1)</f>
        <v/>
      </c>
      <c r="T1321" s="14">
        <f>IF(G1321,O1321,NA())</f>
        <v/>
      </c>
      <c r="U1321" s="13">
        <f>IF(G1321,N1321,NA())</f>
        <v/>
      </c>
      <c r="V1321" s="14">
        <f>IF(R1321,O1321,NA())</f>
        <v/>
      </c>
      <c r="W1321" s="13">
        <f>IF(R1321,N1321,NA())</f>
        <v/>
      </c>
      <c r="X1321" s="27">
        <f>IF(G1321,P1321,"")</f>
        <v/>
      </c>
      <c r="Y1321" s="27">
        <f>IF(G1321,N1321,"")</f>
        <v/>
      </c>
      <c r="Z1321" s="27">
        <f>IF(R1321,O1321,"")</f>
        <v/>
      </c>
      <c r="AA1321" s="27">
        <f>IF(R1321,N1321,"")</f>
        <v/>
      </c>
    </row>
    <row r="1322">
      <c r="A1322" s="31" t="n">
        <v>0.5</v>
      </c>
      <c r="B1322" s="31" t="n">
        <v>0.4</v>
      </c>
      <c r="C1322" s="31" t="n">
        <v>0.1</v>
      </c>
      <c r="D1322" s="31" t="n">
        <v>0</v>
      </c>
      <c r="E1322" s="27" t="inlineStr">
        <is>
          <t>ON 50%/1M 40%/2M 10%</t>
        </is>
      </c>
      <c r="F1322" s="27" t="n">
        <v>25</v>
      </c>
      <c r="G1322" s="27">
        <f>A1322*$B$7&gt;=$B$9</f>
        <v/>
      </c>
      <c r="H1322" s="13">
        <f>$B$7*(A1322*E$71+B1322*F$71+C1322*G$71+D1322*H$71)+F1322/100*$B$7*J$71-$C$71</f>
        <v/>
      </c>
      <c r="I1322" s="13">
        <f>$B$7*(A1322*L$71+B1322*M$71+C1322*N$71+D1322*O$71)+F1322/100*$B$7*Q$71-$C$71</f>
        <v/>
      </c>
      <c r="J1322" s="13">
        <f>$B$7*(A1322*S$71+B1322*T$71+C1322*U$71+D1322*V$71)+F1322/100*$B$7*X$71-$C$71</f>
        <v/>
      </c>
      <c r="K1322" s="13">
        <f>$B$7*(A1322*Z$71+B1322*AA$71+C1322*AB$71+D1322*AC$71)+F1322/100*$B$7*AE$71-$C$71</f>
        <v/>
      </c>
      <c r="L1322" s="13">
        <f>$B$7*(A1322*AG$71+B1322*AH$71+C1322*AI$71+D1322*AJ$71)+F1322/100*$B$7*AL$71-$C$71</f>
        <v/>
      </c>
      <c r="M1322" s="13">
        <f>$B$7*(A1322*AN$71+B1322*AO$71+C1322*AP$71+D1322*AQ$71)+F1322/100*$B$7*AS$71-$C$71</f>
        <v/>
      </c>
      <c r="N1322" s="13">
        <f>SUMPRODUCT($H$24:$M$24,H1322:M1322)</f>
        <v/>
      </c>
      <c r="O1322" s="14">
        <f>SQRT(SUMPRODUCT($H$24:$M$24,(H1322:M1322-N1322)^2))</f>
        <v/>
      </c>
      <c r="P1322" s="13">
        <f>MIN(H1322:M1322)</f>
        <v/>
      </c>
      <c r="Q1322" s="13">
        <f>MAX(H1322:M1322)</f>
        <v/>
      </c>
      <c r="R1322" s="27">
        <f>IF(G1322,SUMPRODUCT(($G$76:$G$1505)*($N$76:$N$1505&gt;=N1322)*($O$76:$O$1505&lt;=O1322))=1,FALSE)</f>
        <v/>
      </c>
      <c r="S1322" s="16">
        <f>IF(R1322,ABS((O1322-$AC$76)/MAX(0.0001,$AC$77-$AC$76)-(N1322-$AC$78)/MAX(0.0001,$AC$79-$AC$78)),-1)</f>
        <v/>
      </c>
      <c r="T1322" s="14">
        <f>IF(G1322,O1322,NA())</f>
        <v/>
      </c>
      <c r="U1322" s="13">
        <f>IF(G1322,N1322,NA())</f>
        <v/>
      </c>
      <c r="V1322" s="14">
        <f>IF(R1322,O1322,NA())</f>
        <v/>
      </c>
      <c r="W1322" s="13">
        <f>IF(R1322,N1322,NA())</f>
        <v/>
      </c>
      <c r="X1322" s="27">
        <f>IF(G1322,P1322,"")</f>
        <v/>
      </c>
      <c r="Y1322" s="27">
        <f>IF(G1322,N1322,"")</f>
        <v/>
      </c>
      <c r="Z1322" s="27">
        <f>IF(R1322,O1322,"")</f>
        <v/>
      </c>
      <c r="AA1322" s="27">
        <f>IF(R1322,N1322,"")</f>
        <v/>
      </c>
    </row>
    <row r="1323">
      <c r="A1323" s="31" t="n">
        <v>0.5</v>
      </c>
      <c r="B1323" s="31" t="n">
        <v>0.4</v>
      </c>
      <c r="C1323" s="31" t="n">
        <v>0.1</v>
      </c>
      <c r="D1323" s="31" t="n">
        <v>0</v>
      </c>
      <c r="E1323" s="27" t="inlineStr">
        <is>
          <t>ON 50%/1M 40%/2M 10%</t>
        </is>
      </c>
      <c r="F1323" s="27" t="n">
        <v>50</v>
      </c>
      <c r="G1323" s="27">
        <f>A1323*$B$7&gt;=$B$9</f>
        <v/>
      </c>
      <c r="H1323" s="13">
        <f>$B$7*(A1323*E$71+B1323*F$71+C1323*G$71+D1323*H$71)+F1323/100*$B$7*J$71-$C$71</f>
        <v/>
      </c>
      <c r="I1323" s="13">
        <f>$B$7*(A1323*L$71+B1323*M$71+C1323*N$71+D1323*O$71)+F1323/100*$B$7*Q$71-$C$71</f>
        <v/>
      </c>
      <c r="J1323" s="13">
        <f>$B$7*(A1323*S$71+B1323*T$71+C1323*U$71+D1323*V$71)+F1323/100*$B$7*X$71-$C$71</f>
        <v/>
      </c>
      <c r="K1323" s="13">
        <f>$B$7*(A1323*Z$71+B1323*AA$71+C1323*AB$71+D1323*AC$71)+F1323/100*$B$7*AE$71-$C$71</f>
        <v/>
      </c>
      <c r="L1323" s="13">
        <f>$B$7*(A1323*AG$71+B1323*AH$71+C1323*AI$71+D1323*AJ$71)+F1323/100*$B$7*AL$71-$C$71</f>
        <v/>
      </c>
      <c r="M1323" s="13">
        <f>$B$7*(A1323*AN$71+B1323*AO$71+C1323*AP$71+D1323*AQ$71)+F1323/100*$B$7*AS$71-$C$71</f>
        <v/>
      </c>
      <c r="N1323" s="13">
        <f>SUMPRODUCT($H$24:$M$24,H1323:M1323)</f>
        <v/>
      </c>
      <c r="O1323" s="14">
        <f>SQRT(SUMPRODUCT($H$24:$M$24,(H1323:M1323-N1323)^2))</f>
        <v/>
      </c>
      <c r="P1323" s="13">
        <f>MIN(H1323:M1323)</f>
        <v/>
      </c>
      <c r="Q1323" s="13">
        <f>MAX(H1323:M1323)</f>
        <v/>
      </c>
      <c r="R1323" s="27">
        <f>IF(G1323,SUMPRODUCT(($G$76:$G$1505)*($N$76:$N$1505&gt;=N1323)*($O$76:$O$1505&lt;=O1323))=1,FALSE)</f>
        <v/>
      </c>
      <c r="S1323" s="16">
        <f>IF(R1323,ABS((O1323-$AC$76)/MAX(0.0001,$AC$77-$AC$76)-(N1323-$AC$78)/MAX(0.0001,$AC$79-$AC$78)),-1)</f>
        <v/>
      </c>
      <c r="T1323" s="14">
        <f>IF(G1323,O1323,NA())</f>
        <v/>
      </c>
      <c r="U1323" s="13">
        <f>IF(G1323,N1323,NA())</f>
        <v/>
      </c>
      <c r="V1323" s="14">
        <f>IF(R1323,O1323,NA())</f>
        <v/>
      </c>
      <c r="W1323" s="13">
        <f>IF(R1323,N1323,NA())</f>
        <v/>
      </c>
      <c r="X1323" s="27">
        <f>IF(G1323,P1323,"")</f>
        <v/>
      </c>
      <c r="Y1323" s="27">
        <f>IF(G1323,N1323,"")</f>
        <v/>
      </c>
      <c r="Z1323" s="27">
        <f>IF(R1323,O1323,"")</f>
        <v/>
      </c>
      <c r="AA1323" s="27">
        <f>IF(R1323,N1323,"")</f>
        <v/>
      </c>
    </row>
    <row r="1324">
      <c r="A1324" s="31" t="n">
        <v>0.5</v>
      </c>
      <c r="B1324" s="31" t="n">
        <v>0.4</v>
      </c>
      <c r="C1324" s="31" t="n">
        <v>0.1</v>
      </c>
      <c r="D1324" s="31" t="n">
        <v>0</v>
      </c>
      <c r="E1324" s="27" t="inlineStr">
        <is>
          <t>ON 50%/1M 40%/2M 10%</t>
        </is>
      </c>
      <c r="F1324" s="27" t="n">
        <v>75</v>
      </c>
      <c r="G1324" s="27">
        <f>A1324*$B$7&gt;=$B$9</f>
        <v/>
      </c>
      <c r="H1324" s="13">
        <f>$B$7*(A1324*E$71+B1324*F$71+C1324*G$71+D1324*H$71)+F1324/100*$B$7*J$71-$C$71</f>
        <v/>
      </c>
      <c r="I1324" s="13">
        <f>$B$7*(A1324*L$71+B1324*M$71+C1324*N$71+D1324*O$71)+F1324/100*$B$7*Q$71-$C$71</f>
        <v/>
      </c>
      <c r="J1324" s="13">
        <f>$B$7*(A1324*S$71+B1324*T$71+C1324*U$71+D1324*V$71)+F1324/100*$B$7*X$71-$C$71</f>
        <v/>
      </c>
      <c r="K1324" s="13">
        <f>$B$7*(A1324*Z$71+B1324*AA$71+C1324*AB$71+D1324*AC$71)+F1324/100*$B$7*AE$71-$C$71</f>
        <v/>
      </c>
      <c r="L1324" s="13">
        <f>$B$7*(A1324*AG$71+B1324*AH$71+C1324*AI$71+D1324*AJ$71)+F1324/100*$B$7*AL$71-$C$71</f>
        <v/>
      </c>
      <c r="M1324" s="13">
        <f>$B$7*(A1324*AN$71+B1324*AO$71+C1324*AP$71+D1324*AQ$71)+F1324/100*$B$7*AS$71-$C$71</f>
        <v/>
      </c>
      <c r="N1324" s="13">
        <f>SUMPRODUCT($H$24:$M$24,H1324:M1324)</f>
        <v/>
      </c>
      <c r="O1324" s="14">
        <f>SQRT(SUMPRODUCT($H$24:$M$24,(H1324:M1324-N1324)^2))</f>
        <v/>
      </c>
      <c r="P1324" s="13">
        <f>MIN(H1324:M1324)</f>
        <v/>
      </c>
      <c r="Q1324" s="13">
        <f>MAX(H1324:M1324)</f>
        <v/>
      </c>
      <c r="R1324" s="27">
        <f>IF(G1324,SUMPRODUCT(($G$76:$G$1505)*($N$76:$N$1505&gt;=N1324)*($O$76:$O$1505&lt;=O1324))=1,FALSE)</f>
        <v/>
      </c>
      <c r="S1324" s="16">
        <f>IF(R1324,ABS((O1324-$AC$76)/MAX(0.0001,$AC$77-$AC$76)-(N1324-$AC$78)/MAX(0.0001,$AC$79-$AC$78)),-1)</f>
        <v/>
      </c>
      <c r="T1324" s="14">
        <f>IF(G1324,O1324,NA())</f>
        <v/>
      </c>
      <c r="U1324" s="13">
        <f>IF(G1324,N1324,NA())</f>
        <v/>
      </c>
      <c r="V1324" s="14">
        <f>IF(R1324,O1324,NA())</f>
        <v/>
      </c>
      <c r="W1324" s="13">
        <f>IF(R1324,N1324,NA())</f>
        <v/>
      </c>
      <c r="X1324" s="27">
        <f>IF(G1324,P1324,"")</f>
        <v/>
      </c>
      <c r="Y1324" s="27">
        <f>IF(G1324,N1324,"")</f>
        <v/>
      </c>
      <c r="Z1324" s="27">
        <f>IF(R1324,O1324,"")</f>
        <v/>
      </c>
      <c r="AA1324" s="27">
        <f>IF(R1324,N1324,"")</f>
        <v/>
      </c>
    </row>
    <row r="1325">
      <c r="A1325" s="31" t="n">
        <v>0.5</v>
      </c>
      <c r="B1325" s="31" t="n">
        <v>0.4</v>
      </c>
      <c r="C1325" s="31" t="n">
        <v>0.1</v>
      </c>
      <c r="D1325" s="31" t="n">
        <v>0</v>
      </c>
      <c r="E1325" s="27" t="inlineStr">
        <is>
          <t>ON 50%/1M 40%/2M 10%</t>
        </is>
      </c>
      <c r="F1325" s="27" t="n">
        <v>100</v>
      </c>
      <c r="G1325" s="27">
        <f>A1325*$B$7&gt;=$B$9</f>
        <v/>
      </c>
      <c r="H1325" s="13">
        <f>$B$7*(A1325*E$71+B1325*F$71+C1325*G$71+D1325*H$71)+F1325/100*$B$7*J$71-$C$71</f>
        <v/>
      </c>
      <c r="I1325" s="13">
        <f>$B$7*(A1325*L$71+B1325*M$71+C1325*N$71+D1325*O$71)+F1325/100*$B$7*Q$71-$C$71</f>
        <v/>
      </c>
      <c r="J1325" s="13">
        <f>$B$7*(A1325*S$71+B1325*T$71+C1325*U$71+D1325*V$71)+F1325/100*$B$7*X$71-$C$71</f>
        <v/>
      </c>
      <c r="K1325" s="13">
        <f>$B$7*(A1325*Z$71+B1325*AA$71+C1325*AB$71+D1325*AC$71)+F1325/100*$B$7*AE$71-$C$71</f>
        <v/>
      </c>
      <c r="L1325" s="13">
        <f>$B$7*(A1325*AG$71+B1325*AH$71+C1325*AI$71+D1325*AJ$71)+F1325/100*$B$7*AL$71-$C$71</f>
        <v/>
      </c>
      <c r="M1325" s="13">
        <f>$B$7*(A1325*AN$71+B1325*AO$71+C1325*AP$71+D1325*AQ$71)+F1325/100*$B$7*AS$71-$C$71</f>
        <v/>
      </c>
      <c r="N1325" s="13">
        <f>SUMPRODUCT($H$24:$M$24,H1325:M1325)</f>
        <v/>
      </c>
      <c r="O1325" s="14">
        <f>SQRT(SUMPRODUCT($H$24:$M$24,(H1325:M1325-N1325)^2))</f>
        <v/>
      </c>
      <c r="P1325" s="13">
        <f>MIN(H1325:M1325)</f>
        <v/>
      </c>
      <c r="Q1325" s="13">
        <f>MAX(H1325:M1325)</f>
        <v/>
      </c>
      <c r="R1325" s="27">
        <f>IF(G1325,SUMPRODUCT(($G$76:$G$1505)*($N$76:$N$1505&gt;=N1325)*($O$76:$O$1505&lt;=O1325))=1,FALSE)</f>
        <v/>
      </c>
      <c r="S1325" s="16">
        <f>IF(R1325,ABS((O1325-$AC$76)/MAX(0.0001,$AC$77-$AC$76)-(N1325-$AC$78)/MAX(0.0001,$AC$79-$AC$78)),-1)</f>
        <v/>
      </c>
      <c r="T1325" s="14">
        <f>IF(G1325,O1325,NA())</f>
        <v/>
      </c>
      <c r="U1325" s="13">
        <f>IF(G1325,N1325,NA())</f>
        <v/>
      </c>
      <c r="V1325" s="14">
        <f>IF(R1325,O1325,NA())</f>
        <v/>
      </c>
      <c r="W1325" s="13">
        <f>IF(R1325,N1325,NA())</f>
        <v/>
      </c>
      <c r="X1325" s="27">
        <f>IF(G1325,P1325,"")</f>
        <v/>
      </c>
      <c r="Y1325" s="27">
        <f>IF(G1325,N1325,"")</f>
        <v/>
      </c>
      <c r="Z1325" s="27">
        <f>IF(R1325,O1325,"")</f>
        <v/>
      </c>
      <c r="AA1325" s="27">
        <f>IF(R1325,N1325,"")</f>
        <v/>
      </c>
    </row>
    <row r="1326">
      <c r="A1326" s="31" t="n">
        <v>0.5</v>
      </c>
      <c r="B1326" s="31" t="n">
        <v>0.5</v>
      </c>
      <c r="C1326" s="31" t="n">
        <v>0</v>
      </c>
      <c r="D1326" s="31" t="n">
        <v>0</v>
      </c>
      <c r="E1326" s="27" t="inlineStr">
        <is>
          <t>ON 50%/1M 50%</t>
        </is>
      </c>
      <c r="F1326" s="27" t="n">
        <v>0</v>
      </c>
      <c r="G1326" s="27">
        <f>A1326*$B$7&gt;=$B$9</f>
        <v/>
      </c>
      <c r="H1326" s="13">
        <f>$B$7*(A1326*E$71+B1326*F$71+C1326*G$71+D1326*H$71)+F1326/100*$B$7*J$71-$C$71</f>
        <v/>
      </c>
      <c r="I1326" s="13">
        <f>$B$7*(A1326*L$71+B1326*M$71+C1326*N$71+D1326*O$71)+F1326/100*$B$7*Q$71-$C$71</f>
        <v/>
      </c>
      <c r="J1326" s="13">
        <f>$B$7*(A1326*S$71+B1326*T$71+C1326*U$71+D1326*V$71)+F1326/100*$B$7*X$71-$C$71</f>
        <v/>
      </c>
      <c r="K1326" s="13">
        <f>$B$7*(A1326*Z$71+B1326*AA$71+C1326*AB$71+D1326*AC$71)+F1326/100*$B$7*AE$71-$C$71</f>
        <v/>
      </c>
      <c r="L1326" s="13">
        <f>$B$7*(A1326*AG$71+B1326*AH$71+C1326*AI$71+D1326*AJ$71)+F1326/100*$B$7*AL$71-$C$71</f>
        <v/>
      </c>
      <c r="M1326" s="13">
        <f>$B$7*(A1326*AN$71+B1326*AO$71+C1326*AP$71+D1326*AQ$71)+F1326/100*$B$7*AS$71-$C$71</f>
        <v/>
      </c>
      <c r="N1326" s="13">
        <f>SUMPRODUCT($H$24:$M$24,H1326:M1326)</f>
        <v/>
      </c>
      <c r="O1326" s="14">
        <f>SQRT(SUMPRODUCT($H$24:$M$24,(H1326:M1326-N1326)^2))</f>
        <v/>
      </c>
      <c r="P1326" s="13">
        <f>MIN(H1326:M1326)</f>
        <v/>
      </c>
      <c r="Q1326" s="13">
        <f>MAX(H1326:M1326)</f>
        <v/>
      </c>
      <c r="R1326" s="27">
        <f>IF(G1326,SUMPRODUCT(($G$76:$G$1505)*($N$76:$N$1505&gt;=N1326)*($O$76:$O$1505&lt;=O1326))=1,FALSE)</f>
        <v/>
      </c>
      <c r="S1326" s="16">
        <f>IF(R1326,ABS((O1326-$AC$76)/MAX(0.0001,$AC$77-$AC$76)-(N1326-$AC$78)/MAX(0.0001,$AC$79-$AC$78)),-1)</f>
        <v/>
      </c>
      <c r="T1326" s="14">
        <f>IF(G1326,O1326,NA())</f>
        <v/>
      </c>
      <c r="U1326" s="13">
        <f>IF(G1326,N1326,NA())</f>
        <v/>
      </c>
      <c r="V1326" s="14">
        <f>IF(R1326,O1326,NA())</f>
        <v/>
      </c>
      <c r="W1326" s="13">
        <f>IF(R1326,N1326,NA())</f>
        <v/>
      </c>
      <c r="X1326" s="27">
        <f>IF(G1326,P1326,"")</f>
        <v/>
      </c>
      <c r="Y1326" s="27">
        <f>IF(G1326,N1326,"")</f>
        <v/>
      </c>
      <c r="Z1326" s="27">
        <f>IF(R1326,O1326,"")</f>
        <v/>
      </c>
      <c r="AA1326" s="27">
        <f>IF(R1326,N1326,"")</f>
        <v/>
      </c>
    </row>
    <row r="1327">
      <c r="A1327" s="31" t="n">
        <v>0.5</v>
      </c>
      <c r="B1327" s="31" t="n">
        <v>0.5</v>
      </c>
      <c r="C1327" s="31" t="n">
        <v>0</v>
      </c>
      <c r="D1327" s="31" t="n">
        <v>0</v>
      </c>
      <c r="E1327" s="27" t="inlineStr">
        <is>
          <t>ON 50%/1M 50%</t>
        </is>
      </c>
      <c r="F1327" s="27" t="n">
        <v>25</v>
      </c>
      <c r="G1327" s="27">
        <f>A1327*$B$7&gt;=$B$9</f>
        <v/>
      </c>
      <c r="H1327" s="13">
        <f>$B$7*(A1327*E$71+B1327*F$71+C1327*G$71+D1327*H$71)+F1327/100*$B$7*J$71-$C$71</f>
        <v/>
      </c>
      <c r="I1327" s="13">
        <f>$B$7*(A1327*L$71+B1327*M$71+C1327*N$71+D1327*O$71)+F1327/100*$B$7*Q$71-$C$71</f>
        <v/>
      </c>
      <c r="J1327" s="13">
        <f>$B$7*(A1327*S$71+B1327*T$71+C1327*U$71+D1327*V$71)+F1327/100*$B$7*X$71-$C$71</f>
        <v/>
      </c>
      <c r="K1327" s="13">
        <f>$B$7*(A1327*Z$71+B1327*AA$71+C1327*AB$71+D1327*AC$71)+F1327/100*$B$7*AE$71-$C$71</f>
        <v/>
      </c>
      <c r="L1327" s="13">
        <f>$B$7*(A1327*AG$71+B1327*AH$71+C1327*AI$71+D1327*AJ$71)+F1327/100*$B$7*AL$71-$C$71</f>
        <v/>
      </c>
      <c r="M1327" s="13">
        <f>$B$7*(A1327*AN$71+B1327*AO$71+C1327*AP$71+D1327*AQ$71)+F1327/100*$B$7*AS$71-$C$71</f>
        <v/>
      </c>
      <c r="N1327" s="13">
        <f>SUMPRODUCT($H$24:$M$24,H1327:M1327)</f>
        <v/>
      </c>
      <c r="O1327" s="14">
        <f>SQRT(SUMPRODUCT($H$24:$M$24,(H1327:M1327-N1327)^2))</f>
        <v/>
      </c>
      <c r="P1327" s="13">
        <f>MIN(H1327:M1327)</f>
        <v/>
      </c>
      <c r="Q1327" s="13">
        <f>MAX(H1327:M1327)</f>
        <v/>
      </c>
      <c r="R1327" s="27">
        <f>IF(G1327,SUMPRODUCT(($G$76:$G$1505)*($N$76:$N$1505&gt;=N1327)*($O$76:$O$1505&lt;=O1327))=1,FALSE)</f>
        <v/>
      </c>
      <c r="S1327" s="16">
        <f>IF(R1327,ABS((O1327-$AC$76)/MAX(0.0001,$AC$77-$AC$76)-(N1327-$AC$78)/MAX(0.0001,$AC$79-$AC$78)),-1)</f>
        <v/>
      </c>
      <c r="T1327" s="14">
        <f>IF(G1327,O1327,NA())</f>
        <v/>
      </c>
      <c r="U1327" s="13">
        <f>IF(G1327,N1327,NA())</f>
        <v/>
      </c>
      <c r="V1327" s="14">
        <f>IF(R1327,O1327,NA())</f>
        <v/>
      </c>
      <c r="W1327" s="13">
        <f>IF(R1327,N1327,NA())</f>
        <v/>
      </c>
      <c r="X1327" s="27">
        <f>IF(G1327,P1327,"")</f>
        <v/>
      </c>
      <c r="Y1327" s="27">
        <f>IF(G1327,N1327,"")</f>
        <v/>
      </c>
      <c r="Z1327" s="27">
        <f>IF(R1327,O1327,"")</f>
        <v/>
      </c>
      <c r="AA1327" s="27">
        <f>IF(R1327,N1327,"")</f>
        <v/>
      </c>
    </row>
    <row r="1328">
      <c r="A1328" s="31" t="n">
        <v>0.5</v>
      </c>
      <c r="B1328" s="31" t="n">
        <v>0.5</v>
      </c>
      <c r="C1328" s="31" t="n">
        <v>0</v>
      </c>
      <c r="D1328" s="31" t="n">
        <v>0</v>
      </c>
      <c r="E1328" s="27" t="inlineStr">
        <is>
          <t>ON 50%/1M 50%</t>
        </is>
      </c>
      <c r="F1328" s="27" t="n">
        <v>50</v>
      </c>
      <c r="G1328" s="27">
        <f>A1328*$B$7&gt;=$B$9</f>
        <v/>
      </c>
      <c r="H1328" s="13">
        <f>$B$7*(A1328*E$71+B1328*F$71+C1328*G$71+D1328*H$71)+F1328/100*$B$7*J$71-$C$71</f>
        <v/>
      </c>
      <c r="I1328" s="13">
        <f>$B$7*(A1328*L$71+B1328*M$71+C1328*N$71+D1328*O$71)+F1328/100*$B$7*Q$71-$C$71</f>
        <v/>
      </c>
      <c r="J1328" s="13">
        <f>$B$7*(A1328*S$71+B1328*T$71+C1328*U$71+D1328*V$71)+F1328/100*$B$7*X$71-$C$71</f>
        <v/>
      </c>
      <c r="K1328" s="13">
        <f>$B$7*(A1328*Z$71+B1328*AA$71+C1328*AB$71+D1328*AC$71)+F1328/100*$B$7*AE$71-$C$71</f>
        <v/>
      </c>
      <c r="L1328" s="13">
        <f>$B$7*(A1328*AG$71+B1328*AH$71+C1328*AI$71+D1328*AJ$71)+F1328/100*$B$7*AL$71-$C$71</f>
        <v/>
      </c>
      <c r="M1328" s="13">
        <f>$B$7*(A1328*AN$71+B1328*AO$71+C1328*AP$71+D1328*AQ$71)+F1328/100*$B$7*AS$71-$C$71</f>
        <v/>
      </c>
      <c r="N1328" s="13">
        <f>SUMPRODUCT($H$24:$M$24,H1328:M1328)</f>
        <v/>
      </c>
      <c r="O1328" s="14">
        <f>SQRT(SUMPRODUCT($H$24:$M$24,(H1328:M1328-N1328)^2))</f>
        <v/>
      </c>
      <c r="P1328" s="13">
        <f>MIN(H1328:M1328)</f>
        <v/>
      </c>
      <c r="Q1328" s="13">
        <f>MAX(H1328:M1328)</f>
        <v/>
      </c>
      <c r="R1328" s="27">
        <f>IF(G1328,SUMPRODUCT(($G$76:$G$1505)*($N$76:$N$1505&gt;=N1328)*($O$76:$O$1505&lt;=O1328))=1,FALSE)</f>
        <v/>
      </c>
      <c r="S1328" s="16">
        <f>IF(R1328,ABS((O1328-$AC$76)/MAX(0.0001,$AC$77-$AC$76)-(N1328-$AC$78)/MAX(0.0001,$AC$79-$AC$78)),-1)</f>
        <v/>
      </c>
      <c r="T1328" s="14">
        <f>IF(G1328,O1328,NA())</f>
        <v/>
      </c>
      <c r="U1328" s="13">
        <f>IF(G1328,N1328,NA())</f>
        <v/>
      </c>
      <c r="V1328" s="14">
        <f>IF(R1328,O1328,NA())</f>
        <v/>
      </c>
      <c r="W1328" s="13">
        <f>IF(R1328,N1328,NA())</f>
        <v/>
      </c>
      <c r="X1328" s="27">
        <f>IF(G1328,P1328,"")</f>
        <v/>
      </c>
      <c r="Y1328" s="27">
        <f>IF(G1328,N1328,"")</f>
        <v/>
      </c>
      <c r="Z1328" s="27">
        <f>IF(R1328,O1328,"")</f>
        <v/>
      </c>
      <c r="AA1328" s="27">
        <f>IF(R1328,N1328,"")</f>
        <v/>
      </c>
    </row>
    <row r="1329">
      <c r="A1329" s="31" t="n">
        <v>0.5</v>
      </c>
      <c r="B1329" s="31" t="n">
        <v>0.5</v>
      </c>
      <c r="C1329" s="31" t="n">
        <v>0</v>
      </c>
      <c r="D1329" s="31" t="n">
        <v>0</v>
      </c>
      <c r="E1329" s="27" t="inlineStr">
        <is>
          <t>ON 50%/1M 50%</t>
        </is>
      </c>
      <c r="F1329" s="27" t="n">
        <v>75</v>
      </c>
      <c r="G1329" s="27">
        <f>A1329*$B$7&gt;=$B$9</f>
        <v/>
      </c>
      <c r="H1329" s="13">
        <f>$B$7*(A1329*E$71+B1329*F$71+C1329*G$71+D1329*H$71)+F1329/100*$B$7*J$71-$C$71</f>
        <v/>
      </c>
      <c r="I1329" s="13">
        <f>$B$7*(A1329*L$71+B1329*M$71+C1329*N$71+D1329*O$71)+F1329/100*$B$7*Q$71-$C$71</f>
        <v/>
      </c>
      <c r="J1329" s="13">
        <f>$B$7*(A1329*S$71+B1329*T$71+C1329*U$71+D1329*V$71)+F1329/100*$B$7*X$71-$C$71</f>
        <v/>
      </c>
      <c r="K1329" s="13">
        <f>$B$7*(A1329*Z$71+B1329*AA$71+C1329*AB$71+D1329*AC$71)+F1329/100*$B$7*AE$71-$C$71</f>
        <v/>
      </c>
      <c r="L1329" s="13">
        <f>$B$7*(A1329*AG$71+B1329*AH$71+C1329*AI$71+D1329*AJ$71)+F1329/100*$B$7*AL$71-$C$71</f>
        <v/>
      </c>
      <c r="M1329" s="13">
        <f>$B$7*(A1329*AN$71+B1329*AO$71+C1329*AP$71+D1329*AQ$71)+F1329/100*$B$7*AS$71-$C$71</f>
        <v/>
      </c>
      <c r="N1329" s="13">
        <f>SUMPRODUCT($H$24:$M$24,H1329:M1329)</f>
        <v/>
      </c>
      <c r="O1329" s="14">
        <f>SQRT(SUMPRODUCT($H$24:$M$24,(H1329:M1329-N1329)^2))</f>
        <v/>
      </c>
      <c r="P1329" s="13">
        <f>MIN(H1329:M1329)</f>
        <v/>
      </c>
      <c r="Q1329" s="13">
        <f>MAX(H1329:M1329)</f>
        <v/>
      </c>
      <c r="R1329" s="27">
        <f>IF(G1329,SUMPRODUCT(($G$76:$G$1505)*($N$76:$N$1505&gt;=N1329)*($O$76:$O$1505&lt;=O1329))=1,FALSE)</f>
        <v/>
      </c>
      <c r="S1329" s="16">
        <f>IF(R1329,ABS((O1329-$AC$76)/MAX(0.0001,$AC$77-$AC$76)-(N1329-$AC$78)/MAX(0.0001,$AC$79-$AC$78)),-1)</f>
        <v/>
      </c>
      <c r="T1329" s="14">
        <f>IF(G1329,O1329,NA())</f>
        <v/>
      </c>
      <c r="U1329" s="13">
        <f>IF(G1329,N1329,NA())</f>
        <v/>
      </c>
      <c r="V1329" s="14">
        <f>IF(R1329,O1329,NA())</f>
        <v/>
      </c>
      <c r="W1329" s="13">
        <f>IF(R1329,N1329,NA())</f>
        <v/>
      </c>
      <c r="X1329" s="27">
        <f>IF(G1329,P1329,"")</f>
        <v/>
      </c>
      <c r="Y1329" s="27">
        <f>IF(G1329,N1329,"")</f>
        <v/>
      </c>
      <c r="Z1329" s="27">
        <f>IF(R1329,O1329,"")</f>
        <v/>
      </c>
      <c r="AA1329" s="27">
        <f>IF(R1329,N1329,"")</f>
        <v/>
      </c>
    </row>
    <row r="1330">
      <c r="A1330" s="31" t="n">
        <v>0.5</v>
      </c>
      <c r="B1330" s="31" t="n">
        <v>0.5</v>
      </c>
      <c r="C1330" s="31" t="n">
        <v>0</v>
      </c>
      <c r="D1330" s="31" t="n">
        <v>0</v>
      </c>
      <c r="E1330" s="27" t="inlineStr">
        <is>
          <t>ON 50%/1M 50%</t>
        </is>
      </c>
      <c r="F1330" s="27" t="n">
        <v>100</v>
      </c>
      <c r="G1330" s="27">
        <f>A1330*$B$7&gt;=$B$9</f>
        <v/>
      </c>
      <c r="H1330" s="13">
        <f>$B$7*(A1330*E$71+B1330*F$71+C1330*G$71+D1330*H$71)+F1330/100*$B$7*J$71-$C$71</f>
        <v/>
      </c>
      <c r="I1330" s="13">
        <f>$B$7*(A1330*L$71+B1330*M$71+C1330*N$71+D1330*O$71)+F1330/100*$B$7*Q$71-$C$71</f>
        <v/>
      </c>
      <c r="J1330" s="13">
        <f>$B$7*(A1330*S$71+B1330*T$71+C1330*U$71+D1330*V$71)+F1330/100*$B$7*X$71-$C$71</f>
        <v/>
      </c>
      <c r="K1330" s="13">
        <f>$B$7*(A1330*Z$71+B1330*AA$71+C1330*AB$71+D1330*AC$71)+F1330/100*$B$7*AE$71-$C$71</f>
        <v/>
      </c>
      <c r="L1330" s="13">
        <f>$B$7*(A1330*AG$71+B1330*AH$71+C1330*AI$71+D1330*AJ$71)+F1330/100*$B$7*AL$71-$C$71</f>
        <v/>
      </c>
      <c r="M1330" s="13">
        <f>$B$7*(A1330*AN$71+B1330*AO$71+C1330*AP$71+D1330*AQ$71)+F1330/100*$B$7*AS$71-$C$71</f>
        <v/>
      </c>
      <c r="N1330" s="13">
        <f>SUMPRODUCT($H$24:$M$24,H1330:M1330)</f>
        <v/>
      </c>
      <c r="O1330" s="14">
        <f>SQRT(SUMPRODUCT($H$24:$M$24,(H1330:M1330-N1330)^2))</f>
        <v/>
      </c>
      <c r="P1330" s="13">
        <f>MIN(H1330:M1330)</f>
        <v/>
      </c>
      <c r="Q1330" s="13">
        <f>MAX(H1330:M1330)</f>
        <v/>
      </c>
      <c r="R1330" s="27">
        <f>IF(G1330,SUMPRODUCT(($G$76:$G$1505)*($N$76:$N$1505&gt;=N1330)*($O$76:$O$1505&lt;=O1330))=1,FALSE)</f>
        <v/>
      </c>
      <c r="S1330" s="16">
        <f>IF(R1330,ABS((O1330-$AC$76)/MAX(0.0001,$AC$77-$AC$76)-(N1330-$AC$78)/MAX(0.0001,$AC$79-$AC$78)),-1)</f>
        <v/>
      </c>
      <c r="T1330" s="14">
        <f>IF(G1330,O1330,NA())</f>
        <v/>
      </c>
      <c r="U1330" s="13">
        <f>IF(G1330,N1330,NA())</f>
        <v/>
      </c>
      <c r="V1330" s="14">
        <f>IF(R1330,O1330,NA())</f>
        <v/>
      </c>
      <c r="W1330" s="13">
        <f>IF(R1330,N1330,NA())</f>
        <v/>
      </c>
      <c r="X1330" s="27">
        <f>IF(G1330,P1330,"")</f>
        <v/>
      </c>
      <c r="Y1330" s="27">
        <f>IF(G1330,N1330,"")</f>
        <v/>
      </c>
      <c r="Z1330" s="27">
        <f>IF(R1330,O1330,"")</f>
        <v/>
      </c>
      <c r="AA1330" s="27">
        <f>IF(R1330,N1330,"")</f>
        <v/>
      </c>
    </row>
    <row r="1331">
      <c r="A1331" s="31" t="n">
        <v>0.6</v>
      </c>
      <c r="B1331" s="31" t="n">
        <v>0</v>
      </c>
      <c r="C1331" s="31" t="n">
        <v>0</v>
      </c>
      <c r="D1331" s="31" t="n">
        <v>0.4</v>
      </c>
      <c r="E1331" s="27" t="inlineStr">
        <is>
          <t>ON 60%/3M 40%</t>
        </is>
      </c>
      <c r="F1331" s="27" t="n">
        <v>0</v>
      </c>
      <c r="G1331" s="27">
        <f>A1331*$B$7&gt;=$B$9</f>
        <v/>
      </c>
      <c r="H1331" s="13">
        <f>$B$7*(A1331*E$71+B1331*F$71+C1331*G$71+D1331*H$71)+F1331/100*$B$7*J$71-$C$71</f>
        <v/>
      </c>
      <c r="I1331" s="13">
        <f>$B$7*(A1331*L$71+B1331*M$71+C1331*N$71+D1331*O$71)+F1331/100*$B$7*Q$71-$C$71</f>
        <v/>
      </c>
      <c r="J1331" s="13">
        <f>$B$7*(A1331*S$71+B1331*T$71+C1331*U$71+D1331*V$71)+F1331/100*$B$7*X$71-$C$71</f>
        <v/>
      </c>
      <c r="K1331" s="13">
        <f>$B$7*(A1331*Z$71+B1331*AA$71+C1331*AB$71+D1331*AC$71)+F1331/100*$B$7*AE$71-$C$71</f>
        <v/>
      </c>
      <c r="L1331" s="13">
        <f>$B$7*(A1331*AG$71+B1331*AH$71+C1331*AI$71+D1331*AJ$71)+F1331/100*$B$7*AL$71-$C$71</f>
        <v/>
      </c>
      <c r="M1331" s="13">
        <f>$B$7*(A1331*AN$71+B1331*AO$71+C1331*AP$71+D1331*AQ$71)+F1331/100*$B$7*AS$71-$C$71</f>
        <v/>
      </c>
      <c r="N1331" s="13">
        <f>SUMPRODUCT($H$24:$M$24,H1331:M1331)</f>
        <v/>
      </c>
      <c r="O1331" s="14">
        <f>SQRT(SUMPRODUCT($H$24:$M$24,(H1331:M1331-N1331)^2))</f>
        <v/>
      </c>
      <c r="P1331" s="13">
        <f>MIN(H1331:M1331)</f>
        <v/>
      </c>
      <c r="Q1331" s="13">
        <f>MAX(H1331:M1331)</f>
        <v/>
      </c>
      <c r="R1331" s="27">
        <f>IF(G1331,SUMPRODUCT(($G$76:$G$1505)*($N$76:$N$1505&gt;=N1331)*($O$76:$O$1505&lt;=O1331))=1,FALSE)</f>
        <v/>
      </c>
      <c r="S1331" s="16">
        <f>IF(R1331,ABS((O1331-$AC$76)/MAX(0.0001,$AC$77-$AC$76)-(N1331-$AC$78)/MAX(0.0001,$AC$79-$AC$78)),-1)</f>
        <v/>
      </c>
      <c r="T1331" s="14">
        <f>IF(G1331,O1331,NA())</f>
        <v/>
      </c>
      <c r="U1331" s="13">
        <f>IF(G1331,N1331,NA())</f>
        <v/>
      </c>
      <c r="V1331" s="14">
        <f>IF(R1331,O1331,NA())</f>
        <v/>
      </c>
      <c r="W1331" s="13">
        <f>IF(R1331,N1331,NA())</f>
        <v/>
      </c>
      <c r="X1331" s="27">
        <f>IF(G1331,P1331,"")</f>
        <v/>
      </c>
      <c r="Y1331" s="27">
        <f>IF(G1331,N1331,"")</f>
        <v/>
      </c>
      <c r="Z1331" s="27">
        <f>IF(R1331,O1331,"")</f>
        <v/>
      </c>
      <c r="AA1331" s="27">
        <f>IF(R1331,N1331,"")</f>
        <v/>
      </c>
    </row>
    <row r="1332">
      <c r="A1332" s="31" t="n">
        <v>0.6</v>
      </c>
      <c r="B1332" s="31" t="n">
        <v>0</v>
      </c>
      <c r="C1332" s="31" t="n">
        <v>0</v>
      </c>
      <c r="D1332" s="31" t="n">
        <v>0.4</v>
      </c>
      <c r="E1332" s="27" t="inlineStr">
        <is>
          <t>ON 60%/3M 40%</t>
        </is>
      </c>
      <c r="F1332" s="27" t="n">
        <v>25</v>
      </c>
      <c r="G1332" s="27">
        <f>A1332*$B$7&gt;=$B$9</f>
        <v/>
      </c>
      <c r="H1332" s="13">
        <f>$B$7*(A1332*E$71+B1332*F$71+C1332*G$71+D1332*H$71)+F1332/100*$B$7*J$71-$C$71</f>
        <v/>
      </c>
      <c r="I1332" s="13">
        <f>$B$7*(A1332*L$71+B1332*M$71+C1332*N$71+D1332*O$71)+F1332/100*$B$7*Q$71-$C$71</f>
        <v/>
      </c>
      <c r="J1332" s="13">
        <f>$B$7*(A1332*S$71+B1332*T$71+C1332*U$71+D1332*V$71)+F1332/100*$B$7*X$71-$C$71</f>
        <v/>
      </c>
      <c r="K1332" s="13">
        <f>$B$7*(A1332*Z$71+B1332*AA$71+C1332*AB$71+D1332*AC$71)+F1332/100*$B$7*AE$71-$C$71</f>
        <v/>
      </c>
      <c r="L1332" s="13">
        <f>$B$7*(A1332*AG$71+B1332*AH$71+C1332*AI$71+D1332*AJ$71)+F1332/100*$B$7*AL$71-$C$71</f>
        <v/>
      </c>
      <c r="M1332" s="13">
        <f>$B$7*(A1332*AN$71+B1332*AO$71+C1332*AP$71+D1332*AQ$71)+F1332/100*$B$7*AS$71-$C$71</f>
        <v/>
      </c>
      <c r="N1332" s="13">
        <f>SUMPRODUCT($H$24:$M$24,H1332:M1332)</f>
        <v/>
      </c>
      <c r="O1332" s="14">
        <f>SQRT(SUMPRODUCT($H$24:$M$24,(H1332:M1332-N1332)^2))</f>
        <v/>
      </c>
      <c r="P1332" s="13">
        <f>MIN(H1332:M1332)</f>
        <v/>
      </c>
      <c r="Q1332" s="13">
        <f>MAX(H1332:M1332)</f>
        <v/>
      </c>
      <c r="R1332" s="27">
        <f>IF(G1332,SUMPRODUCT(($G$76:$G$1505)*($N$76:$N$1505&gt;=N1332)*($O$76:$O$1505&lt;=O1332))=1,FALSE)</f>
        <v/>
      </c>
      <c r="S1332" s="16">
        <f>IF(R1332,ABS((O1332-$AC$76)/MAX(0.0001,$AC$77-$AC$76)-(N1332-$AC$78)/MAX(0.0001,$AC$79-$AC$78)),-1)</f>
        <v/>
      </c>
      <c r="T1332" s="14">
        <f>IF(G1332,O1332,NA())</f>
        <v/>
      </c>
      <c r="U1332" s="13">
        <f>IF(G1332,N1332,NA())</f>
        <v/>
      </c>
      <c r="V1332" s="14">
        <f>IF(R1332,O1332,NA())</f>
        <v/>
      </c>
      <c r="W1332" s="13">
        <f>IF(R1332,N1332,NA())</f>
        <v/>
      </c>
      <c r="X1332" s="27">
        <f>IF(G1332,P1332,"")</f>
        <v/>
      </c>
      <c r="Y1332" s="27">
        <f>IF(G1332,N1332,"")</f>
        <v/>
      </c>
      <c r="Z1332" s="27">
        <f>IF(R1332,O1332,"")</f>
        <v/>
      </c>
      <c r="AA1332" s="27">
        <f>IF(R1332,N1332,"")</f>
        <v/>
      </c>
    </row>
    <row r="1333">
      <c r="A1333" s="31" t="n">
        <v>0.6</v>
      </c>
      <c r="B1333" s="31" t="n">
        <v>0</v>
      </c>
      <c r="C1333" s="31" t="n">
        <v>0</v>
      </c>
      <c r="D1333" s="31" t="n">
        <v>0.4</v>
      </c>
      <c r="E1333" s="27" t="inlineStr">
        <is>
          <t>ON 60%/3M 40%</t>
        </is>
      </c>
      <c r="F1333" s="27" t="n">
        <v>50</v>
      </c>
      <c r="G1333" s="27">
        <f>A1333*$B$7&gt;=$B$9</f>
        <v/>
      </c>
      <c r="H1333" s="13">
        <f>$B$7*(A1333*E$71+B1333*F$71+C1333*G$71+D1333*H$71)+F1333/100*$B$7*J$71-$C$71</f>
        <v/>
      </c>
      <c r="I1333" s="13">
        <f>$B$7*(A1333*L$71+B1333*M$71+C1333*N$71+D1333*O$71)+F1333/100*$B$7*Q$71-$C$71</f>
        <v/>
      </c>
      <c r="J1333" s="13">
        <f>$B$7*(A1333*S$71+B1333*T$71+C1333*U$71+D1333*V$71)+F1333/100*$B$7*X$71-$C$71</f>
        <v/>
      </c>
      <c r="K1333" s="13">
        <f>$B$7*(A1333*Z$71+B1333*AA$71+C1333*AB$71+D1333*AC$71)+F1333/100*$B$7*AE$71-$C$71</f>
        <v/>
      </c>
      <c r="L1333" s="13">
        <f>$B$7*(A1333*AG$71+B1333*AH$71+C1333*AI$71+D1333*AJ$71)+F1333/100*$B$7*AL$71-$C$71</f>
        <v/>
      </c>
      <c r="M1333" s="13">
        <f>$B$7*(A1333*AN$71+B1333*AO$71+C1333*AP$71+D1333*AQ$71)+F1333/100*$B$7*AS$71-$C$71</f>
        <v/>
      </c>
      <c r="N1333" s="13">
        <f>SUMPRODUCT($H$24:$M$24,H1333:M1333)</f>
        <v/>
      </c>
      <c r="O1333" s="14">
        <f>SQRT(SUMPRODUCT($H$24:$M$24,(H1333:M1333-N1333)^2))</f>
        <v/>
      </c>
      <c r="P1333" s="13">
        <f>MIN(H1333:M1333)</f>
        <v/>
      </c>
      <c r="Q1333" s="13">
        <f>MAX(H1333:M1333)</f>
        <v/>
      </c>
      <c r="R1333" s="27">
        <f>IF(G1333,SUMPRODUCT(($G$76:$G$1505)*($N$76:$N$1505&gt;=N1333)*($O$76:$O$1505&lt;=O1333))=1,FALSE)</f>
        <v/>
      </c>
      <c r="S1333" s="16">
        <f>IF(R1333,ABS((O1333-$AC$76)/MAX(0.0001,$AC$77-$AC$76)-(N1333-$AC$78)/MAX(0.0001,$AC$79-$AC$78)),-1)</f>
        <v/>
      </c>
      <c r="T1333" s="14">
        <f>IF(G1333,O1333,NA())</f>
        <v/>
      </c>
      <c r="U1333" s="13">
        <f>IF(G1333,N1333,NA())</f>
        <v/>
      </c>
      <c r="V1333" s="14">
        <f>IF(R1333,O1333,NA())</f>
        <v/>
      </c>
      <c r="W1333" s="13">
        <f>IF(R1333,N1333,NA())</f>
        <v/>
      </c>
      <c r="X1333" s="27">
        <f>IF(G1333,P1333,"")</f>
        <v/>
      </c>
      <c r="Y1333" s="27">
        <f>IF(G1333,N1333,"")</f>
        <v/>
      </c>
      <c r="Z1333" s="27">
        <f>IF(R1333,O1333,"")</f>
        <v/>
      </c>
      <c r="AA1333" s="27">
        <f>IF(R1333,N1333,"")</f>
        <v/>
      </c>
    </row>
    <row r="1334">
      <c r="A1334" s="31" t="n">
        <v>0.6</v>
      </c>
      <c r="B1334" s="31" t="n">
        <v>0</v>
      </c>
      <c r="C1334" s="31" t="n">
        <v>0</v>
      </c>
      <c r="D1334" s="31" t="n">
        <v>0.4</v>
      </c>
      <c r="E1334" s="27" t="inlineStr">
        <is>
          <t>ON 60%/3M 40%</t>
        </is>
      </c>
      <c r="F1334" s="27" t="n">
        <v>75</v>
      </c>
      <c r="G1334" s="27">
        <f>A1334*$B$7&gt;=$B$9</f>
        <v/>
      </c>
      <c r="H1334" s="13">
        <f>$B$7*(A1334*E$71+B1334*F$71+C1334*G$71+D1334*H$71)+F1334/100*$B$7*J$71-$C$71</f>
        <v/>
      </c>
      <c r="I1334" s="13">
        <f>$B$7*(A1334*L$71+B1334*M$71+C1334*N$71+D1334*O$71)+F1334/100*$B$7*Q$71-$C$71</f>
        <v/>
      </c>
      <c r="J1334" s="13">
        <f>$B$7*(A1334*S$71+B1334*T$71+C1334*U$71+D1334*V$71)+F1334/100*$B$7*X$71-$C$71</f>
        <v/>
      </c>
      <c r="K1334" s="13">
        <f>$B$7*(A1334*Z$71+B1334*AA$71+C1334*AB$71+D1334*AC$71)+F1334/100*$B$7*AE$71-$C$71</f>
        <v/>
      </c>
      <c r="L1334" s="13">
        <f>$B$7*(A1334*AG$71+B1334*AH$71+C1334*AI$71+D1334*AJ$71)+F1334/100*$B$7*AL$71-$C$71</f>
        <v/>
      </c>
      <c r="M1334" s="13">
        <f>$B$7*(A1334*AN$71+B1334*AO$71+C1334*AP$71+D1334*AQ$71)+F1334/100*$B$7*AS$71-$C$71</f>
        <v/>
      </c>
      <c r="N1334" s="13">
        <f>SUMPRODUCT($H$24:$M$24,H1334:M1334)</f>
        <v/>
      </c>
      <c r="O1334" s="14">
        <f>SQRT(SUMPRODUCT($H$24:$M$24,(H1334:M1334-N1334)^2))</f>
        <v/>
      </c>
      <c r="P1334" s="13">
        <f>MIN(H1334:M1334)</f>
        <v/>
      </c>
      <c r="Q1334" s="13">
        <f>MAX(H1334:M1334)</f>
        <v/>
      </c>
      <c r="R1334" s="27">
        <f>IF(G1334,SUMPRODUCT(($G$76:$G$1505)*($N$76:$N$1505&gt;=N1334)*($O$76:$O$1505&lt;=O1334))=1,FALSE)</f>
        <v/>
      </c>
      <c r="S1334" s="16">
        <f>IF(R1334,ABS((O1334-$AC$76)/MAX(0.0001,$AC$77-$AC$76)-(N1334-$AC$78)/MAX(0.0001,$AC$79-$AC$78)),-1)</f>
        <v/>
      </c>
      <c r="T1334" s="14">
        <f>IF(G1334,O1334,NA())</f>
        <v/>
      </c>
      <c r="U1334" s="13">
        <f>IF(G1334,N1334,NA())</f>
        <v/>
      </c>
      <c r="V1334" s="14">
        <f>IF(R1334,O1334,NA())</f>
        <v/>
      </c>
      <c r="W1334" s="13">
        <f>IF(R1334,N1334,NA())</f>
        <v/>
      </c>
      <c r="X1334" s="27">
        <f>IF(G1334,P1334,"")</f>
        <v/>
      </c>
      <c r="Y1334" s="27">
        <f>IF(G1334,N1334,"")</f>
        <v/>
      </c>
      <c r="Z1334" s="27">
        <f>IF(R1334,O1334,"")</f>
        <v/>
      </c>
      <c r="AA1334" s="27">
        <f>IF(R1334,N1334,"")</f>
        <v/>
      </c>
    </row>
    <row r="1335">
      <c r="A1335" s="31" t="n">
        <v>0.6</v>
      </c>
      <c r="B1335" s="31" t="n">
        <v>0</v>
      </c>
      <c r="C1335" s="31" t="n">
        <v>0</v>
      </c>
      <c r="D1335" s="31" t="n">
        <v>0.4</v>
      </c>
      <c r="E1335" s="27" t="inlineStr">
        <is>
          <t>ON 60%/3M 40%</t>
        </is>
      </c>
      <c r="F1335" s="27" t="n">
        <v>100</v>
      </c>
      <c r="G1335" s="27">
        <f>A1335*$B$7&gt;=$B$9</f>
        <v/>
      </c>
      <c r="H1335" s="13">
        <f>$B$7*(A1335*E$71+B1335*F$71+C1335*G$71+D1335*H$71)+F1335/100*$B$7*J$71-$C$71</f>
        <v/>
      </c>
      <c r="I1335" s="13">
        <f>$B$7*(A1335*L$71+B1335*M$71+C1335*N$71+D1335*O$71)+F1335/100*$B$7*Q$71-$C$71</f>
        <v/>
      </c>
      <c r="J1335" s="13">
        <f>$B$7*(A1335*S$71+B1335*T$71+C1335*U$71+D1335*V$71)+F1335/100*$B$7*X$71-$C$71</f>
        <v/>
      </c>
      <c r="K1335" s="13">
        <f>$B$7*(A1335*Z$71+B1335*AA$71+C1335*AB$71+D1335*AC$71)+F1335/100*$B$7*AE$71-$C$71</f>
        <v/>
      </c>
      <c r="L1335" s="13">
        <f>$B$7*(A1335*AG$71+B1335*AH$71+C1335*AI$71+D1335*AJ$71)+F1335/100*$B$7*AL$71-$C$71</f>
        <v/>
      </c>
      <c r="M1335" s="13">
        <f>$B$7*(A1335*AN$71+B1335*AO$71+C1335*AP$71+D1335*AQ$71)+F1335/100*$B$7*AS$71-$C$71</f>
        <v/>
      </c>
      <c r="N1335" s="13">
        <f>SUMPRODUCT($H$24:$M$24,H1335:M1335)</f>
        <v/>
      </c>
      <c r="O1335" s="14">
        <f>SQRT(SUMPRODUCT($H$24:$M$24,(H1335:M1335-N1335)^2))</f>
        <v/>
      </c>
      <c r="P1335" s="13">
        <f>MIN(H1335:M1335)</f>
        <v/>
      </c>
      <c r="Q1335" s="13">
        <f>MAX(H1335:M1335)</f>
        <v/>
      </c>
      <c r="R1335" s="27">
        <f>IF(G1335,SUMPRODUCT(($G$76:$G$1505)*($N$76:$N$1505&gt;=N1335)*($O$76:$O$1505&lt;=O1335))=1,FALSE)</f>
        <v/>
      </c>
      <c r="S1335" s="16">
        <f>IF(R1335,ABS((O1335-$AC$76)/MAX(0.0001,$AC$77-$AC$76)-(N1335-$AC$78)/MAX(0.0001,$AC$79-$AC$78)),-1)</f>
        <v/>
      </c>
      <c r="T1335" s="14">
        <f>IF(G1335,O1335,NA())</f>
        <v/>
      </c>
      <c r="U1335" s="13">
        <f>IF(G1335,N1335,NA())</f>
        <v/>
      </c>
      <c r="V1335" s="14">
        <f>IF(R1335,O1335,NA())</f>
        <v/>
      </c>
      <c r="W1335" s="13">
        <f>IF(R1335,N1335,NA())</f>
        <v/>
      </c>
      <c r="X1335" s="27">
        <f>IF(G1335,P1335,"")</f>
        <v/>
      </c>
      <c r="Y1335" s="27">
        <f>IF(G1335,N1335,"")</f>
        <v/>
      </c>
      <c r="Z1335" s="27">
        <f>IF(R1335,O1335,"")</f>
        <v/>
      </c>
      <c r="AA1335" s="27">
        <f>IF(R1335,N1335,"")</f>
        <v/>
      </c>
    </row>
    <row r="1336">
      <c r="A1336" s="31" t="n">
        <v>0.6</v>
      </c>
      <c r="B1336" s="31" t="n">
        <v>0</v>
      </c>
      <c r="C1336" s="31" t="n">
        <v>0.1</v>
      </c>
      <c r="D1336" s="31" t="n">
        <v>0.3</v>
      </c>
      <c r="E1336" s="27" t="inlineStr">
        <is>
          <t>ON 60%/2M 10%/3M 30%</t>
        </is>
      </c>
      <c r="F1336" s="27" t="n">
        <v>0</v>
      </c>
      <c r="G1336" s="27">
        <f>A1336*$B$7&gt;=$B$9</f>
        <v/>
      </c>
      <c r="H1336" s="13">
        <f>$B$7*(A1336*E$71+B1336*F$71+C1336*G$71+D1336*H$71)+F1336/100*$B$7*J$71-$C$71</f>
        <v/>
      </c>
      <c r="I1336" s="13">
        <f>$B$7*(A1336*L$71+B1336*M$71+C1336*N$71+D1336*O$71)+F1336/100*$B$7*Q$71-$C$71</f>
        <v/>
      </c>
      <c r="J1336" s="13">
        <f>$B$7*(A1336*S$71+B1336*T$71+C1336*U$71+D1336*V$71)+F1336/100*$B$7*X$71-$C$71</f>
        <v/>
      </c>
      <c r="K1336" s="13">
        <f>$B$7*(A1336*Z$71+B1336*AA$71+C1336*AB$71+D1336*AC$71)+F1336/100*$B$7*AE$71-$C$71</f>
        <v/>
      </c>
      <c r="L1336" s="13">
        <f>$B$7*(A1336*AG$71+B1336*AH$71+C1336*AI$71+D1336*AJ$71)+F1336/100*$B$7*AL$71-$C$71</f>
        <v/>
      </c>
      <c r="M1336" s="13">
        <f>$B$7*(A1336*AN$71+B1336*AO$71+C1336*AP$71+D1336*AQ$71)+F1336/100*$B$7*AS$71-$C$71</f>
        <v/>
      </c>
      <c r="N1336" s="13">
        <f>SUMPRODUCT($H$24:$M$24,H1336:M1336)</f>
        <v/>
      </c>
      <c r="O1336" s="14">
        <f>SQRT(SUMPRODUCT($H$24:$M$24,(H1336:M1336-N1336)^2))</f>
        <v/>
      </c>
      <c r="P1336" s="13">
        <f>MIN(H1336:M1336)</f>
        <v/>
      </c>
      <c r="Q1336" s="13">
        <f>MAX(H1336:M1336)</f>
        <v/>
      </c>
      <c r="R1336" s="27">
        <f>IF(G1336,SUMPRODUCT(($G$76:$G$1505)*($N$76:$N$1505&gt;=N1336)*($O$76:$O$1505&lt;=O1336))=1,FALSE)</f>
        <v/>
      </c>
      <c r="S1336" s="16">
        <f>IF(R1336,ABS((O1336-$AC$76)/MAX(0.0001,$AC$77-$AC$76)-(N1336-$AC$78)/MAX(0.0001,$AC$79-$AC$78)),-1)</f>
        <v/>
      </c>
      <c r="T1336" s="14">
        <f>IF(G1336,O1336,NA())</f>
        <v/>
      </c>
      <c r="U1336" s="13">
        <f>IF(G1336,N1336,NA())</f>
        <v/>
      </c>
      <c r="V1336" s="14">
        <f>IF(R1336,O1336,NA())</f>
        <v/>
      </c>
      <c r="W1336" s="13">
        <f>IF(R1336,N1336,NA())</f>
        <v/>
      </c>
      <c r="X1336" s="27">
        <f>IF(G1336,P1336,"")</f>
        <v/>
      </c>
      <c r="Y1336" s="27">
        <f>IF(G1336,N1336,"")</f>
        <v/>
      </c>
      <c r="Z1336" s="27">
        <f>IF(R1336,O1336,"")</f>
        <v/>
      </c>
      <c r="AA1336" s="27">
        <f>IF(R1336,N1336,"")</f>
        <v/>
      </c>
    </row>
    <row r="1337">
      <c r="A1337" s="31" t="n">
        <v>0.6</v>
      </c>
      <c r="B1337" s="31" t="n">
        <v>0</v>
      </c>
      <c r="C1337" s="31" t="n">
        <v>0.1</v>
      </c>
      <c r="D1337" s="31" t="n">
        <v>0.3</v>
      </c>
      <c r="E1337" s="27" t="inlineStr">
        <is>
          <t>ON 60%/2M 10%/3M 30%</t>
        </is>
      </c>
      <c r="F1337" s="27" t="n">
        <v>25</v>
      </c>
      <c r="G1337" s="27">
        <f>A1337*$B$7&gt;=$B$9</f>
        <v/>
      </c>
      <c r="H1337" s="13">
        <f>$B$7*(A1337*E$71+B1337*F$71+C1337*G$71+D1337*H$71)+F1337/100*$B$7*J$71-$C$71</f>
        <v/>
      </c>
      <c r="I1337" s="13">
        <f>$B$7*(A1337*L$71+B1337*M$71+C1337*N$71+D1337*O$71)+F1337/100*$B$7*Q$71-$C$71</f>
        <v/>
      </c>
      <c r="J1337" s="13">
        <f>$B$7*(A1337*S$71+B1337*T$71+C1337*U$71+D1337*V$71)+F1337/100*$B$7*X$71-$C$71</f>
        <v/>
      </c>
      <c r="K1337" s="13">
        <f>$B$7*(A1337*Z$71+B1337*AA$71+C1337*AB$71+D1337*AC$71)+F1337/100*$B$7*AE$71-$C$71</f>
        <v/>
      </c>
      <c r="L1337" s="13">
        <f>$B$7*(A1337*AG$71+B1337*AH$71+C1337*AI$71+D1337*AJ$71)+F1337/100*$B$7*AL$71-$C$71</f>
        <v/>
      </c>
      <c r="M1337" s="13">
        <f>$B$7*(A1337*AN$71+B1337*AO$71+C1337*AP$71+D1337*AQ$71)+F1337/100*$B$7*AS$71-$C$71</f>
        <v/>
      </c>
      <c r="N1337" s="13">
        <f>SUMPRODUCT($H$24:$M$24,H1337:M1337)</f>
        <v/>
      </c>
      <c r="O1337" s="14">
        <f>SQRT(SUMPRODUCT($H$24:$M$24,(H1337:M1337-N1337)^2))</f>
        <v/>
      </c>
      <c r="P1337" s="13">
        <f>MIN(H1337:M1337)</f>
        <v/>
      </c>
      <c r="Q1337" s="13">
        <f>MAX(H1337:M1337)</f>
        <v/>
      </c>
      <c r="R1337" s="27">
        <f>IF(G1337,SUMPRODUCT(($G$76:$G$1505)*($N$76:$N$1505&gt;=N1337)*($O$76:$O$1505&lt;=O1337))=1,FALSE)</f>
        <v/>
      </c>
      <c r="S1337" s="16">
        <f>IF(R1337,ABS((O1337-$AC$76)/MAX(0.0001,$AC$77-$AC$76)-(N1337-$AC$78)/MAX(0.0001,$AC$79-$AC$78)),-1)</f>
        <v/>
      </c>
      <c r="T1337" s="14">
        <f>IF(G1337,O1337,NA())</f>
        <v/>
      </c>
      <c r="U1337" s="13">
        <f>IF(G1337,N1337,NA())</f>
        <v/>
      </c>
      <c r="V1337" s="14">
        <f>IF(R1337,O1337,NA())</f>
        <v/>
      </c>
      <c r="W1337" s="13">
        <f>IF(R1337,N1337,NA())</f>
        <v/>
      </c>
      <c r="X1337" s="27">
        <f>IF(G1337,P1337,"")</f>
        <v/>
      </c>
      <c r="Y1337" s="27">
        <f>IF(G1337,N1337,"")</f>
        <v/>
      </c>
      <c r="Z1337" s="27">
        <f>IF(R1337,O1337,"")</f>
        <v/>
      </c>
      <c r="AA1337" s="27">
        <f>IF(R1337,N1337,"")</f>
        <v/>
      </c>
    </row>
    <row r="1338">
      <c r="A1338" s="31" t="n">
        <v>0.6</v>
      </c>
      <c r="B1338" s="31" t="n">
        <v>0</v>
      </c>
      <c r="C1338" s="31" t="n">
        <v>0.1</v>
      </c>
      <c r="D1338" s="31" t="n">
        <v>0.3</v>
      </c>
      <c r="E1338" s="27" t="inlineStr">
        <is>
          <t>ON 60%/2M 10%/3M 30%</t>
        </is>
      </c>
      <c r="F1338" s="27" t="n">
        <v>50</v>
      </c>
      <c r="G1338" s="27">
        <f>A1338*$B$7&gt;=$B$9</f>
        <v/>
      </c>
      <c r="H1338" s="13">
        <f>$B$7*(A1338*E$71+B1338*F$71+C1338*G$71+D1338*H$71)+F1338/100*$B$7*J$71-$C$71</f>
        <v/>
      </c>
      <c r="I1338" s="13">
        <f>$B$7*(A1338*L$71+B1338*M$71+C1338*N$71+D1338*O$71)+F1338/100*$B$7*Q$71-$C$71</f>
        <v/>
      </c>
      <c r="J1338" s="13">
        <f>$B$7*(A1338*S$71+B1338*T$71+C1338*U$71+D1338*V$71)+F1338/100*$B$7*X$71-$C$71</f>
        <v/>
      </c>
      <c r="K1338" s="13">
        <f>$B$7*(A1338*Z$71+B1338*AA$71+C1338*AB$71+D1338*AC$71)+F1338/100*$B$7*AE$71-$C$71</f>
        <v/>
      </c>
      <c r="L1338" s="13">
        <f>$B$7*(A1338*AG$71+B1338*AH$71+C1338*AI$71+D1338*AJ$71)+F1338/100*$B$7*AL$71-$C$71</f>
        <v/>
      </c>
      <c r="M1338" s="13">
        <f>$B$7*(A1338*AN$71+B1338*AO$71+C1338*AP$71+D1338*AQ$71)+F1338/100*$B$7*AS$71-$C$71</f>
        <v/>
      </c>
      <c r="N1338" s="13">
        <f>SUMPRODUCT($H$24:$M$24,H1338:M1338)</f>
        <v/>
      </c>
      <c r="O1338" s="14">
        <f>SQRT(SUMPRODUCT($H$24:$M$24,(H1338:M1338-N1338)^2))</f>
        <v/>
      </c>
      <c r="P1338" s="13">
        <f>MIN(H1338:M1338)</f>
        <v/>
      </c>
      <c r="Q1338" s="13">
        <f>MAX(H1338:M1338)</f>
        <v/>
      </c>
      <c r="R1338" s="27">
        <f>IF(G1338,SUMPRODUCT(($G$76:$G$1505)*($N$76:$N$1505&gt;=N1338)*($O$76:$O$1505&lt;=O1338))=1,FALSE)</f>
        <v/>
      </c>
      <c r="S1338" s="16">
        <f>IF(R1338,ABS((O1338-$AC$76)/MAX(0.0001,$AC$77-$AC$76)-(N1338-$AC$78)/MAX(0.0001,$AC$79-$AC$78)),-1)</f>
        <v/>
      </c>
      <c r="T1338" s="14">
        <f>IF(G1338,O1338,NA())</f>
        <v/>
      </c>
      <c r="U1338" s="13">
        <f>IF(G1338,N1338,NA())</f>
        <v/>
      </c>
      <c r="V1338" s="14">
        <f>IF(R1338,O1338,NA())</f>
        <v/>
      </c>
      <c r="W1338" s="13">
        <f>IF(R1338,N1338,NA())</f>
        <v/>
      </c>
      <c r="X1338" s="27">
        <f>IF(G1338,P1338,"")</f>
        <v/>
      </c>
      <c r="Y1338" s="27">
        <f>IF(G1338,N1338,"")</f>
        <v/>
      </c>
      <c r="Z1338" s="27">
        <f>IF(R1338,O1338,"")</f>
        <v/>
      </c>
      <c r="AA1338" s="27">
        <f>IF(R1338,N1338,"")</f>
        <v/>
      </c>
    </row>
    <row r="1339">
      <c r="A1339" s="31" t="n">
        <v>0.6</v>
      </c>
      <c r="B1339" s="31" t="n">
        <v>0</v>
      </c>
      <c r="C1339" s="31" t="n">
        <v>0.1</v>
      </c>
      <c r="D1339" s="31" t="n">
        <v>0.3</v>
      </c>
      <c r="E1339" s="27" t="inlineStr">
        <is>
          <t>ON 60%/2M 10%/3M 30%</t>
        </is>
      </c>
      <c r="F1339" s="27" t="n">
        <v>75</v>
      </c>
      <c r="G1339" s="27">
        <f>A1339*$B$7&gt;=$B$9</f>
        <v/>
      </c>
      <c r="H1339" s="13">
        <f>$B$7*(A1339*E$71+B1339*F$71+C1339*G$71+D1339*H$71)+F1339/100*$B$7*J$71-$C$71</f>
        <v/>
      </c>
      <c r="I1339" s="13">
        <f>$B$7*(A1339*L$71+B1339*M$71+C1339*N$71+D1339*O$71)+F1339/100*$B$7*Q$71-$C$71</f>
        <v/>
      </c>
      <c r="J1339" s="13">
        <f>$B$7*(A1339*S$71+B1339*T$71+C1339*U$71+D1339*V$71)+F1339/100*$B$7*X$71-$C$71</f>
        <v/>
      </c>
      <c r="K1339" s="13">
        <f>$B$7*(A1339*Z$71+B1339*AA$71+C1339*AB$71+D1339*AC$71)+F1339/100*$B$7*AE$71-$C$71</f>
        <v/>
      </c>
      <c r="L1339" s="13">
        <f>$B$7*(A1339*AG$71+B1339*AH$71+C1339*AI$71+D1339*AJ$71)+F1339/100*$B$7*AL$71-$C$71</f>
        <v/>
      </c>
      <c r="M1339" s="13">
        <f>$B$7*(A1339*AN$71+B1339*AO$71+C1339*AP$71+D1339*AQ$71)+F1339/100*$B$7*AS$71-$C$71</f>
        <v/>
      </c>
      <c r="N1339" s="13">
        <f>SUMPRODUCT($H$24:$M$24,H1339:M1339)</f>
        <v/>
      </c>
      <c r="O1339" s="14">
        <f>SQRT(SUMPRODUCT($H$24:$M$24,(H1339:M1339-N1339)^2))</f>
        <v/>
      </c>
      <c r="P1339" s="13">
        <f>MIN(H1339:M1339)</f>
        <v/>
      </c>
      <c r="Q1339" s="13">
        <f>MAX(H1339:M1339)</f>
        <v/>
      </c>
      <c r="R1339" s="27">
        <f>IF(G1339,SUMPRODUCT(($G$76:$G$1505)*($N$76:$N$1505&gt;=N1339)*($O$76:$O$1505&lt;=O1339))=1,FALSE)</f>
        <v/>
      </c>
      <c r="S1339" s="16">
        <f>IF(R1339,ABS((O1339-$AC$76)/MAX(0.0001,$AC$77-$AC$76)-(N1339-$AC$78)/MAX(0.0001,$AC$79-$AC$78)),-1)</f>
        <v/>
      </c>
      <c r="T1339" s="14">
        <f>IF(G1339,O1339,NA())</f>
        <v/>
      </c>
      <c r="U1339" s="13">
        <f>IF(G1339,N1339,NA())</f>
        <v/>
      </c>
      <c r="V1339" s="14">
        <f>IF(R1339,O1339,NA())</f>
        <v/>
      </c>
      <c r="W1339" s="13">
        <f>IF(R1339,N1339,NA())</f>
        <v/>
      </c>
      <c r="X1339" s="27">
        <f>IF(G1339,P1339,"")</f>
        <v/>
      </c>
      <c r="Y1339" s="27">
        <f>IF(G1339,N1339,"")</f>
        <v/>
      </c>
      <c r="Z1339" s="27">
        <f>IF(R1339,O1339,"")</f>
        <v/>
      </c>
      <c r="AA1339" s="27">
        <f>IF(R1339,N1339,"")</f>
        <v/>
      </c>
    </row>
    <row r="1340">
      <c r="A1340" s="31" t="n">
        <v>0.6</v>
      </c>
      <c r="B1340" s="31" t="n">
        <v>0</v>
      </c>
      <c r="C1340" s="31" t="n">
        <v>0.1</v>
      </c>
      <c r="D1340" s="31" t="n">
        <v>0.3</v>
      </c>
      <c r="E1340" s="27" t="inlineStr">
        <is>
          <t>ON 60%/2M 10%/3M 30%</t>
        </is>
      </c>
      <c r="F1340" s="27" t="n">
        <v>100</v>
      </c>
      <c r="G1340" s="27">
        <f>A1340*$B$7&gt;=$B$9</f>
        <v/>
      </c>
      <c r="H1340" s="13">
        <f>$B$7*(A1340*E$71+B1340*F$71+C1340*G$71+D1340*H$71)+F1340/100*$B$7*J$71-$C$71</f>
        <v/>
      </c>
      <c r="I1340" s="13">
        <f>$B$7*(A1340*L$71+B1340*M$71+C1340*N$71+D1340*O$71)+F1340/100*$B$7*Q$71-$C$71</f>
        <v/>
      </c>
      <c r="J1340" s="13">
        <f>$B$7*(A1340*S$71+B1340*T$71+C1340*U$71+D1340*V$71)+F1340/100*$B$7*X$71-$C$71</f>
        <v/>
      </c>
      <c r="K1340" s="13">
        <f>$B$7*(A1340*Z$71+B1340*AA$71+C1340*AB$71+D1340*AC$71)+F1340/100*$B$7*AE$71-$C$71</f>
        <v/>
      </c>
      <c r="L1340" s="13">
        <f>$B$7*(A1340*AG$71+B1340*AH$71+C1340*AI$71+D1340*AJ$71)+F1340/100*$B$7*AL$71-$C$71</f>
        <v/>
      </c>
      <c r="M1340" s="13">
        <f>$B$7*(A1340*AN$71+B1340*AO$71+C1340*AP$71+D1340*AQ$71)+F1340/100*$B$7*AS$71-$C$71</f>
        <v/>
      </c>
      <c r="N1340" s="13">
        <f>SUMPRODUCT($H$24:$M$24,H1340:M1340)</f>
        <v/>
      </c>
      <c r="O1340" s="14">
        <f>SQRT(SUMPRODUCT($H$24:$M$24,(H1340:M1340-N1340)^2))</f>
        <v/>
      </c>
      <c r="P1340" s="13">
        <f>MIN(H1340:M1340)</f>
        <v/>
      </c>
      <c r="Q1340" s="13">
        <f>MAX(H1340:M1340)</f>
        <v/>
      </c>
      <c r="R1340" s="27">
        <f>IF(G1340,SUMPRODUCT(($G$76:$G$1505)*($N$76:$N$1505&gt;=N1340)*($O$76:$O$1505&lt;=O1340))=1,FALSE)</f>
        <v/>
      </c>
      <c r="S1340" s="16">
        <f>IF(R1340,ABS((O1340-$AC$76)/MAX(0.0001,$AC$77-$AC$76)-(N1340-$AC$78)/MAX(0.0001,$AC$79-$AC$78)),-1)</f>
        <v/>
      </c>
      <c r="T1340" s="14">
        <f>IF(G1340,O1340,NA())</f>
        <v/>
      </c>
      <c r="U1340" s="13">
        <f>IF(G1340,N1340,NA())</f>
        <v/>
      </c>
      <c r="V1340" s="14">
        <f>IF(R1340,O1340,NA())</f>
        <v/>
      </c>
      <c r="W1340" s="13">
        <f>IF(R1340,N1340,NA())</f>
        <v/>
      </c>
      <c r="X1340" s="27">
        <f>IF(G1340,P1340,"")</f>
        <v/>
      </c>
      <c r="Y1340" s="27">
        <f>IF(G1340,N1340,"")</f>
        <v/>
      </c>
      <c r="Z1340" s="27">
        <f>IF(R1340,O1340,"")</f>
        <v/>
      </c>
      <c r="AA1340" s="27">
        <f>IF(R1340,N1340,"")</f>
        <v/>
      </c>
    </row>
    <row r="1341">
      <c r="A1341" s="31" t="n">
        <v>0.6</v>
      </c>
      <c r="B1341" s="31" t="n">
        <v>0</v>
      </c>
      <c r="C1341" s="31" t="n">
        <v>0.2</v>
      </c>
      <c r="D1341" s="31" t="n">
        <v>0.2</v>
      </c>
      <c r="E1341" s="27" t="inlineStr">
        <is>
          <t>ON 60%/2M 20%/3M 20%</t>
        </is>
      </c>
      <c r="F1341" s="27" t="n">
        <v>0</v>
      </c>
      <c r="G1341" s="27">
        <f>A1341*$B$7&gt;=$B$9</f>
        <v/>
      </c>
      <c r="H1341" s="13">
        <f>$B$7*(A1341*E$71+B1341*F$71+C1341*G$71+D1341*H$71)+F1341/100*$B$7*J$71-$C$71</f>
        <v/>
      </c>
      <c r="I1341" s="13">
        <f>$B$7*(A1341*L$71+B1341*M$71+C1341*N$71+D1341*O$71)+F1341/100*$B$7*Q$71-$C$71</f>
        <v/>
      </c>
      <c r="J1341" s="13">
        <f>$B$7*(A1341*S$71+B1341*T$71+C1341*U$71+D1341*V$71)+F1341/100*$B$7*X$71-$C$71</f>
        <v/>
      </c>
      <c r="K1341" s="13">
        <f>$B$7*(A1341*Z$71+B1341*AA$71+C1341*AB$71+D1341*AC$71)+F1341/100*$B$7*AE$71-$C$71</f>
        <v/>
      </c>
      <c r="L1341" s="13">
        <f>$B$7*(A1341*AG$71+B1341*AH$71+C1341*AI$71+D1341*AJ$71)+F1341/100*$B$7*AL$71-$C$71</f>
        <v/>
      </c>
      <c r="M1341" s="13">
        <f>$B$7*(A1341*AN$71+B1341*AO$71+C1341*AP$71+D1341*AQ$71)+F1341/100*$B$7*AS$71-$C$71</f>
        <v/>
      </c>
      <c r="N1341" s="13">
        <f>SUMPRODUCT($H$24:$M$24,H1341:M1341)</f>
        <v/>
      </c>
      <c r="O1341" s="14">
        <f>SQRT(SUMPRODUCT($H$24:$M$24,(H1341:M1341-N1341)^2))</f>
        <v/>
      </c>
      <c r="P1341" s="13">
        <f>MIN(H1341:M1341)</f>
        <v/>
      </c>
      <c r="Q1341" s="13">
        <f>MAX(H1341:M1341)</f>
        <v/>
      </c>
      <c r="R1341" s="27">
        <f>IF(G1341,SUMPRODUCT(($G$76:$G$1505)*($N$76:$N$1505&gt;=N1341)*($O$76:$O$1505&lt;=O1341))=1,FALSE)</f>
        <v/>
      </c>
      <c r="S1341" s="16">
        <f>IF(R1341,ABS((O1341-$AC$76)/MAX(0.0001,$AC$77-$AC$76)-(N1341-$AC$78)/MAX(0.0001,$AC$79-$AC$78)),-1)</f>
        <v/>
      </c>
      <c r="T1341" s="14">
        <f>IF(G1341,O1341,NA())</f>
        <v/>
      </c>
      <c r="U1341" s="13">
        <f>IF(G1341,N1341,NA())</f>
        <v/>
      </c>
      <c r="V1341" s="14">
        <f>IF(R1341,O1341,NA())</f>
        <v/>
      </c>
      <c r="W1341" s="13">
        <f>IF(R1341,N1341,NA())</f>
        <v/>
      </c>
      <c r="X1341" s="27">
        <f>IF(G1341,P1341,"")</f>
        <v/>
      </c>
      <c r="Y1341" s="27">
        <f>IF(G1341,N1341,"")</f>
        <v/>
      </c>
      <c r="Z1341" s="27">
        <f>IF(R1341,O1341,"")</f>
        <v/>
      </c>
      <c r="AA1341" s="27">
        <f>IF(R1341,N1341,"")</f>
        <v/>
      </c>
    </row>
    <row r="1342">
      <c r="A1342" s="31" t="n">
        <v>0.6</v>
      </c>
      <c r="B1342" s="31" t="n">
        <v>0</v>
      </c>
      <c r="C1342" s="31" t="n">
        <v>0.2</v>
      </c>
      <c r="D1342" s="31" t="n">
        <v>0.2</v>
      </c>
      <c r="E1342" s="27" t="inlineStr">
        <is>
          <t>ON 60%/2M 20%/3M 20%</t>
        </is>
      </c>
      <c r="F1342" s="27" t="n">
        <v>25</v>
      </c>
      <c r="G1342" s="27">
        <f>A1342*$B$7&gt;=$B$9</f>
        <v/>
      </c>
      <c r="H1342" s="13">
        <f>$B$7*(A1342*E$71+B1342*F$71+C1342*G$71+D1342*H$71)+F1342/100*$B$7*J$71-$C$71</f>
        <v/>
      </c>
      <c r="I1342" s="13">
        <f>$B$7*(A1342*L$71+B1342*M$71+C1342*N$71+D1342*O$71)+F1342/100*$B$7*Q$71-$C$71</f>
        <v/>
      </c>
      <c r="J1342" s="13">
        <f>$B$7*(A1342*S$71+B1342*T$71+C1342*U$71+D1342*V$71)+F1342/100*$B$7*X$71-$C$71</f>
        <v/>
      </c>
      <c r="K1342" s="13">
        <f>$B$7*(A1342*Z$71+B1342*AA$71+C1342*AB$71+D1342*AC$71)+F1342/100*$B$7*AE$71-$C$71</f>
        <v/>
      </c>
      <c r="L1342" s="13">
        <f>$B$7*(A1342*AG$71+B1342*AH$71+C1342*AI$71+D1342*AJ$71)+F1342/100*$B$7*AL$71-$C$71</f>
        <v/>
      </c>
      <c r="M1342" s="13">
        <f>$B$7*(A1342*AN$71+B1342*AO$71+C1342*AP$71+D1342*AQ$71)+F1342/100*$B$7*AS$71-$C$71</f>
        <v/>
      </c>
      <c r="N1342" s="13">
        <f>SUMPRODUCT($H$24:$M$24,H1342:M1342)</f>
        <v/>
      </c>
      <c r="O1342" s="14">
        <f>SQRT(SUMPRODUCT($H$24:$M$24,(H1342:M1342-N1342)^2))</f>
        <v/>
      </c>
      <c r="P1342" s="13">
        <f>MIN(H1342:M1342)</f>
        <v/>
      </c>
      <c r="Q1342" s="13">
        <f>MAX(H1342:M1342)</f>
        <v/>
      </c>
      <c r="R1342" s="27">
        <f>IF(G1342,SUMPRODUCT(($G$76:$G$1505)*($N$76:$N$1505&gt;=N1342)*($O$76:$O$1505&lt;=O1342))=1,FALSE)</f>
        <v/>
      </c>
      <c r="S1342" s="16">
        <f>IF(R1342,ABS((O1342-$AC$76)/MAX(0.0001,$AC$77-$AC$76)-(N1342-$AC$78)/MAX(0.0001,$AC$79-$AC$78)),-1)</f>
        <v/>
      </c>
      <c r="T1342" s="14">
        <f>IF(G1342,O1342,NA())</f>
        <v/>
      </c>
      <c r="U1342" s="13">
        <f>IF(G1342,N1342,NA())</f>
        <v/>
      </c>
      <c r="V1342" s="14">
        <f>IF(R1342,O1342,NA())</f>
        <v/>
      </c>
      <c r="W1342" s="13">
        <f>IF(R1342,N1342,NA())</f>
        <v/>
      </c>
      <c r="X1342" s="27">
        <f>IF(G1342,P1342,"")</f>
        <v/>
      </c>
      <c r="Y1342" s="27">
        <f>IF(G1342,N1342,"")</f>
        <v/>
      </c>
      <c r="Z1342" s="27">
        <f>IF(R1342,O1342,"")</f>
        <v/>
      </c>
      <c r="AA1342" s="27">
        <f>IF(R1342,N1342,"")</f>
        <v/>
      </c>
    </row>
    <row r="1343">
      <c r="A1343" s="31" t="n">
        <v>0.6</v>
      </c>
      <c r="B1343" s="31" t="n">
        <v>0</v>
      </c>
      <c r="C1343" s="31" t="n">
        <v>0.2</v>
      </c>
      <c r="D1343" s="31" t="n">
        <v>0.2</v>
      </c>
      <c r="E1343" s="27" t="inlineStr">
        <is>
          <t>ON 60%/2M 20%/3M 20%</t>
        </is>
      </c>
      <c r="F1343" s="27" t="n">
        <v>50</v>
      </c>
      <c r="G1343" s="27">
        <f>A1343*$B$7&gt;=$B$9</f>
        <v/>
      </c>
      <c r="H1343" s="13">
        <f>$B$7*(A1343*E$71+B1343*F$71+C1343*G$71+D1343*H$71)+F1343/100*$B$7*J$71-$C$71</f>
        <v/>
      </c>
      <c r="I1343" s="13">
        <f>$B$7*(A1343*L$71+B1343*M$71+C1343*N$71+D1343*O$71)+F1343/100*$B$7*Q$71-$C$71</f>
        <v/>
      </c>
      <c r="J1343" s="13">
        <f>$B$7*(A1343*S$71+B1343*T$71+C1343*U$71+D1343*V$71)+F1343/100*$B$7*X$71-$C$71</f>
        <v/>
      </c>
      <c r="K1343" s="13">
        <f>$B$7*(A1343*Z$71+B1343*AA$71+C1343*AB$71+D1343*AC$71)+F1343/100*$B$7*AE$71-$C$71</f>
        <v/>
      </c>
      <c r="L1343" s="13">
        <f>$B$7*(A1343*AG$71+B1343*AH$71+C1343*AI$71+D1343*AJ$71)+F1343/100*$B$7*AL$71-$C$71</f>
        <v/>
      </c>
      <c r="M1343" s="13">
        <f>$B$7*(A1343*AN$71+B1343*AO$71+C1343*AP$71+D1343*AQ$71)+F1343/100*$B$7*AS$71-$C$71</f>
        <v/>
      </c>
      <c r="N1343" s="13">
        <f>SUMPRODUCT($H$24:$M$24,H1343:M1343)</f>
        <v/>
      </c>
      <c r="O1343" s="14">
        <f>SQRT(SUMPRODUCT($H$24:$M$24,(H1343:M1343-N1343)^2))</f>
        <v/>
      </c>
      <c r="P1343" s="13">
        <f>MIN(H1343:M1343)</f>
        <v/>
      </c>
      <c r="Q1343" s="13">
        <f>MAX(H1343:M1343)</f>
        <v/>
      </c>
      <c r="R1343" s="27">
        <f>IF(G1343,SUMPRODUCT(($G$76:$G$1505)*($N$76:$N$1505&gt;=N1343)*($O$76:$O$1505&lt;=O1343))=1,FALSE)</f>
        <v/>
      </c>
      <c r="S1343" s="16">
        <f>IF(R1343,ABS((O1343-$AC$76)/MAX(0.0001,$AC$77-$AC$76)-(N1343-$AC$78)/MAX(0.0001,$AC$79-$AC$78)),-1)</f>
        <v/>
      </c>
      <c r="T1343" s="14">
        <f>IF(G1343,O1343,NA())</f>
        <v/>
      </c>
      <c r="U1343" s="13">
        <f>IF(G1343,N1343,NA())</f>
        <v/>
      </c>
      <c r="V1343" s="14">
        <f>IF(R1343,O1343,NA())</f>
        <v/>
      </c>
      <c r="W1343" s="13">
        <f>IF(R1343,N1343,NA())</f>
        <v/>
      </c>
      <c r="X1343" s="27">
        <f>IF(G1343,P1343,"")</f>
        <v/>
      </c>
      <c r="Y1343" s="27">
        <f>IF(G1343,N1343,"")</f>
        <v/>
      </c>
      <c r="Z1343" s="27">
        <f>IF(R1343,O1343,"")</f>
        <v/>
      </c>
      <c r="AA1343" s="27">
        <f>IF(R1343,N1343,"")</f>
        <v/>
      </c>
    </row>
    <row r="1344">
      <c r="A1344" s="31" t="n">
        <v>0.6</v>
      </c>
      <c r="B1344" s="31" t="n">
        <v>0</v>
      </c>
      <c r="C1344" s="31" t="n">
        <v>0.2</v>
      </c>
      <c r="D1344" s="31" t="n">
        <v>0.2</v>
      </c>
      <c r="E1344" s="27" t="inlineStr">
        <is>
          <t>ON 60%/2M 20%/3M 20%</t>
        </is>
      </c>
      <c r="F1344" s="27" t="n">
        <v>75</v>
      </c>
      <c r="G1344" s="27">
        <f>A1344*$B$7&gt;=$B$9</f>
        <v/>
      </c>
      <c r="H1344" s="13">
        <f>$B$7*(A1344*E$71+B1344*F$71+C1344*G$71+D1344*H$71)+F1344/100*$B$7*J$71-$C$71</f>
        <v/>
      </c>
      <c r="I1344" s="13">
        <f>$B$7*(A1344*L$71+B1344*M$71+C1344*N$71+D1344*O$71)+F1344/100*$B$7*Q$71-$C$71</f>
        <v/>
      </c>
      <c r="J1344" s="13">
        <f>$B$7*(A1344*S$71+B1344*T$71+C1344*U$71+D1344*V$71)+F1344/100*$B$7*X$71-$C$71</f>
        <v/>
      </c>
      <c r="K1344" s="13">
        <f>$B$7*(A1344*Z$71+B1344*AA$71+C1344*AB$71+D1344*AC$71)+F1344/100*$B$7*AE$71-$C$71</f>
        <v/>
      </c>
      <c r="L1344" s="13">
        <f>$B$7*(A1344*AG$71+B1344*AH$71+C1344*AI$71+D1344*AJ$71)+F1344/100*$B$7*AL$71-$C$71</f>
        <v/>
      </c>
      <c r="M1344" s="13">
        <f>$B$7*(A1344*AN$71+B1344*AO$71+C1344*AP$71+D1344*AQ$71)+F1344/100*$B$7*AS$71-$C$71</f>
        <v/>
      </c>
      <c r="N1344" s="13">
        <f>SUMPRODUCT($H$24:$M$24,H1344:M1344)</f>
        <v/>
      </c>
      <c r="O1344" s="14">
        <f>SQRT(SUMPRODUCT($H$24:$M$24,(H1344:M1344-N1344)^2))</f>
        <v/>
      </c>
      <c r="P1344" s="13">
        <f>MIN(H1344:M1344)</f>
        <v/>
      </c>
      <c r="Q1344" s="13">
        <f>MAX(H1344:M1344)</f>
        <v/>
      </c>
      <c r="R1344" s="27">
        <f>IF(G1344,SUMPRODUCT(($G$76:$G$1505)*($N$76:$N$1505&gt;=N1344)*($O$76:$O$1505&lt;=O1344))=1,FALSE)</f>
        <v/>
      </c>
      <c r="S1344" s="16">
        <f>IF(R1344,ABS((O1344-$AC$76)/MAX(0.0001,$AC$77-$AC$76)-(N1344-$AC$78)/MAX(0.0001,$AC$79-$AC$78)),-1)</f>
        <v/>
      </c>
      <c r="T1344" s="14">
        <f>IF(G1344,O1344,NA())</f>
        <v/>
      </c>
      <c r="U1344" s="13">
        <f>IF(G1344,N1344,NA())</f>
        <v/>
      </c>
      <c r="V1344" s="14">
        <f>IF(R1344,O1344,NA())</f>
        <v/>
      </c>
      <c r="W1344" s="13">
        <f>IF(R1344,N1344,NA())</f>
        <v/>
      </c>
      <c r="X1344" s="27">
        <f>IF(G1344,P1344,"")</f>
        <v/>
      </c>
      <c r="Y1344" s="27">
        <f>IF(G1344,N1344,"")</f>
        <v/>
      </c>
      <c r="Z1344" s="27">
        <f>IF(R1344,O1344,"")</f>
        <v/>
      </c>
      <c r="AA1344" s="27">
        <f>IF(R1344,N1344,"")</f>
        <v/>
      </c>
    </row>
    <row r="1345">
      <c r="A1345" s="31" t="n">
        <v>0.6</v>
      </c>
      <c r="B1345" s="31" t="n">
        <v>0</v>
      </c>
      <c r="C1345" s="31" t="n">
        <v>0.2</v>
      </c>
      <c r="D1345" s="31" t="n">
        <v>0.2</v>
      </c>
      <c r="E1345" s="27" t="inlineStr">
        <is>
          <t>ON 60%/2M 20%/3M 20%</t>
        </is>
      </c>
      <c r="F1345" s="27" t="n">
        <v>100</v>
      </c>
      <c r="G1345" s="27">
        <f>A1345*$B$7&gt;=$B$9</f>
        <v/>
      </c>
      <c r="H1345" s="13">
        <f>$B$7*(A1345*E$71+B1345*F$71+C1345*G$71+D1345*H$71)+F1345/100*$B$7*J$71-$C$71</f>
        <v/>
      </c>
      <c r="I1345" s="13">
        <f>$B$7*(A1345*L$71+B1345*M$71+C1345*N$71+D1345*O$71)+F1345/100*$B$7*Q$71-$C$71</f>
        <v/>
      </c>
      <c r="J1345" s="13">
        <f>$B$7*(A1345*S$71+B1345*T$71+C1345*U$71+D1345*V$71)+F1345/100*$B$7*X$71-$C$71</f>
        <v/>
      </c>
      <c r="K1345" s="13">
        <f>$B$7*(A1345*Z$71+B1345*AA$71+C1345*AB$71+D1345*AC$71)+F1345/100*$B$7*AE$71-$C$71</f>
        <v/>
      </c>
      <c r="L1345" s="13">
        <f>$B$7*(A1345*AG$71+B1345*AH$71+C1345*AI$71+D1345*AJ$71)+F1345/100*$B$7*AL$71-$C$71</f>
        <v/>
      </c>
      <c r="M1345" s="13">
        <f>$B$7*(A1345*AN$71+B1345*AO$71+C1345*AP$71+D1345*AQ$71)+F1345/100*$B$7*AS$71-$C$71</f>
        <v/>
      </c>
      <c r="N1345" s="13">
        <f>SUMPRODUCT($H$24:$M$24,H1345:M1345)</f>
        <v/>
      </c>
      <c r="O1345" s="14">
        <f>SQRT(SUMPRODUCT($H$24:$M$24,(H1345:M1345-N1345)^2))</f>
        <v/>
      </c>
      <c r="P1345" s="13">
        <f>MIN(H1345:M1345)</f>
        <v/>
      </c>
      <c r="Q1345" s="13">
        <f>MAX(H1345:M1345)</f>
        <v/>
      </c>
      <c r="R1345" s="27">
        <f>IF(G1345,SUMPRODUCT(($G$76:$G$1505)*($N$76:$N$1505&gt;=N1345)*($O$76:$O$1505&lt;=O1345))=1,FALSE)</f>
        <v/>
      </c>
      <c r="S1345" s="16">
        <f>IF(R1345,ABS((O1345-$AC$76)/MAX(0.0001,$AC$77-$AC$76)-(N1345-$AC$78)/MAX(0.0001,$AC$79-$AC$78)),-1)</f>
        <v/>
      </c>
      <c r="T1345" s="14">
        <f>IF(G1345,O1345,NA())</f>
        <v/>
      </c>
      <c r="U1345" s="13">
        <f>IF(G1345,N1345,NA())</f>
        <v/>
      </c>
      <c r="V1345" s="14">
        <f>IF(R1345,O1345,NA())</f>
        <v/>
      </c>
      <c r="W1345" s="13">
        <f>IF(R1345,N1345,NA())</f>
        <v/>
      </c>
      <c r="X1345" s="27">
        <f>IF(G1345,P1345,"")</f>
        <v/>
      </c>
      <c r="Y1345" s="27">
        <f>IF(G1345,N1345,"")</f>
        <v/>
      </c>
      <c r="Z1345" s="27">
        <f>IF(R1345,O1345,"")</f>
        <v/>
      </c>
      <c r="AA1345" s="27">
        <f>IF(R1345,N1345,"")</f>
        <v/>
      </c>
    </row>
    <row r="1346">
      <c r="A1346" s="31" t="n">
        <v>0.6</v>
      </c>
      <c r="B1346" s="31" t="n">
        <v>0</v>
      </c>
      <c r="C1346" s="31" t="n">
        <v>0.3</v>
      </c>
      <c r="D1346" s="31" t="n">
        <v>0.1</v>
      </c>
      <c r="E1346" s="27" t="inlineStr">
        <is>
          <t>ON 60%/2M 30%/3M 10%</t>
        </is>
      </c>
      <c r="F1346" s="27" t="n">
        <v>0</v>
      </c>
      <c r="G1346" s="27">
        <f>A1346*$B$7&gt;=$B$9</f>
        <v/>
      </c>
      <c r="H1346" s="13">
        <f>$B$7*(A1346*E$71+B1346*F$71+C1346*G$71+D1346*H$71)+F1346/100*$B$7*J$71-$C$71</f>
        <v/>
      </c>
      <c r="I1346" s="13">
        <f>$B$7*(A1346*L$71+B1346*M$71+C1346*N$71+D1346*O$71)+F1346/100*$B$7*Q$71-$C$71</f>
        <v/>
      </c>
      <c r="J1346" s="13">
        <f>$B$7*(A1346*S$71+B1346*T$71+C1346*U$71+D1346*V$71)+F1346/100*$B$7*X$71-$C$71</f>
        <v/>
      </c>
      <c r="K1346" s="13">
        <f>$B$7*(A1346*Z$71+B1346*AA$71+C1346*AB$71+D1346*AC$71)+F1346/100*$B$7*AE$71-$C$71</f>
        <v/>
      </c>
      <c r="L1346" s="13">
        <f>$B$7*(A1346*AG$71+B1346*AH$71+C1346*AI$71+D1346*AJ$71)+F1346/100*$B$7*AL$71-$C$71</f>
        <v/>
      </c>
      <c r="M1346" s="13">
        <f>$B$7*(A1346*AN$71+B1346*AO$71+C1346*AP$71+D1346*AQ$71)+F1346/100*$B$7*AS$71-$C$71</f>
        <v/>
      </c>
      <c r="N1346" s="13">
        <f>SUMPRODUCT($H$24:$M$24,H1346:M1346)</f>
        <v/>
      </c>
      <c r="O1346" s="14">
        <f>SQRT(SUMPRODUCT($H$24:$M$24,(H1346:M1346-N1346)^2))</f>
        <v/>
      </c>
      <c r="P1346" s="13">
        <f>MIN(H1346:M1346)</f>
        <v/>
      </c>
      <c r="Q1346" s="13">
        <f>MAX(H1346:M1346)</f>
        <v/>
      </c>
      <c r="R1346" s="27">
        <f>IF(G1346,SUMPRODUCT(($G$76:$G$1505)*($N$76:$N$1505&gt;=N1346)*($O$76:$O$1505&lt;=O1346))=1,FALSE)</f>
        <v/>
      </c>
      <c r="S1346" s="16">
        <f>IF(R1346,ABS((O1346-$AC$76)/MAX(0.0001,$AC$77-$AC$76)-(N1346-$AC$78)/MAX(0.0001,$AC$79-$AC$78)),-1)</f>
        <v/>
      </c>
      <c r="T1346" s="14">
        <f>IF(G1346,O1346,NA())</f>
        <v/>
      </c>
      <c r="U1346" s="13">
        <f>IF(G1346,N1346,NA())</f>
        <v/>
      </c>
      <c r="V1346" s="14">
        <f>IF(R1346,O1346,NA())</f>
        <v/>
      </c>
      <c r="W1346" s="13">
        <f>IF(R1346,N1346,NA())</f>
        <v/>
      </c>
      <c r="X1346" s="27">
        <f>IF(G1346,P1346,"")</f>
        <v/>
      </c>
      <c r="Y1346" s="27">
        <f>IF(G1346,N1346,"")</f>
        <v/>
      </c>
      <c r="Z1346" s="27">
        <f>IF(R1346,O1346,"")</f>
        <v/>
      </c>
      <c r="AA1346" s="27">
        <f>IF(R1346,N1346,"")</f>
        <v/>
      </c>
    </row>
    <row r="1347">
      <c r="A1347" s="31" t="n">
        <v>0.6</v>
      </c>
      <c r="B1347" s="31" t="n">
        <v>0</v>
      </c>
      <c r="C1347" s="31" t="n">
        <v>0.3</v>
      </c>
      <c r="D1347" s="31" t="n">
        <v>0.1</v>
      </c>
      <c r="E1347" s="27" t="inlineStr">
        <is>
          <t>ON 60%/2M 30%/3M 10%</t>
        </is>
      </c>
      <c r="F1347" s="27" t="n">
        <v>25</v>
      </c>
      <c r="G1347" s="27">
        <f>A1347*$B$7&gt;=$B$9</f>
        <v/>
      </c>
      <c r="H1347" s="13">
        <f>$B$7*(A1347*E$71+B1347*F$71+C1347*G$71+D1347*H$71)+F1347/100*$B$7*J$71-$C$71</f>
        <v/>
      </c>
      <c r="I1347" s="13">
        <f>$B$7*(A1347*L$71+B1347*M$71+C1347*N$71+D1347*O$71)+F1347/100*$B$7*Q$71-$C$71</f>
        <v/>
      </c>
      <c r="J1347" s="13">
        <f>$B$7*(A1347*S$71+B1347*T$71+C1347*U$71+D1347*V$71)+F1347/100*$B$7*X$71-$C$71</f>
        <v/>
      </c>
      <c r="K1347" s="13">
        <f>$B$7*(A1347*Z$71+B1347*AA$71+C1347*AB$71+D1347*AC$71)+F1347/100*$B$7*AE$71-$C$71</f>
        <v/>
      </c>
      <c r="L1347" s="13">
        <f>$B$7*(A1347*AG$71+B1347*AH$71+C1347*AI$71+D1347*AJ$71)+F1347/100*$B$7*AL$71-$C$71</f>
        <v/>
      </c>
      <c r="M1347" s="13">
        <f>$B$7*(A1347*AN$71+B1347*AO$71+C1347*AP$71+D1347*AQ$71)+F1347/100*$B$7*AS$71-$C$71</f>
        <v/>
      </c>
      <c r="N1347" s="13">
        <f>SUMPRODUCT($H$24:$M$24,H1347:M1347)</f>
        <v/>
      </c>
      <c r="O1347" s="14">
        <f>SQRT(SUMPRODUCT($H$24:$M$24,(H1347:M1347-N1347)^2))</f>
        <v/>
      </c>
      <c r="P1347" s="13">
        <f>MIN(H1347:M1347)</f>
        <v/>
      </c>
      <c r="Q1347" s="13">
        <f>MAX(H1347:M1347)</f>
        <v/>
      </c>
      <c r="R1347" s="27">
        <f>IF(G1347,SUMPRODUCT(($G$76:$G$1505)*($N$76:$N$1505&gt;=N1347)*($O$76:$O$1505&lt;=O1347))=1,FALSE)</f>
        <v/>
      </c>
      <c r="S1347" s="16">
        <f>IF(R1347,ABS((O1347-$AC$76)/MAX(0.0001,$AC$77-$AC$76)-(N1347-$AC$78)/MAX(0.0001,$AC$79-$AC$78)),-1)</f>
        <v/>
      </c>
      <c r="T1347" s="14">
        <f>IF(G1347,O1347,NA())</f>
        <v/>
      </c>
      <c r="U1347" s="13">
        <f>IF(G1347,N1347,NA())</f>
        <v/>
      </c>
      <c r="V1347" s="14">
        <f>IF(R1347,O1347,NA())</f>
        <v/>
      </c>
      <c r="W1347" s="13">
        <f>IF(R1347,N1347,NA())</f>
        <v/>
      </c>
      <c r="X1347" s="27">
        <f>IF(G1347,P1347,"")</f>
        <v/>
      </c>
      <c r="Y1347" s="27">
        <f>IF(G1347,N1347,"")</f>
        <v/>
      </c>
      <c r="Z1347" s="27">
        <f>IF(R1347,O1347,"")</f>
        <v/>
      </c>
      <c r="AA1347" s="27">
        <f>IF(R1347,N1347,"")</f>
        <v/>
      </c>
    </row>
    <row r="1348">
      <c r="A1348" s="31" t="n">
        <v>0.6</v>
      </c>
      <c r="B1348" s="31" t="n">
        <v>0</v>
      </c>
      <c r="C1348" s="31" t="n">
        <v>0.3</v>
      </c>
      <c r="D1348" s="31" t="n">
        <v>0.1</v>
      </c>
      <c r="E1348" s="27" t="inlineStr">
        <is>
          <t>ON 60%/2M 30%/3M 10%</t>
        </is>
      </c>
      <c r="F1348" s="27" t="n">
        <v>50</v>
      </c>
      <c r="G1348" s="27">
        <f>A1348*$B$7&gt;=$B$9</f>
        <v/>
      </c>
      <c r="H1348" s="13">
        <f>$B$7*(A1348*E$71+B1348*F$71+C1348*G$71+D1348*H$71)+F1348/100*$B$7*J$71-$C$71</f>
        <v/>
      </c>
      <c r="I1348" s="13">
        <f>$B$7*(A1348*L$71+B1348*M$71+C1348*N$71+D1348*O$71)+F1348/100*$B$7*Q$71-$C$71</f>
        <v/>
      </c>
      <c r="J1348" s="13">
        <f>$B$7*(A1348*S$71+B1348*T$71+C1348*U$71+D1348*V$71)+F1348/100*$B$7*X$71-$C$71</f>
        <v/>
      </c>
      <c r="K1348" s="13">
        <f>$B$7*(A1348*Z$71+B1348*AA$71+C1348*AB$71+D1348*AC$71)+F1348/100*$B$7*AE$71-$C$71</f>
        <v/>
      </c>
      <c r="L1348" s="13">
        <f>$B$7*(A1348*AG$71+B1348*AH$71+C1348*AI$71+D1348*AJ$71)+F1348/100*$B$7*AL$71-$C$71</f>
        <v/>
      </c>
      <c r="M1348" s="13">
        <f>$B$7*(A1348*AN$71+B1348*AO$71+C1348*AP$71+D1348*AQ$71)+F1348/100*$B$7*AS$71-$C$71</f>
        <v/>
      </c>
      <c r="N1348" s="13">
        <f>SUMPRODUCT($H$24:$M$24,H1348:M1348)</f>
        <v/>
      </c>
      <c r="O1348" s="14">
        <f>SQRT(SUMPRODUCT($H$24:$M$24,(H1348:M1348-N1348)^2))</f>
        <v/>
      </c>
      <c r="P1348" s="13">
        <f>MIN(H1348:M1348)</f>
        <v/>
      </c>
      <c r="Q1348" s="13">
        <f>MAX(H1348:M1348)</f>
        <v/>
      </c>
      <c r="R1348" s="27">
        <f>IF(G1348,SUMPRODUCT(($G$76:$G$1505)*($N$76:$N$1505&gt;=N1348)*($O$76:$O$1505&lt;=O1348))=1,FALSE)</f>
        <v/>
      </c>
      <c r="S1348" s="16">
        <f>IF(R1348,ABS((O1348-$AC$76)/MAX(0.0001,$AC$77-$AC$76)-(N1348-$AC$78)/MAX(0.0001,$AC$79-$AC$78)),-1)</f>
        <v/>
      </c>
      <c r="T1348" s="14">
        <f>IF(G1348,O1348,NA())</f>
        <v/>
      </c>
      <c r="U1348" s="13">
        <f>IF(G1348,N1348,NA())</f>
        <v/>
      </c>
      <c r="V1348" s="14">
        <f>IF(R1348,O1348,NA())</f>
        <v/>
      </c>
      <c r="W1348" s="13">
        <f>IF(R1348,N1348,NA())</f>
        <v/>
      </c>
      <c r="X1348" s="27">
        <f>IF(G1348,P1348,"")</f>
        <v/>
      </c>
      <c r="Y1348" s="27">
        <f>IF(G1348,N1348,"")</f>
        <v/>
      </c>
      <c r="Z1348" s="27">
        <f>IF(R1348,O1348,"")</f>
        <v/>
      </c>
      <c r="AA1348" s="27">
        <f>IF(R1348,N1348,"")</f>
        <v/>
      </c>
    </row>
    <row r="1349">
      <c r="A1349" s="31" t="n">
        <v>0.6</v>
      </c>
      <c r="B1349" s="31" t="n">
        <v>0</v>
      </c>
      <c r="C1349" s="31" t="n">
        <v>0.3</v>
      </c>
      <c r="D1349" s="31" t="n">
        <v>0.1</v>
      </c>
      <c r="E1349" s="27" t="inlineStr">
        <is>
          <t>ON 60%/2M 30%/3M 10%</t>
        </is>
      </c>
      <c r="F1349" s="27" t="n">
        <v>75</v>
      </c>
      <c r="G1349" s="27">
        <f>A1349*$B$7&gt;=$B$9</f>
        <v/>
      </c>
      <c r="H1349" s="13">
        <f>$B$7*(A1349*E$71+B1349*F$71+C1349*G$71+D1349*H$71)+F1349/100*$B$7*J$71-$C$71</f>
        <v/>
      </c>
      <c r="I1349" s="13">
        <f>$B$7*(A1349*L$71+B1349*M$71+C1349*N$71+D1349*O$71)+F1349/100*$B$7*Q$71-$C$71</f>
        <v/>
      </c>
      <c r="J1349" s="13">
        <f>$B$7*(A1349*S$71+B1349*T$71+C1349*U$71+D1349*V$71)+F1349/100*$B$7*X$71-$C$71</f>
        <v/>
      </c>
      <c r="K1349" s="13">
        <f>$B$7*(A1349*Z$71+B1349*AA$71+C1349*AB$71+D1349*AC$71)+F1349/100*$B$7*AE$71-$C$71</f>
        <v/>
      </c>
      <c r="L1349" s="13">
        <f>$B$7*(A1349*AG$71+B1349*AH$71+C1349*AI$71+D1349*AJ$71)+F1349/100*$B$7*AL$71-$C$71</f>
        <v/>
      </c>
      <c r="M1349" s="13">
        <f>$B$7*(A1349*AN$71+B1349*AO$71+C1349*AP$71+D1349*AQ$71)+F1349/100*$B$7*AS$71-$C$71</f>
        <v/>
      </c>
      <c r="N1349" s="13">
        <f>SUMPRODUCT($H$24:$M$24,H1349:M1349)</f>
        <v/>
      </c>
      <c r="O1349" s="14">
        <f>SQRT(SUMPRODUCT($H$24:$M$24,(H1349:M1349-N1349)^2))</f>
        <v/>
      </c>
      <c r="P1349" s="13">
        <f>MIN(H1349:M1349)</f>
        <v/>
      </c>
      <c r="Q1349" s="13">
        <f>MAX(H1349:M1349)</f>
        <v/>
      </c>
      <c r="R1349" s="27">
        <f>IF(G1349,SUMPRODUCT(($G$76:$G$1505)*($N$76:$N$1505&gt;=N1349)*($O$76:$O$1505&lt;=O1349))=1,FALSE)</f>
        <v/>
      </c>
      <c r="S1349" s="16">
        <f>IF(R1349,ABS((O1349-$AC$76)/MAX(0.0001,$AC$77-$AC$76)-(N1349-$AC$78)/MAX(0.0001,$AC$79-$AC$78)),-1)</f>
        <v/>
      </c>
      <c r="T1349" s="14">
        <f>IF(G1349,O1349,NA())</f>
        <v/>
      </c>
      <c r="U1349" s="13">
        <f>IF(G1349,N1349,NA())</f>
        <v/>
      </c>
      <c r="V1349" s="14">
        <f>IF(R1349,O1349,NA())</f>
        <v/>
      </c>
      <c r="W1349" s="13">
        <f>IF(R1349,N1349,NA())</f>
        <v/>
      </c>
      <c r="X1349" s="27">
        <f>IF(G1349,P1349,"")</f>
        <v/>
      </c>
      <c r="Y1349" s="27">
        <f>IF(G1349,N1349,"")</f>
        <v/>
      </c>
      <c r="Z1349" s="27">
        <f>IF(R1349,O1349,"")</f>
        <v/>
      </c>
      <c r="AA1349" s="27">
        <f>IF(R1349,N1349,"")</f>
        <v/>
      </c>
    </row>
    <row r="1350">
      <c r="A1350" s="31" t="n">
        <v>0.6</v>
      </c>
      <c r="B1350" s="31" t="n">
        <v>0</v>
      </c>
      <c r="C1350" s="31" t="n">
        <v>0.3</v>
      </c>
      <c r="D1350" s="31" t="n">
        <v>0.1</v>
      </c>
      <c r="E1350" s="27" t="inlineStr">
        <is>
          <t>ON 60%/2M 30%/3M 10%</t>
        </is>
      </c>
      <c r="F1350" s="27" t="n">
        <v>100</v>
      </c>
      <c r="G1350" s="27">
        <f>A1350*$B$7&gt;=$B$9</f>
        <v/>
      </c>
      <c r="H1350" s="13">
        <f>$B$7*(A1350*E$71+B1350*F$71+C1350*G$71+D1350*H$71)+F1350/100*$B$7*J$71-$C$71</f>
        <v/>
      </c>
      <c r="I1350" s="13">
        <f>$B$7*(A1350*L$71+B1350*M$71+C1350*N$71+D1350*O$71)+F1350/100*$B$7*Q$71-$C$71</f>
        <v/>
      </c>
      <c r="J1350" s="13">
        <f>$B$7*(A1350*S$71+B1350*T$71+C1350*U$71+D1350*V$71)+F1350/100*$B$7*X$71-$C$71</f>
        <v/>
      </c>
      <c r="K1350" s="13">
        <f>$B$7*(A1350*Z$71+B1350*AA$71+C1350*AB$71+D1350*AC$71)+F1350/100*$B$7*AE$71-$C$71</f>
        <v/>
      </c>
      <c r="L1350" s="13">
        <f>$B$7*(A1350*AG$71+B1350*AH$71+C1350*AI$71+D1350*AJ$71)+F1350/100*$B$7*AL$71-$C$71</f>
        <v/>
      </c>
      <c r="M1350" s="13">
        <f>$B$7*(A1350*AN$71+B1350*AO$71+C1350*AP$71+D1350*AQ$71)+F1350/100*$B$7*AS$71-$C$71</f>
        <v/>
      </c>
      <c r="N1350" s="13">
        <f>SUMPRODUCT($H$24:$M$24,H1350:M1350)</f>
        <v/>
      </c>
      <c r="O1350" s="14">
        <f>SQRT(SUMPRODUCT($H$24:$M$24,(H1350:M1350-N1350)^2))</f>
        <v/>
      </c>
      <c r="P1350" s="13">
        <f>MIN(H1350:M1350)</f>
        <v/>
      </c>
      <c r="Q1350" s="13">
        <f>MAX(H1350:M1350)</f>
        <v/>
      </c>
      <c r="R1350" s="27">
        <f>IF(G1350,SUMPRODUCT(($G$76:$G$1505)*($N$76:$N$1505&gt;=N1350)*($O$76:$O$1505&lt;=O1350))=1,FALSE)</f>
        <v/>
      </c>
      <c r="S1350" s="16">
        <f>IF(R1350,ABS((O1350-$AC$76)/MAX(0.0001,$AC$77-$AC$76)-(N1350-$AC$78)/MAX(0.0001,$AC$79-$AC$78)),-1)</f>
        <v/>
      </c>
      <c r="T1350" s="14">
        <f>IF(G1350,O1350,NA())</f>
        <v/>
      </c>
      <c r="U1350" s="13">
        <f>IF(G1350,N1350,NA())</f>
        <v/>
      </c>
      <c r="V1350" s="14">
        <f>IF(R1350,O1350,NA())</f>
        <v/>
      </c>
      <c r="W1350" s="13">
        <f>IF(R1350,N1350,NA())</f>
        <v/>
      </c>
      <c r="X1350" s="27">
        <f>IF(G1350,P1350,"")</f>
        <v/>
      </c>
      <c r="Y1350" s="27">
        <f>IF(G1350,N1350,"")</f>
        <v/>
      </c>
      <c r="Z1350" s="27">
        <f>IF(R1350,O1350,"")</f>
        <v/>
      </c>
      <c r="AA1350" s="27">
        <f>IF(R1350,N1350,"")</f>
        <v/>
      </c>
    </row>
    <row r="1351">
      <c r="A1351" s="31" t="n">
        <v>0.6</v>
      </c>
      <c r="B1351" s="31" t="n">
        <v>0</v>
      </c>
      <c r="C1351" s="31" t="n">
        <v>0.4</v>
      </c>
      <c r="D1351" s="31" t="n">
        <v>0</v>
      </c>
      <c r="E1351" s="27" t="inlineStr">
        <is>
          <t>ON 60%/2M 40%</t>
        </is>
      </c>
      <c r="F1351" s="27" t="n">
        <v>0</v>
      </c>
      <c r="G1351" s="27">
        <f>A1351*$B$7&gt;=$B$9</f>
        <v/>
      </c>
      <c r="H1351" s="13">
        <f>$B$7*(A1351*E$71+B1351*F$71+C1351*G$71+D1351*H$71)+F1351/100*$B$7*J$71-$C$71</f>
        <v/>
      </c>
      <c r="I1351" s="13">
        <f>$B$7*(A1351*L$71+B1351*M$71+C1351*N$71+D1351*O$71)+F1351/100*$B$7*Q$71-$C$71</f>
        <v/>
      </c>
      <c r="J1351" s="13">
        <f>$B$7*(A1351*S$71+B1351*T$71+C1351*U$71+D1351*V$71)+F1351/100*$B$7*X$71-$C$71</f>
        <v/>
      </c>
      <c r="K1351" s="13">
        <f>$B$7*(A1351*Z$71+B1351*AA$71+C1351*AB$71+D1351*AC$71)+F1351/100*$B$7*AE$71-$C$71</f>
        <v/>
      </c>
      <c r="L1351" s="13">
        <f>$B$7*(A1351*AG$71+B1351*AH$71+C1351*AI$71+D1351*AJ$71)+F1351/100*$B$7*AL$71-$C$71</f>
        <v/>
      </c>
      <c r="M1351" s="13">
        <f>$B$7*(A1351*AN$71+B1351*AO$71+C1351*AP$71+D1351*AQ$71)+F1351/100*$B$7*AS$71-$C$71</f>
        <v/>
      </c>
      <c r="N1351" s="13">
        <f>SUMPRODUCT($H$24:$M$24,H1351:M1351)</f>
        <v/>
      </c>
      <c r="O1351" s="14">
        <f>SQRT(SUMPRODUCT($H$24:$M$24,(H1351:M1351-N1351)^2))</f>
        <v/>
      </c>
      <c r="P1351" s="13">
        <f>MIN(H1351:M1351)</f>
        <v/>
      </c>
      <c r="Q1351" s="13">
        <f>MAX(H1351:M1351)</f>
        <v/>
      </c>
      <c r="R1351" s="27">
        <f>IF(G1351,SUMPRODUCT(($G$76:$G$1505)*($N$76:$N$1505&gt;=N1351)*($O$76:$O$1505&lt;=O1351))=1,FALSE)</f>
        <v/>
      </c>
      <c r="S1351" s="16">
        <f>IF(R1351,ABS((O1351-$AC$76)/MAX(0.0001,$AC$77-$AC$76)-(N1351-$AC$78)/MAX(0.0001,$AC$79-$AC$78)),-1)</f>
        <v/>
      </c>
      <c r="T1351" s="14">
        <f>IF(G1351,O1351,NA())</f>
        <v/>
      </c>
      <c r="U1351" s="13">
        <f>IF(G1351,N1351,NA())</f>
        <v/>
      </c>
      <c r="V1351" s="14">
        <f>IF(R1351,O1351,NA())</f>
        <v/>
      </c>
      <c r="W1351" s="13">
        <f>IF(R1351,N1351,NA())</f>
        <v/>
      </c>
      <c r="X1351" s="27">
        <f>IF(G1351,P1351,"")</f>
        <v/>
      </c>
      <c r="Y1351" s="27">
        <f>IF(G1351,N1351,"")</f>
        <v/>
      </c>
      <c r="Z1351" s="27">
        <f>IF(R1351,O1351,"")</f>
        <v/>
      </c>
      <c r="AA1351" s="27">
        <f>IF(R1351,N1351,"")</f>
        <v/>
      </c>
    </row>
    <row r="1352">
      <c r="A1352" s="31" t="n">
        <v>0.6</v>
      </c>
      <c r="B1352" s="31" t="n">
        <v>0</v>
      </c>
      <c r="C1352" s="31" t="n">
        <v>0.4</v>
      </c>
      <c r="D1352" s="31" t="n">
        <v>0</v>
      </c>
      <c r="E1352" s="27" t="inlineStr">
        <is>
          <t>ON 60%/2M 40%</t>
        </is>
      </c>
      <c r="F1352" s="27" t="n">
        <v>25</v>
      </c>
      <c r="G1352" s="27">
        <f>A1352*$B$7&gt;=$B$9</f>
        <v/>
      </c>
      <c r="H1352" s="13">
        <f>$B$7*(A1352*E$71+B1352*F$71+C1352*G$71+D1352*H$71)+F1352/100*$B$7*J$71-$C$71</f>
        <v/>
      </c>
      <c r="I1352" s="13">
        <f>$B$7*(A1352*L$71+B1352*M$71+C1352*N$71+D1352*O$71)+F1352/100*$B$7*Q$71-$C$71</f>
        <v/>
      </c>
      <c r="J1352" s="13">
        <f>$B$7*(A1352*S$71+B1352*T$71+C1352*U$71+D1352*V$71)+F1352/100*$B$7*X$71-$C$71</f>
        <v/>
      </c>
      <c r="K1352" s="13">
        <f>$B$7*(A1352*Z$71+B1352*AA$71+C1352*AB$71+D1352*AC$71)+F1352/100*$B$7*AE$71-$C$71</f>
        <v/>
      </c>
      <c r="L1352" s="13">
        <f>$B$7*(A1352*AG$71+B1352*AH$71+C1352*AI$71+D1352*AJ$71)+F1352/100*$B$7*AL$71-$C$71</f>
        <v/>
      </c>
      <c r="M1352" s="13">
        <f>$B$7*(A1352*AN$71+B1352*AO$71+C1352*AP$71+D1352*AQ$71)+F1352/100*$B$7*AS$71-$C$71</f>
        <v/>
      </c>
      <c r="N1352" s="13">
        <f>SUMPRODUCT($H$24:$M$24,H1352:M1352)</f>
        <v/>
      </c>
      <c r="O1352" s="14">
        <f>SQRT(SUMPRODUCT($H$24:$M$24,(H1352:M1352-N1352)^2))</f>
        <v/>
      </c>
      <c r="P1352" s="13">
        <f>MIN(H1352:M1352)</f>
        <v/>
      </c>
      <c r="Q1352" s="13">
        <f>MAX(H1352:M1352)</f>
        <v/>
      </c>
      <c r="R1352" s="27">
        <f>IF(G1352,SUMPRODUCT(($G$76:$G$1505)*($N$76:$N$1505&gt;=N1352)*($O$76:$O$1505&lt;=O1352))=1,FALSE)</f>
        <v/>
      </c>
      <c r="S1352" s="16">
        <f>IF(R1352,ABS((O1352-$AC$76)/MAX(0.0001,$AC$77-$AC$76)-(N1352-$AC$78)/MAX(0.0001,$AC$79-$AC$78)),-1)</f>
        <v/>
      </c>
      <c r="T1352" s="14">
        <f>IF(G1352,O1352,NA())</f>
        <v/>
      </c>
      <c r="U1352" s="13">
        <f>IF(G1352,N1352,NA())</f>
        <v/>
      </c>
      <c r="V1352" s="14">
        <f>IF(R1352,O1352,NA())</f>
        <v/>
      </c>
      <c r="W1352" s="13">
        <f>IF(R1352,N1352,NA())</f>
        <v/>
      </c>
      <c r="X1352" s="27">
        <f>IF(G1352,P1352,"")</f>
        <v/>
      </c>
      <c r="Y1352" s="27">
        <f>IF(G1352,N1352,"")</f>
        <v/>
      </c>
      <c r="Z1352" s="27">
        <f>IF(R1352,O1352,"")</f>
        <v/>
      </c>
      <c r="AA1352" s="27">
        <f>IF(R1352,N1352,"")</f>
        <v/>
      </c>
    </row>
    <row r="1353">
      <c r="A1353" s="31" t="n">
        <v>0.6</v>
      </c>
      <c r="B1353" s="31" t="n">
        <v>0</v>
      </c>
      <c r="C1353" s="31" t="n">
        <v>0.4</v>
      </c>
      <c r="D1353" s="31" t="n">
        <v>0</v>
      </c>
      <c r="E1353" s="27" t="inlineStr">
        <is>
          <t>ON 60%/2M 40%</t>
        </is>
      </c>
      <c r="F1353" s="27" t="n">
        <v>50</v>
      </c>
      <c r="G1353" s="27">
        <f>A1353*$B$7&gt;=$B$9</f>
        <v/>
      </c>
      <c r="H1353" s="13">
        <f>$B$7*(A1353*E$71+B1353*F$71+C1353*G$71+D1353*H$71)+F1353/100*$B$7*J$71-$C$71</f>
        <v/>
      </c>
      <c r="I1353" s="13">
        <f>$B$7*(A1353*L$71+B1353*M$71+C1353*N$71+D1353*O$71)+F1353/100*$B$7*Q$71-$C$71</f>
        <v/>
      </c>
      <c r="J1353" s="13">
        <f>$B$7*(A1353*S$71+B1353*T$71+C1353*U$71+D1353*V$71)+F1353/100*$B$7*X$71-$C$71</f>
        <v/>
      </c>
      <c r="K1353" s="13">
        <f>$B$7*(A1353*Z$71+B1353*AA$71+C1353*AB$71+D1353*AC$71)+F1353/100*$B$7*AE$71-$C$71</f>
        <v/>
      </c>
      <c r="L1353" s="13">
        <f>$B$7*(A1353*AG$71+B1353*AH$71+C1353*AI$71+D1353*AJ$71)+F1353/100*$B$7*AL$71-$C$71</f>
        <v/>
      </c>
      <c r="M1353" s="13">
        <f>$B$7*(A1353*AN$71+B1353*AO$71+C1353*AP$71+D1353*AQ$71)+F1353/100*$B$7*AS$71-$C$71</f>
        <v/>
      </c>
      <c r="N1353" s="13">
        <f>SUMPRODUCT($H$24:$M$24,H1353:M1353)</f>
        <v/>
      </c>
      <c r="O1353" s="14">
        <f>SQRT(SUMPRODUCT($H$24:$M$24,(H1353:M1353-N1353)^2))</f>
        <v/>
      </c>
      <c r="P1353" s="13">
        <f>MIN(H1353:M1353)</f>
        <v/>
      </c>
      <c r="Q1353" s="13">
        <f>MAX(H1353:M1353)</f>
        <v/>
      </c>
      <c r="R1353" s="27">
        <f>IF(G1353,SUMPRODUCT(($G$76:$G$1505)*($N$76:$N$1505&gt;=N1353)*($O$76:$O$1505&lt;=O1353))=1,FALSE)</f>
        <v/>
      </c>
      <c r="S1353" s="16">
        <f>IF(R1353,ABS((O1353-$AC$76)/MAX(0.0001,$AC$77-$AC$76)-(N1353-$AC$78)/MAX(0.0001,$AC$79-$AC$78)),-1)</f>
        <v/>
      </c>
      <c r="T1353" s="14">
        <f>IF(G1353,O1353,NA())</f>
        <v/>
      </c>
      <c r="U1353" s="13">
        <f>IF(G1353,N1353,NA())</f>
        <v/>
      </c>
      <c r="V1353" s="14">
        <f>IF(R1353,O1353,NA())</f>
        <v/>
      </c>
      <c r="W1353" s="13">
        <f>IF(R1353,N1353,NA())</f>
        <v/>
      </c>
      <c r="X1353" s="27">
        <f>IF(G1353,P1353,"")</f>
        <v/>
      </c>
      <c r="Y1353" s="27">
        <f>IF(G1353,N1353,"")</f>
        <v/>
      </c>
      <c r="Z1353" s="27">
        <f>IF(R1353,O1353,"")</f>
        <v/>
      </c>
      <c r="AA1353" s="27">
        <f>IF(R1353,N1353,"")</f>
        <v/>
      </c>
    </row>
    <row r="1354">
      <c r="A1354" s="31" t="n">
        <v>0.6</v>
      </c>
      <c r="B1354" s="31" t="n">
        <v>0</v>
      </c>
      <c r="C1354" s="31" t="n">
        <v>0.4</v>
      </c>
      <c r="D1354" s="31" t="n">
        <v>0</v>
      </c>
      <c r="E1354" s="27" t="inlineStr">
        <is>
          <t>ON 60%/2M 40%</t>
        </is>
      </c>
      <c r="F1354" s="27" t="n">
        <v>75</v>
      </c>
      <c r="G1354" s="27">
        <f>A1354*$B$7&gt;=$B$9</f>
        <v/>
      </c>
      <c r="H1354" s="13">
        <f>$B$7*(A1354*E$71+B1354*F$71+C1354*G$71+D1354*H$71)+F1354/100*$B$7*J$71-$C$71</f>
        <v/>
      </c>
      <c r="I1354" s="13">
        <f>$B$7*(A1354*L$71+B1354*M$71+C1354*N$71+D1354*O$71)+F1354/100*$B$7*Q$71-$C$71</f>
        <v/>
      </c>
      <c r="J1354" s="13">
        <f>$B$7*(A1354*S$71+B1354*T$71+C1354*U$71+D1354*V$71)+F1354/100*$B$7*X$71-$C$71</f>
        <v/>
      </c>
      <c r="K1354" s="13">
        <f>$B$7*(A1354*Z$71+B1354*AA$71+C1354*AB$71+D1354*AC$71)+F1354/100*$B$7*AE$71-$C$71</f>
        <v/>
      </c>
      <c r="L1354" s="13">
        <f>$B$7*(A1354*AG$71+B1354*AH$71+C1354*AI$71+D1354*AJ$71)+F1354/100*$B$7*AL$71-$C$71</f>
        <v/>
      </c>
      <c r="M1354" s="13">
        <f>$B$7*(A1354*AN$71+B1354*AO$71+C1354*AP$71+D1354*AQ$71)+F1354/100*$B$7*AS$71-$C$71</f>
        <v/>
      </c>
      <c r="N1354" s="13">
        <f>SUMPRODUCT($H$24:$M$24,H1354:M1354)</f>
        <v/>
      </c>
      <c r="O1354" s="14">
        <f>SQRT(SUMPRODUCT($H$24:$M$24,(H1354:M1354-N1354)^2))</f>
        <v/>
      </c>
      <c r="P1354" s="13">
        <f>MIN(H1354:M1354)</f>
        <v/>
      </c>
      <c r="Q1354" s="13">
        <f>MAX(H1354:M1354)</f>
        <v/>
      </c>
      <c r="R1354" s="27">
        <f>IF(G1354,SUMPRODUCT(($G$76:$G$1505)*($N$76:$N$1505&gt;=N1354)*($O$76:$O$1505&lt;=O1354))=1,FALSE)</f>
        <v/>
      </c>
      <c r="S1354" s="16">
        <f>IF(R1354,ABS((O1354-$AC$76)/MAX(0.0001,$AC$77-$AC$76)-(N1354-$AC$78)/MAX(0.0001,$AC$79-$AC$78)),-1)</f>
        <v/>
      </c>
      <c r="T1354" s="14">
        <f>IF(G1354,O1354,NA())</f>
        <v/>
      </c>
      <c r="U1354" s="13">
        <f>IF(G1354,N1354,NA())</f>
        <v/>
      </c>
      <c r="V1354" s="14">
        <f>IF(R1354,O1354,NA())</f>
        <v/>
      </c>
      <c r="W1354" s="13">
        <f>IF(R1354,N1354,NA())</f>
        <v/>
      </c>
      <c r="X1354" s="27">
        <f>IF(G1354,P1354,"")</f>
        <v/>
      </c>
      <c r="Y1354" s="27">
        <f>IF(G1354,N1354,"")</f>
        <v/>
      </c>
      <c r="Z1354" s="27">
        <f>IF(R1354,O1354,"")</f>
        <v/>
      </c>
      <c r="AA1354" s="27">
        <f>IF(R1354,N1354,"")</f>
        <v/>
      </c>
    </row>
    <row r="1355">
      <c r="A1355" s="31" t="n">
        <v>0.6</v>
      </c>
      <c r="B1355" s="31" t="n">
        <v>0</v>
      </c>
      <c r="C1355" s="31" t="n">
        <v>0.4</v>
      </c>
      <c r="D1355" s="31" t="n">
        <v>0</v>
      </c>
      <c r="E1355" s="27" t="inlineStr">
        <is>
          <t>ON 60%/2M 40%</t>
        </is>
      </c>
      <c r="F1355" s="27" t="n">
        <v>100</v>
      </c>
      <c r="G1355" s="27">
        <f>A1355*$B$7&gt;=$B$9</f>
        <v/>
      </c>
      <c r="H1355" s="13">
        <f>$B$7*(A1355*E$71+B1355*F$71+C1355*G$71+D1355*H$71)+F1355/100*$B$7*J$71-$C$71</f>
        <v/>
      </c>
      <c r="I1355" s="13">
        <f>$B$7*(A1355*L$71+B1355*M$71+C1355*N$71+D1355*O$71)+F1355/100*$B$7*Q$71-$C$71</f>
        <v/>
      </c>
      <c r="J1355" s="13">
        <f>$B$7*(A1355*S$71+B1355*T$71+C1355*U$71+D1355*V$71)+F1355/100*$B$7*X$71-$C$71</f>
        <v/>
      </c>
      <c r="K1355" s="13">
        <f>$B$7*(A1355*Z$71+B1355*AA$71+C1355*AB$71+D1355*AC$71)+F1355/100*$B$7*AE$71-$C$71</f>
        <v/>
      </c>
      <c r="L1355" s="13">
        <f>$B$7*(A1355*AG$71+B1355*AH$71+C1355*AI$71+D1355*AJ$71)+F1355/100*$B$7*AL$71-$C$71</f>
        <v/>
      </c>
      <c r="M1355" s="13">
        <f>$B$7*(A1355*AN$71+B1355*AO$71+C1355*AP$71+D1355*AQ$71)+F1355/100*$B$7*AS$71-$C$71</f>
        <v/>
      </c>
      <c r="N1355" s="13">
        <f>SUMPRODUCT($H$24:$M$24,H1355:M1355)</f>
        <v/>
      </c>
      <c r="O1355" s="14">
        <f>SQRT(SUMPRODUCT($H$24:$M$24,(H1355:M1355-N1355)^2))</f>
        <v/>
      </c>
      <c r="P1355" s="13">
        <f>MIN(H1355:M1355)</f>
        <v/>
      </c>
      <c r="Q1355" s="13">
        <f>MAX(H1355:M1355)</f>
        <v/>
      </c>
      <c r="R1355" s="27">
        <f>IF(G1355,SUMPRODUCT(($G$76:$G$1505)*($N$76:$N$1505&gt;=N1355)*($O$76:$O$1505&lt;=O1355))=1,FALSE)</f>
        <v/>
      </c>
      <c r="S1355" s="16">
        <f>IF(R1355,ABS((O1355-$AC$76)/MAX(0.0001,$AC$77-$AC$76)-(N1355-$AC$78)/MAX(0.0001,$AC$79-$AC$78)),-1)</f>
        <v/>
      </c>
      <c r="T1355" s="14">
        <f>IF(G1355,O1355,NA())</f>
        <v/>
      </c>
      <c r="U1355" s="13">
        <f>IF(G1355,N1355,NA())</f>
        <v/>
      </c>
      <c r="V1355" s="14">
        <f>IF(R1355,O1355,NA())</f>
        <v/>
      </c>
      <c r="W1355" s="13">
        <f>IF(R1355,N1355,NA())</f>
        <v/>
      </c>
      <c r="X1355" s="27">
        <f>IF(G1355,P1355,"")</f>
        <v/>
      </c>
      <c r="Y1355" s="27">
        <f>IF(G1355,N1355,"")</f>
        <v/>
      </c>
      <c r="Z1355" s="27">
        <f>IF(R1355,O1355,"")</f>
        <v/>
      </c>
      <c r="AA1355" s="27">
        <f>IF(R1355,N1355,"")</f>
        <v/>
      </c>
    </row>
    <row r="1356">
      <c r="A1356" s="31" t="n">
        <v>0.6</v>
      </c>
      <c r="B1356" s="31" t="n">
        <v>0.1</v>
      </c>
      <c r="C1356" s="31" t="n">
        <v>0</v>
      </c>
      <c r="D1356" s="31" t="n">
        <v>0.3</v>
      </c>
      <c r="E1356" s="27" t="inlineStr">
        <is>
          <t>ON 60%/1M 10%/3M 30%</t>
        </is>
      </c>
      <c r="F1356" s="27" t="n">
        <v>0</v>
      </c>
      <c r="G1356" s="27">
        <f>A1356*$B$7&gt;=$B$9</f>
        <v/>
      </c>
      <c r="H1356" s="13">
        <f>$B$7*(A1356*E$71+B1356*F$71+C1356*G$71+D1356*H$71)+F1356/100*$B$7*J$71-$C$71</f>
        <v/>
      </c>
      <c r="I1356" s="13">
        <f>$B$7*(A1356*L$71+B1356*M$71+C1356*N$71+D1356*O$71)+F1356/100*$B$7*Q$71-$C$71</f>
        <v/>
      </c>
      <c r="J1356" s="13">
        <f>$B$7*(A1356*S$71+B1356*T$71+C1356*U$71+D1356*V$71)+F1356/100*$B$7*X$71-$C$71</f>
        <v/>
      </c>
      <c r="K1356" s="13">
        <f>$B$7*(A1356*Z$71+B1356*AA$71+C1356*AB$71+D1356*AC$71)+F1356/100*$B$7*AE$71-$C$71</f>
        <v/>
      </c>
      <c r="L1356" s="13">
        <f>$B$7*(A1356*AG$71+B1356*AH$71+C1356*AI$71+D1356*AJ$71)+F1356/100*$B$7*AL$71-$C$71</f>
        <v/>
      </c>
      <c r="M1356" s="13">
        <f>$B$7*(A1356*AN$71+B1356*AO$71+C1356*AP$71+D1356*AQ$71)+F1356/100*$B$7*AS$71-$C$71</f>
        <v/>
      </c>
      <c r="N1356" s="13">
        <f>SUMPRODUCT($H$24:$M$24,H1356:M1356)</f>
        <v/>
      </c>
      <c r="O1356" s="14">
        <f>SQRT(SUMPRODUCT($H$24:$M$24,(H1356:M1356-N1356)^2))</f>
        <v/>
      </c>
      <c r="P1356" s="13">
        <f>MIN(H1356:M1356)</f>
        <v/>
      </c>
      <c r="Q1356" s="13">
        <f>MAX(H1356:M1356)</f>
        <v/>
      </c>
      <c r="R1356" s="27">
        <f>IF(G1356,SUMPRODUCT(($G$76:$G$1505)*($N$76:$N$1505&gt;=N1356)*($O$76:$O$1505&lt;=O1356))=1,FALSE)</f>
        <v/>
      </c>
      <c r="S1356" s="16">
        <f>IF(R1356,ABS((O1356-$AC$76)/MAX(0.0001,$AC$77-$AC$76)-(N1356-$AC$78)/MAX(0.0001,$AC$79-$AC$78)),-1)</f>
        <v/>
      </c>
      <c r="T1356" s="14">
        <f>IF(G1356,O1356,NA())</f>
        <v/>
      </c>
      <c r="U1356" s="13">
        <f>IF(G1356,N1356,NA())</f>
        <v/>
      </c>
      <c r="V1356" s="14">
        <f>IF(R1356,O1356,NA())</f>
        <v/>
      </c>
      <c r="W1356" s="13">
        <f>IF(R1356,N1356,NA())</f>
        <v/>
      </c>
      <c r="X1356" s="27">
        <f>IF(G1356,P1356,"")</f>
        <v/>
      </c>
      <c r="Y1356" s="27">
        <f>IF(G1356,N1356,"")</f>
        <v/>
      </c>
      <c r="Z1356" s="27">
        <f>IF(R1356,O1356,"")</f>
        <v/>
      </c>
      <c r="AA1356" s="27">
        <f>IF(R1356,N1356,"")</f>
        <v/>
      </c>
    </row>
    <row r="1357">
      <c r="A1357" s="31" t="n">
        <v>0.6</v>
      </c>
      <c r="B1357" s="31" t="n">
        <v>0.1</v>
      </c>
      <c r="C1357" s="31" t="n">
        <v>0</v>
      </c>
      <c r="D1357" s="31" t="n">
        <v>0.3</v>
      </c>
      <c r="E1357" s="27" t="inlineStr">
        <is>
          <t>ON 60%/1M 10%/3M 30%</t>
        </is>
      </c>
      <c r="F1357" s="27" t="n">
        <v>25</v>
      </c>
      <c r="G1357" s="27">
        <f>A1357*$B$7&gt;=$B$9</f>
        <v/>
      </c>
      <c r="H1357" s="13">
        <f>$B$7*(A1357*E$71+B1357*F$71+C1357*G$71+D1357*H$71)+F1357/100*$B$7*J$71-$C$71</f>
        <v/>
      </c>
      <c r="I1357" s="13">
        <f>$B$7*(A1357*L$71+B1357*M$71+C1357*N$71+D1357*O$71)+F1357/100*$B$7*Q$71-$C$71</f>
        <v/>
      </c>
      <c r="J1357" s="13">
        <f>$B$7*(A1357*S$71+B1357*T$71+C1357*U$71+D1357*V$71)+F1357/100*$B$7*X$71-$C$71</f>
        <v/>
      </c>
      <c r="K1357" s="13">
        <f>$B$7*(A1357*Z$71+B1357*AA$71+C1357*AB$71+D1357*AC$71)+F1357/100*$B$7*AE$71-$C$71</f>
        <v/>
      </c>
      <c r="L1357" s="13">
        <f>$B$7*(A1357*AG$71+B1357*AH$71+C1357*AI$71+D1357*AJ$71)+F1357/100*$B$7*AL$71-$C$71</f>
        <v/>
      </c>
      <c r="M1357" s="13">
        <f>$B$7*(A1357*AN$71+B1357*AO$71+C1357*AP$71+D1357*AQ$71)+F1357/100*$B$7*AS$71-$C$71</f>
        <v/>
      </c>
      <c r="N1357" s="13">
        <f>SUMPRODUCT($H$24:$M$24,H1357:M1357)</f>
        <v/>
      </c>
      <c r="O1357" s="14">
        <f>SQRT(SUMPRODUCT($H$24:$M$24,(H1357:M1357-N1357)^2))</f>
        <v/>
      </c>
      <c r="P1357" s="13">
        <f>MIN(H1357:M1357)</f>
        <v/>
      </c>
      <c r="Q1357" s="13">
        <f>MAX(H1357:M1357)</f>
        <v/>
      </c>
      <c r="R1357" s="27">
        <f>IF(G1357,SUMPRODUCT(($G$76:$G$1505)*($N$76:$N$1505&gt;=N1357)*($O$76:$O$1505&lt;=O1357))=1,FALSE)</f>
        <v/>
      </c>
      <c r="S1357" s="16">
        <f>IF(R1357,ABS((O1357-$AC$76)/MAX(0.0001,$AC$77-$AC$76)-(N1357-$AC$78)/MAX(0.0001,$AC$79-$AC$78)),-1)</f>
        <v/>
      </c>
      <c r="T1357" s="14">
        <f>IF(G1357,O1357,NA())</f>
        <v/>
      </c>
      <c r="U1357" s="13">
        <f>IF(G1357,N1357,NA())</f>
        <v/>
      </c>
      <c r="V1357" s="14">
        <f>IF(R1357,O1357,NA())</f>
        <v/>
      </c>
      <c r="W1357" s="13">
        <f>IF(R1357,N1357,NA())</f>
        <v/>
      </c>
      <c r="X1357" s="27">
        <f>IF(G1357,P1357,"")</f>
        <v/>
      </c>
      <c r="Y1357" s="27">
        <f>IF(G1357,N1357,"")</f>
        <v/>
      </c>
      <c r="Z1357" s="27">
        <f>IF(R1357,O1357,"")</f>
        <v/>
      </c>
      <c r="AA1357" s="27">
        <f>IF(R1357,N1357,"")</f>
        <v/>
      </c>
    </row>
    <row r="1358">
      <c r="A1358" s="31" t="n">
        <v>0.6</v>
      </c>
      <c r="B1358" s="31" t="n">
        <v>0.1</v>
      </c>
      <c r="C1358" s="31" t="n">
        <v>0</v>
      </c>
      <c r="D1358" s="31" t="n">
        <v>0.3</v>
      </c>
      <c r="E1358" s="27" t="inlineStr">
        <is>
          <t>ON 60%/1M 10%/3M 30%</t>
        </is>
      </c>
      <c r="F1358" s="27" t="n">
        <v>50</v>
      </c>
      <c r="G1358" s="27">
        <f>A1358*$B$7&gt;=$B$9</f>
        <v/>
      </c>
      <c r="H1358" s="13">
        <f>$B$7*(A1358*E$71+B1358*F$71+C1358*G$71+D1358*H$71)+F1358/100*$B$7*J$71-$C$71</f>
        <v/>
      </c>
      <c r="I1358" s="13">
        <f>$B$7*(A1358*L$71+B1358*M$71+C1358*N$71+D1358*O$71)+F1358/100*$B$7*Q$71-$C$71</f>
        <v/>
      </c>
      <c r="J1358" s="13">
        <f>$B$7*(A1358*S$71+B1358*T$71+C1358*U$71+D1358*V$71)+F1358/100*$B$7*X$71-$C$71</f>
        <v/>
      </c>
      <c r="K1358" s="13">
        <f>$B$7*(A1358*Z$71+B1358*AA$71+C1358*AB$71+D1358*AC$71)+F1358/100*$B$7*AE$71-$C$71</f>
        <v/>
      </c>
      <c r="L1358" s="13">
        <f>$B$7*(A1358*AG$71+B1358*AH$71+C1358*AI$71+D1358*AJ$71)+F1358/100*$B$7*AL$71-$C$71</f>
        <v/>
      </c>
      <c r="M1358" s="13">
        <f>$B$7*(A1358*AN$71+B1358*AO$71+C1358*AP$71+D1358*AQ$71)+F1358/100*$B$7*AS$71-$C$71</f>
        <v/>
      </c>
      <c r="N1358" s="13">
        <f>SUMPRODUCT($H$24:$M$24,H1358:M1358)</f>
        <v/>
      </c>
      <c r="O1358" s="14">
        <f>SQRT(SUMPRODUCT($H$24:$M$24,(H1358:M1358-N1358)^2))</f>
        <v/>
      </c>
      <c r="P1358" s="13">
        <f>MIN(H1358:M1358)</f>
        <v/>
      </c>
      <c r="Q1358" s="13">
        <f>MAX(H1358:M1358)</f>
        <v/>
      </c>
      <c r="R1358" s="27">
        <f>IF(G1358,SUMPRODUCT(($G$76:$G$1505)*($N$76:$N$1505&gt;=N1358)*($O$76:$O$1505&lt;=O1358))=1,FALSE)</f>
        <v/>
      </c>
      <c r="S1358" s="16">
        <f>IF(R1358,ABS((O1358-$AC$76)/MAX(0.0001,$AC$77-$AC$76)-(N1358-$AC$78)/MAX(0.0001,$AC$79-$AC$78)),-1)</f>
        <v/>
      </c>
      <c r="T1358" s="14">
        <f>IF(G1358,O1358,NA())</f>
        <v/>
      </c>
      <c r="U1358" s="13">
        <f>IF(G1358,N1358,NA())</f>
        <v/>
      </c>
      <c r="V1358" s="14">
        <f>IF(R1358,O1358,NA())</f>
        <v/>
      </c>
      <c r="W1358" s="13">
        <f>IF(R1358,N1358,NA())</f>
        <v/>
      </c>
      <c r="X1358" s="27">
        <f>IF(G1358,P1358,"")</f>
        <v/>
      </c>
      <c r="Y1358" s="27">
        <f>IF(G1358,N1358,"")</f>
        <v/>
      </c>
      <c r="Z1358" s="27">
        <f>IF(R1358,O1358,"")</f>
        <v/>
      </c>
      <c r="AA1358" s="27">
        <f>IF(R1358,N1358,"")</f>
        <v/>
      </c>
    </row>
    <row r="1359">
      <c r="A1359" s="31" t="n">
        <v>0.6</v>
      </c>
      <c r="B1359" s="31" t="n">
        <v>0.1</v>
      </c>
      <c r="C1359" s="31" t="n">
        <v>0</v>
      </c>
      <c r="D1359" s="31" t="n">
        <v>0.3</v>
      </c>
      <c r="E1359" s="27" t="inlineStr">
        <is>
          <t>ON 60%/1M 10%/3M 30%</t>
        </is>
      </c>
      <c r="F1359" s="27" t="n">
        <v>75</v>
      </c>
      <c r="G1359" s="27">
        <f>A1359*$B$7&gt;=$B$9</f>
        <v/>
      </c>
      <c r="H1359" s="13">
        <f>$B$7*(A1359*E$71+B1359*F$71+C1359*G$71+D1359*H$71)+F1359/100*$B$7*J$71-$C$71</f>
        <v/>
      </c>
      <c r="I1359" s="13">
        <f>$B$7*(A1359*L$71+B1359*M$71+C1359*N$71+D1359*O$71)+F1359/100*$B$7*Q$71-$C$71</f>
        <v/>
      </c>
      <c r="J1359" s="13">
        <f>$B$7*(A1359*S$71+B1359*T$71+C1359*U$71+D1359*V$71)+F1359/100*$B$7*X$71-$C$71</f>
        <v/>
      </c>
      <c r="K1359" s="13">
        <f>$B$7*(A1359*Z$71+B1359*AA$71+C1359*AB$71+D1359*AC$71)+F1359/100*$B$7*AE$71-$C$71</f>
        <v/>
      </c>
      <c r="L1359" s="13">
        <f>$B$7*(A1359*AG$71+B1359*AH$71+C1359*AI$71+D1359*AJ$71)+F1359/100*$B$7*AL$71-$C$71</f>
        <v/>
      </c>
      <c r="M1359" s="13">
        <f>$B$7*(A1359*AN$71+B1359*AO$71+C1359*AP$71+D1359*AQ$71)+F1359/100*$B$7*AS$71-$C$71</f>
        <v/>
      </c>
      <c r="N1359" s="13">
        <f>SUMPRODUCT($H$24:$M$24,H1359:M1359)</f>
        <v/>
      </c>
      <c r="O1359" s="14">
        <f>SQRT(SUMPRODUCT($H$24:$M$24,(H1359:M1359-N1359)^2))</f>
        <v/>
      </c>
      <c r="P1359" s="13">
        <f>MIN(H1359:M1359)</f>
        <v/>
      </c>
      <c r="Q1359" s="13">
        <f>MAX(H1359:M1359)</f>
        <v/>
      </c>
      <c r="R1359" s="27">
        <f>IF(G1359,SUMPRODUCT(($G$76:$G$1505)*($N$76:$N$1505&gt;=N1359)*($O$76:$O$1505&lt;=O1359))=1,FALSE)</f>
        <v/>
      </c>
      <c r="S1359" s="16">
        <f>IF(R1359,ABS((O1359-$AC$76)/MAX(0.0001,$AC$77-$AC$76)-(N1359-$AC$78)/MAX(0.0001,$AC$79-$AC$78)),-1)</f>
        <v/>
      </c>
      <c r="T1359" s="14">
        <f>IF(G1359,O1359,NA())</f>
        <v/>
      </c>
      <c r="U1359" s="13">
        <f>IF(G1359,N1359,NA())</f>
        <v/>
      </c>
      <c r="V1359" s="14">
        <f>IF(R1359,O1359,NA())</f>
        <v/>
      </c>
      <c r="W1359" s="13">
        <f>IF(R1359,N1359,NA())</f>
        <v/>
      </c>
      <c r="X1359" s="27">
        <f>IF(G1359,P1359,"")</f>
        <v/>
      </c>
      <c r="Y1359" s="27">
        <f>IF(G1359,N1359,"")</f>
        <v/>
      </c>
      <c r="Z1359" s="27">
        <f>IF(R1359,O1359,"")</f>
        <v/>
      </c>
      <c r="AA1359" s="27">
        <f>IF(R1359,N1359,"")</f>
        <v/>
      </c>
    </row>
    <row r="1360">
      <c r="A1360" s="31" t="n">
        <v>0.6</v>
      </c>
      <c r="B1360" s="31" t="n">
        <v>0.1</v>
      </c>
      <c r="C1360" s="31" t="n">
        <v>0</v>
      </c>
      <c r="D1360" s="31" t="n">
        <v>0.3</v>
      </c>
      <c r="E1360" s="27" t="inlineStr">
        <is>
          <t>ON 60%/1M 10%/3M 30%</t>
        </is>
      </c>
      <c r="F1360" s="27" t="n">
        <v>100</v>
      </c>
      <c r="G1360" s="27">
        <f>A1360*$B$7&gt;=$B$9</f>
        <v/>
      </c>
      <c r="H1360" s="13">
        <f>$B$7*(A1360*E$71+B1360*F$71+C1360*G$71+D1360*H$71)+F1360/100*$B$7*J$71-$C$71</f>
        <v/>
      </c>
      <c r="I1360" s="13">
        <f>$B$7*(A1360*L$71+B1360*M$71+C1360*N$71+D1360*O$71)+F1360/100*$B$7*Q$71-$C$71</f>
        <v/>
      </c>
      <c r="J1360" s="13">
        <f>$B$7*(A1360*S$71+B1360*T$71+C1360*U$71+D1360*V$71)+F1360/100*$B$7*X$71-$C$71</f>
        <v/>
      </c>
      <c r="K1360" s="13">
        <f>$B$7*(A1360*Z$71+B1360*AA$71+C1360*AB$71+D1360*AC$71)+F1360/100*$B$7*AE$71-$C$71</f>
        <v/>
      </c>
      <c r="L1360" s="13">
        <f>$B$7*(A1360*AG$71+B1360*AH$71+C1360*AI$71+D1360*AJ$71)+F1360/100*$B$7*AL$71-$C$71</f>
        <v/>
      </c>
      <c r="M1360" s="13">
        <f>$B$7*(A1360*AN$71+B1360*AO$71+C1360*AP$71+D1360*AQ$71)+F1360/100*$B$7*AS$71-$C$71</f>
        <v/>
      </c>
      <c r="N1360" s="13">
        <f>SUMPRODUCT($H$24:$M$24,H1360:M1360)</f>
        <v/>
      </c>
      <c r="O1360" s="14">
        <f>SQRT(SUMPRODUCT($H$24:$M$24,(H1360:M1360-N1360)^2))</f>
        <v/>
      </c>
      <c r="P1360" s="13">
        <f>MIN(H1360:M1360)</f>
        <v/>
      </c>
      <c r="Q1360" s="13">
        <f>MAX(H1360:M1360)</f>
        <v/>
      </c>
      <c r="R1360" s="27">
        <f>IF(G1360,SUMPRODUCT(($G$76:$G$1505)*($N$76:$N$1505&gt;=N1360)*($O$76:$O$1505&lt;=O1360))=1,FALSE)</f>
        <v/>
      </c>
      <c r="S1360" s="16">
        <f>IF(R1360,ABS((O1360-$AC$76)/MAX(0.0001,$AC$77-$AC$76)-(N1360-$AC$78)/MAX(0.0001,$AC$79-$AC$78)),-1)</f>
        <v/>
      </c>
      <c r="T1360" s="14">
        <f>IF(G1360,O1360,NA())</f>
        <v/>
      </c>
      <c r="U1360" s="13">
        <f>IF(G1360,N1360,NA())</f>
        <v/>
      </c>
      <c r="V1360" s="14">
        <f>IF(R1360,O1360,NA())</f>
        <v/>
      </c>
      <c r="W1360" s="13">
        <f>IF(R1360,N1360,NA())</f>
        <v/>
      </c>
      <c r="X1360" s="27">
        <f>IF(G1360,P1360,"")</f>
        <v/>
      </c>
      <c r="Y1360" s="27">
        <f>IF(G1360,N1360,"")</f>
        <v/>
      </c>
      <c r="Z1360" s="27">
        <f>IF(R1360,O1360,"")</f>
        <v/>
      </c>
      <c r="AA1360" s="27">
        <f>IF(R1360,N1360,"")</f>
        <v/>
      </c>
    </row>
    <row r="1361">
      <c r="A1361" s="31" t="n">
        <v>0.6</v>
      </c>
      <c r="B1361" s="31" t="n">
        <v>0.1</v>
      </c>
      <c r="C1361" s="31" t="n">
        <v>0.1</v>
      </c>
      <c r="D1361" s="31" t="n">
        <v>0.2</v>
      </c>
      <c r="E1361" s="27" t="inlineStr">
        <is>
          <t>ON 60%/1M 10%/2M 10%/3M 20%</t>
        </is>
      </c>
      <c r="F1361" s="27" t="n">
        <v>0</v>
      </c>
      <c r="G1361" s="27">
        <f>A1361*$B$7&gt;=$B$9</f>
        <v/>
      </c>
      <c r="H1361" s="13">
        <f>$B$7*(A1361*E$71+B1361*F$71+C1361*G$71+D1361*H$71)+F1361/100*$B$7*J$71-$C$71</f>
        <v/>
      </c>
      <c r="I1361" s="13">
        <f>$B$7*(A1361*L$71+B1361*M$71+C1361*N$71+D1361*O$71)+F1361/100*$B$7*Q$71-$C$71</f>
        <v/>
      </c>
      <c r="J1361" s="13">
        <f>$B$7*(A1361*S$71+B1361*T$71+C1361*U$71+D1361*V$71)+F1361/100*$B$7*X$71-$C$71</f>
        <v/>
      </c>
      <c r="K1361" s="13">
        <f>$B$7*(A1361*Z$71+B1361*AA$71+C1361*AB$71+D1361*AC$71)+F1361/100*$B$7*AE$71-$C$71</f>
        <v/>
      </c>
      <c r="L1361" s="13">
        <f>$B$7*(A1361*AG$71+B1361*AH$71+C1361*AI$71+D1361*AJ$71)+F1361/100*$B$7*AL$71-$C$71</f>
        <v/>
      </c>
      <c r="M1361" s="13">
        <f>$B$7*(A1361*AN$71+B1361*AO$71+C1361*AP$71+D1361*AQ$71)+F1361/100*$B$7*AS$71-$C$71</f>
        <v/>
      </c>
      <c r="N1361" s="13">
        <f>SUMPRODUCT($H$24:$M$24,H1361:M1361)</f>
        <v/>
      </c>
      <c r="O1361" s="14">
        <f>SQRT(SUMPRODUCT($H$24:$M$24,(H1361:M1361-N1361)^2))</f>
        <v/>
      </c>
      <c r="P1361" s="13">
        <f>MIN(H1361:M1361)</f>
        <v/>
      </c>
      <c r="Q1361" s="13">
        <f>MAX(H1361:M1361)</f>
        <v/>
      </c>
      <c r="R1361" s="27">
        <f>IF(G1361,SUMPRODUCT(($G$76:$G$1505)*($N$76:$N$1505&gt;=N1361)*($O$76:$O$1505&lt;=O1361))=1,FALSE)</f>
        <v/>
      </c>
      <c r="S1361" s="16">
        <f>IF(R1361,ABS((O1361-$AC$76)/MAX(0.0001,$AC$77-$AC$76)-(N1361-$AC$78)/MAX(0.0001,$AC$79-$AC$78)),-1)</f>
        <v/>
      </c>
      <c r="T1361" s="14">
        <f>IF(G1361,O1361,NA())</f>
        <v/>
      </c>
      <c r="U1361" s="13">
        <f>IF(G1361,N1361,NA())</f>
        <v/>
      </c>
      <c r="V1361" s="14">
        <f>IF(R1361,O1361,NA())</f>
        <v/>
      </c>
      <c r="W1361" s="13">
        <f>IF(R1361,N1361,NA())</f>
        <v/>
      </c>
      <c r="X1361" s="27">
        <f>IF(G1361,P1361,"")</f>
        <v/>
      </c>
      <c r="Y1361" s="27">
        <f>IF(G1361,N1361,"")</f>
        <v/>
      </c>
      <c r="Z1361" s="27">
        <f>IF(R1361,O1361,"")</f>
        <v/>
      </c>
      <c r="AA1361" s="27">
        <f>IF(R1361,N1361,"")</f>
        <v/>
      </c>
    </row>
    <row r="1362">
      <c r="A1362" s="31" t="n">
        <v>0.6</v>
      </c>
      <c r="B1362" s="31" t="n">
        <v>0.1</v>
      </c>
      <c r="C1362" s="31" t="n">
        <v>0.1</v>
      </c>
      <c r="D1362" s="31" t="n">
        <v>0.2</v>
      </c>
      <c r="E1362" s="27" t="inlineStr">
        <is>
          <t>ON 60%/1M 10%/2M 10%/3M 20%</t>
        </is>
      </c>
      <c r="F1362" s="27" t="n">
        <v>25</v>
      </c>
      <c r="G1362" s="27">
        <f>A1362*$B$7&gt;=$B$9</f>
        <v/>
      </c>
      <c r="H1362" s="13">
        <f>$B$7*(A1362*E$71+B1362*F$71+C1362*G$71+D1362*H$71)+F1362/100*$B$7*J$71-$C$71</f>
        <v/>
      </c>
      <c r="I1362" s="13">
        <f>$B$7*(A1362*L$71+B1362*M$71+C1362*N$71+D1362*O$71)+F1362/100*$B$7*Q$71-$C$71</f>
        <v/>
      </c>
      <c r="J1362" s="13">
        <f>$B$7*(A1362*S$71+B1362*T$71+C1362*U$71+D1362*V$71)+F1362/100*$B$7*X$71-$C$71</f>
        <v/>
      </c>
      <c r="K1362" s="13">
        <f>$B$7*(A1362*Z$71+B1362*AA$71+C1362*AB$71+D1362*AC$71)+F1362/100*$B$7*AE$71-$C$71</f>
        <v/>
      </c>
      <c r="L1362" s="13">
        <f>$B$7*(A1362*AG$71+B1362*AH$71+C1362*AI$71+D1362*AJ$71)+F1362/100*$B$7*AL$71-$C$71</f>
        <v/>
      </c>
      <c r="M1362" s="13">
        <f>$B$7*(A1362*AN$71+B1362*AO$71+C1362*AP$71+D1362*AQ$71)+F1362/100*$B$7*AS$71-$C$71</f>
        <v/>
      </c>
      <c r="N1362" s="13">
        <f>SUMPRODUCT($H$24:$M$24,H1362:M1362)</f>
        <v/>
      </c>
      <c r="O1362" s="14">
        <f>SQRT(SUMPRODUCT($H$24:$M$24,(H1362:M1362-N1362)^2))</f>
        <v/>
      </c>
      <c r="P1362" s="13">
        <f>MIN(H1362:M1362)</f>
        <v/>
      </c>
      <c r="Q1362" s="13">
        <f>MAX(H1362:M1362)</f>
        <v/>
      </c>
      <c r="R1362" s="27">
        <f>IF(G1362,SUMPRODUCT(($G$76:$G$1505)*($N$76:$N$1505&gt;=N1362)*($O$76:$O$1505&lt;=O1362))=1,FALSE)</f>
        <v/>
      </c>
      <c r="S1362" s="16">
        <f>IF(R1362,ABS((O1362-$AC$76)/MAX(0.0001,$AC$77-$AC$76)-(N1362-$AC$78)/MAX(0.0001,$AC$79-$AC$78)),-1)</f>
        <v/>
      </c>
      <c r="T1362" s="14">
        <f>IF(G1362,O1362,NA())</f>
        <v/>
      </c>
      <c r="U1362" s="13">
        <f>IF(G1362,N1362,NA())</f>
        <v/>
      </c>
      <c r="V1362" s="14">
        <f>IF(R1362,O1362,NA())</f>
        <v/>
      </c>
      <c r="W1362" s="13">
        <f>IF(R1362,N1362,NA())</f>
        <v/>
      </c>
      <c r="X1362" s="27">
        <f>IF(G1362,P1362,"")</f>
        <v/>
      </c>
      <c r="Y1362" s="27">
        <f>IF(G1362,N1362,"")</f>
        <v/>
      </c>
      <c r="Z1362" s="27">
        <f>IF(R1362,O1362,"")</f>
        <v/>
      </c>
      <c r="AA1362" s="27">
        <f>IF(R1362,N1362,"")</f>
        <v/>
      </c>
    </row>
    <row r="1363">
      <c r="A1363" s="31" t="n">
        <v>0.6</v>
      </c>
      <c r="B1363" s="31" t="n">
        <v>0.1</v>
      </c>
      <c r="C1363" s="31" t="n">
        <v>0.1</v>
      </c>
      <c r="D1363" s="31" t="n">
        <v>0.2</v>
      </c>
      <c r="E1363" s="27" t="inlineStr">
        <is>
          <t>ON 60%/1M 10%/2M 10%/3M 20%</t>
        </is>
      </c>
      <c r="F1363" s="27" t="n">
        <v>50</v>
      </c>
      <c r="G1363" s="27">
        <f>A1363*$B$7&gt;=$B$9</f>
        <v/>
      </c>
      <c r="H1363" s="13">
        <f>$B$7*(A1363*E$71+B1363*F$71+C1363*G$71+D1363*H$71)+F1363/100*$B$7*J$71-$C$71</f>
        <v/>
      </c>
      <c r="I1363" s="13">
        <f>$B$7*(A1363*L$71+B1363*M$71+C1363*N$71+D1363*O$71)+F1363/100*$B$7*Q$71-$C$71</f>
        <v/>
      </c>
      <c r="J1363" s="13">
        <f>$B$7*(A1363*S$71+B1363*T$71+C1363*U$71+D1363*V$71)+F1363/100*$B$7*X$71-$C$71</f>
        <v/>
      </c>
      <c r="K1363" s="13">
        <f>$B$7*(A1363*Z$71+B1363*AA$71+C1363*AB$71+D1363*AC$71)+F1363/100*$B$7*AE$71-$C$71</f>
        <v/>
      </c>
      <c r="L1363" s="13">
        <f>$B$7*(A1363*AG$71+B1363*AH$71+C1363*AI$71+D1363*AJ$71)+F1363/100*$B$7*AL$71-$C$71</f>
        <v/>
      </c>
      <c r="M1363" s="13">
        <f>$B$7*(A1363*AN$71+B1363*AO$71+C1363*AP$71+D1363*AQ$71)+F1363/100*$B$7*AS$71-$C$71</f>
        <v/>
      </c>
      <c r="N1363" s="13">
        <f>SUMPRODUCT($H$24:$M$24,H1363:M1363)</f>
        <v/>
      </c>
      <c r="O1363" s="14">
        <f>SQRT(SUMPRODUCT($H$24:$M$24,(H1363:M1363-N1363)^2))</f>
        <v/>
      </c>
      <c r="P1363" s="13">
        <f>MIN(H1363:M1363)</f>
        <v/>
      </c>
      <c r="Q1363" s="13">
        <f>MAX(H1363:M1363)</f>
        <v/>
      </c>
      <c r="R1363" s="27">
        <f>IF(G1363,SUMPRODUCT(($G$76:$G$1505)*($N$76:$N$1505&gt;=N1363)*($O$76:$O$1505&lt;=O1363))=1,FALSE)</f>
        <v/>
      </c>
      <c r="S1363" s="16">
        <f>IF(R1363,ABS((O1363-$AC$76)/MAX(0.0001,$AC$77-$AC$76)-(N1363-$AC$78)/MAX(0.0001,$AC$79-$AC$78)),-1)</f>
        <v/>
      </c>
      <c r="T1363" s="14">
        <f>IF(G1363,O1363,NA())</f>
        <v/>
      </c>
      <c r="U1363" s="13">
        <f>IF(G1363,N1363,NA())</f>
        <v/>
      </c>
      <c r="V1363" s="14">
        <f>IF(R1363,O1363,NA())</f>
        <v/>
      </c>
      <c r="W1363" s="13">
        <f>IF(R1363,N1363,NA())</f>
        <v/>
      </c>
      <c r="X1363" s="27">
        <f>IF(G1363,P1363,"")</f>
        <v/>
      </c>
      <c r="Y1363" s="27">
        <f>IF(G1363,N1363,"")</f>
        <v/>
      </c>
      <c r="Z1363" s="27">
        <f>IF(R1363,O1363,"")</f>
        <v/>
      </c>
      <c r="AA1363" s="27">
        <f>IF(R1363,N1363,"")</f>
        <v/>
      </c>
    </row>
    <row r="1364">
      <c r="A1364" s="31" t="n">
        <v>0.6</v>
      </c>
      <c r="B1364" s="31" t="n">
        <v>0.1</v>
      </c>
      <c r="C1364" s="31" t="n">
        <v>0.1</v>
      </c>
      <c r="D1364" s="31" t="n">
        <v>0.2</v>
      </c>
      <c r="E1364" s="27" t="inlineStr">
        <is>
          <t>ON 60%/1M 10%/2M 10%/3M 20%</t>
        </is>
      </c>
      <c r="F1364" s="27" t="n">
        <v>75</v>
      </c>
      <c r="G1364" s="27">
        <f>A1364*$B$7&gt;=$B$9</f>
        <v/>
      </c>
      <c r="H1364" s="13">
        <f>$B$7*(A1364*E$71+B1364*F$71+C1364*G$71+D1364*H$71)+F1364/100*$B$7*J$71-$C$71</f>
        <v/>
      </c>
      <c r="I1364" s="13">
        <f>$B$7*(A1364*L$71+B1364*M$71+C1364*N$71+D1364*O$71)+F1364/100*$B$7*Q$71-$C$71</f>
        <v/>
      </c>
      <c r="J1364" s="13">
        <f>$B$7*(A1364*S$71+B1364*T$71+C1364*U$71+D1364*V$71)+F1364/100*$B$7*X$71-$C$71</f>
        <v/>
      </c>
      <c r="K1364" s="13">
        <f>$B$7*(A1364*Z$71+B1364*AA$71+C1364*AB$71+D1364*AC$71)+F1364/100*$B$7*AE$71-$C$71</f>
        <v/>
      </c>
      <c r="L1364" s="13">
        <f>$B$7*(A1364*AG$71+B1364*AH$71+C1364*AI$71+D1364*AJ$71)+F1364/100*$B$7*AL$71-$C$71</f>
        <v/>
      </c>
      <c r="M1364" s="13">
        <f>$B$7*(A1364*AN$71+B1364*AO$71+C1364*AP$71+D1364*AQ$71)+F1364/100*$B$7*AS$71-$C$71</f>
        <v/>
      </c>
      <c r="N1364" s="13">
        <f>SUMPRODUCT($H$24:$M$24,H1364:M1364)</f>
        <v/>
      </c>
      <c r="O1364" s="14">
        <f>SQRT(SUMPRODUCT($H$24:$M$24,(H1364:M1364-N1364)^2))</f>
        <v/>
      </c>
      <c r="P1364" s="13">
        <f>MIN(H1364:M1364)</f>
        <v/>
      </c>
      <c r="Q1364" s="13">
        <f>MAX(H1364:M1364)</f>
        <v/>
      </c>
      <c r="R1364" s="27">
        <f>IF(G1364,SUMPRODUCT(($G$76:$G$1505)*($N$76:$N$1505&gt;=N1364)*($O$76:$O$1505&lt;=O1364))=1,FALSE)</f>
        <v/>
      </c>
      <c r="S1364" s="16">
        <f>IF(R1364,ABS((O1364-$AC$76)/MAX(0.0001,$AC$77-$AC$76)-(N1364-$AC$78)/MAX(0.0001,$AC$79-$AC$78)),-1)</f>
        <v/>
      </c>
      <c r="T1364" s="14">
        <f>IF(G1364,O1364,NA())</f>
        <v/>
      </c>
      <c r="U1364" s="13">
        <f>IF(G1364,N1364,NA())</f>
        <v/>
      </c>
      <c r="V1364" s="14">
        <f>IF(R1364,O1364,NA())</f>
        <v/>
      </c>
      <c r="W1364" s="13">
        <f>IF(R1364,N1364,NA())</f>
        <v/>
      </c>
      <c r="X1364" s="27">
        <f>IF(G1364,P1364,"")</f>
        <v/>
      </c>
      <c r="Y1364" s="27">
        <f>IF(G1364,N1364,"")</f>
        <v/>
      </c>
      <c r="Z1364" s="27">
        <f>IF(R1364,O1364,"")</f>
        <v/>
      </c>
      <c r="AA1364" s="27">
        <f>IF(R1364,N1364,"")</f>
        <v/>
      </c>
    </row>
    <row r="1365">
      <c r="A1365" s="31" t="n">
        <v>0.6</v>
      </c>
      <c r="B1365" s="31" t="n">
        <v>0.1</v>
      </c>
      <c r="C1365" s="31" t="n">
        <v>0.1</v>
      </c>
      <c r="D1365" s="31" t="n">
        <v>0.2</v>
      </c>
      <c r="E1365" s="27" t="inlineStr">
        <is>
          <t>ON 60%/1M 10%/2M 10%/3M 20%</t>
        </is>
      </c>
      <c r="F1365" s="27" t="n">
        <v>100</v>
      </c>
      <c r="G1365" s="27">
        <f>A1365*$B$7&gt;=$B$9</f>
        <v/>
      </c>
      <c r="H1365" s="13">
        <f>$B$7*(A1365*E$71+B1365*F$71+C1365*G$71+D1365*H$71)+F1365/100*$B$7*J$71-$C$71</f>
        <v/>
      </c>
      <c r="I1365" s="13">
        <f>$B$7*(A1365*L$71+B1365*M$71+C1365*N$71+D1365*O$71)+F1365/100*$B$7*Q$71-$C$71</f>
        <v/>
      </c>
      <c r="J1365" s="13">
        <f>$B$7*(A1365*S$71+B1365*T$71+C1365*U$71+D1365*V$71)+F1365/100*$B$7*X$71-$C$71</f>
        <v/>
      </c>
      <c r="K1365" s="13">
        <f>$B$7*(A1365*Z$71+B1365*AA$71+C1365*AB$71+D1365*AC$71)+F1365/100*$B$7*AE$71-$C$71</f>
        <v/>
      </c>
      <c r="L1365" s="13">
        <f>$B$7*(A1365*AG$71+B1365*AH$71+C1365*AI$71+D1365*AJ$71)+F1365/100*$B$7*AL$71-$C$71</f>
        <v/>
      </c>
      <c r="M1365" s="13">
        <f>$B$7*(A1365*AN$71+B1365*AO$71+C1365*AP$71+D1365*AQ$71)+F1365/100*$B$7*AS$71-$C$71</f>
        <v/>
      </c>
      <c r="N1365" s="13">
        <f>SUMPRODUCT($H$24:$M$24,H1365:M1365)</f>
        <v/>
      </c>
      <c r="O1365" s="14">
        <f>SQRT(SUMPRODUCT($H$24:$M$24,(H1365:M1365-N1365)^2))</f>
        <v/>
      </c>
      <c r="P1365" s="13">
        <f>MIN(H1365:M1365)</f>
        <v/>
      </c>
      <c r="Q1365" s="13">
        <f>MAX(H1365:M1365)</f>
        <v/>
      </c>
      <c r="R1365" s="27">
        <f>IF(G1365,SUMPRODUCT(($G$76:$G$1505)*($N$76:$N$1505&gt;=N1365)*($O$76:$O$1505&lt;=O1365))=1,FALSE)</f>
        <v/>
      </c>
      <c r="S1365" s="16">
        <f>IF(R1365,ABS((O1365-$AC$76)/MAX(0.0001,$AC$77-$AC$76)-(N1365-$AC$78)/MAX(0.0001,$AC$79-$AC$78)),-1)</f>
        <v/>
      </c>
      <c r="T1365" s="14">
        <f>IF(G1365,O1365,NA())</f>
        <v/>
      </c>
      <c r="U1365" s="13">
        <f>IF(G1365,N1365,NA())</f>
        <v/>
      </c>
      <c r="V1365" s="14">
        <f>IF(R1365,O1365,NA())</f>
        <v/>
      </c>
      <c r="W1365" s="13">
        <f>IF(R1365,N1365,NA())</f>
        <v/>
      </c>
      <c r="X1365" s="27">
        <f>IF(G1365,P1365,"")</f>
        <v/>
      </c>
      <c r="Y1365" s="27">
        <f>IF(G1365,N1365,"")</f>
        <v/>
      </c>
      <c r="Z1365" s="27">
        <f>IF(R1365,O1365,"")</f>
        <v/>
      </c>
      <c r="AA1365" s="27">
        <f>IF(R1365,N1365,"")</f>
        <v/>
      </c>
    </row>
    <row r="1366">
      <c r="A1366" s="31" t="n">
        <v>0.6</v>
      </c>
      <c r="B1366" s="31" t="n">
        <v>0.1</v>
      </c>
      <c r="C1366" s="31" t="n">
        <v>0.2</v>
      </c>
      <c r="D1366" s="31" t="n">
        <v>0.1</v>
      </c>
      <c r="E1366" s="27" t="inlineStr">
        <is>
          <t>ON 60%/1M 10%/2M 20%/3M 10%</t>
        </is>
      </c>
      <c r="F1366" s="27" t="n">
        <v>0</v>
      </c>
      <c r="G1366" s="27">
        <f>A1366*$B$7&gt;=$B$9</f>
        <v/>
      </c>
      <c r="H1366" s="13">
        <f>$B$7*(A1366*E$71+B1366*F$71+C1366*G$71+D1366*H$71)+F1366/100*$B$7*J$71-$C$71</f>
        <v/>
      </c>
      <c r="I1366" s="13">
        <f>$B$7*(A1366*L$71+B1366*M$71+C1366*N$71+D1366*O$71)+F1366/100*$B$7*Q$71-$C$71</f>
        <v/>
      </c>
      <c r="J1366" s="13">
        <f>$B$7*(A1366*S$71+B1366*T$71+C1366*U$71+D1366*V$71)+F1366/100*$B$7*X$71-$C$71</f>
        <v/>
      </c>
      <c r="K1366" s="13">
        <f>$B$7*(A1366*Z$71+B1366*AA$71+C1366*AB$71+D1366*AC$71)+F1366/100*$B$7*AE$71-$C$71</f>
        <v/>
      </c>
      <c r="L1366" s="13">
        <f>$B$7*(A1366*AG$71+B1366*AH$71+C1366*AI$71+D1366*AJ$71)+F1366/100*$B$7*AL$71-$C$71</f>
        <v/>
      </c>
      <c r="M1366" s="13">
        <f>$B$7*(A1366*AN$71+B1366*AO$71+C1366*AP$71+D1366*AQ$71)+F1366/100*$B$7*AS$71-$C$71</f>
        <v/>
      </c>
      <c r="N1366" s="13">
        <f>SUMPRODUCT($H$24:$M$24,H1366:M1366)</f>
        <v/>
      </c>
      <c r="O1366" s="14">
        <f>SQRT(SUMPRODUCT($H$24:$M$24,(H1366:M1366-N1366)^2))</f>
        <v/>
      </c>
      <c r="P1366" s="13">
        <f>MIN(H1366:M1366)</f>
        <v/>
      </c>
      <c r="Q1366" s="13">
        <f>MAX(H1366:M1366)</f>
        <v/>
      </c>
      <c r="R1366" s="27">
        <f>IF(G1366,SUMPRODUCT(($G$76:$G$1505)*($N$76:$N$1505&gt;=N1366)*($O$76:$O$1505&lt;=O1366))=1,FALSE)</f>
        <v/>
      </c>
      <c r="S1366" s="16">
        <f>IF(R1366,ABS((O1366-$AC$76)/MAX(0.0001,$AC$77-$AC$76)-(N1366-$AC$78)/MAX(0.0001,$AC$79-$AC$78)),-1)</f>
        <v/>
      </c>
      <c r="T1366" s="14">
        <f>IF(G1366,O1366,NA())</f>
        <v/>
      </c>
      <c r="U1366" s="13">
        <f>IF(G1366,N1366,NA())</f>
        <v/>
      </c>
      <c r="V1366" s="14">
        <f>IF(R1366,O1366,NA())</f>
        <v/>
      </c>
      <c r="W1366" s="13">
        <f>IF(R1366,N1366,NA())</f>
        <v/>
      </c>
      <c r="X1366" s="27">
        <f>IF(G1366,P1366,"")</f>
        <v/>
      </c>
      <c r="Y1366" s="27">
        <f>IF(G1366,N1366,"")</f>
        <v/>
      </c>
      <c r="Z1366" s="27">
        <f>IF(R1366,O1366,"")</f>
        <v/>
      </c>
      <c r="AA1366" s="27">
        <f>IF(R1366,N1366,"")</f>
        <v/>
      </c>
    </row>
    <row r="1367">
      <c r="A1367" s="31" t="n">
        <v>0.6</v>
      </c>
      <c r="B1367" s="31" t="n">
        <v>0.1</v>
      </c>
      <c r="C1367" s="31" t="n">
        <v>0.2</v>
      </c>
      <c r="D1367" s="31" t="n">
        <v>0.1</v>
      </c>
      <c r="E1367" s="27" t="inlineStr">
        <is>
          <t>ON 60%/1M 10%/2M 20%/3M 10%</t>
        </is>
      </c>
      <c r="F1367" s="27" t="n">
        <v>25</v>
      </c>
      <c r="G1367" s="27">
        <f>A1367*$B$7&gt;=$B$9</f>
        <v/>
      </c>
      <c r="H1367" s="13">
        <f>$B$7*(A1367*E$71+B1367*F$71+C1367*G$71+D1367*H$71)+F1367/100*$B$7*J$71-$C$71</f>
        <v/>
      </c>
      <c r="I1367" s="13">
        <f>$B$7*(A1367*L$71+B1367*M$71+C1367*N$71+D1367*O$71)+F1367/100*$B$7*Q$71-$C$71</f>
        <v/>
      </c>
      <c r="J1367" s="13">
        <f>$B$7*(A1367*S$71+B1367*T$71+C1367*U$71+D1367*V$71)+F1367/100*$B$7*X$71-$C$71</f>
        <v/>
      </c>
      <c r="K1367" s="13">
        <f>$B$7*(A1367*Z$71+B1367*AA$71+C1367*AB$71+D1367*AC$71)+F1367/100*$B$7*AE$71-$C$71</f>
        <v/>
      </c>
      <c r="L1367" s="13">
        <f>$B$7*(A1367*AG$71+B1367*AH$71+C1367*AI$71+D1367*AJ$71)+F1367/100*$B$7*AL$71-$C$71</f>
        <v/>
      </c>
      <c r="M1367" s="13">
        <f>$B$7*(A1367*AN$71+B1367*AO$71+C1367*AP$71+D1367*AQ$71)+F1367/100*$B$7*AS$71-$C$71</f>
        <v/>
      </c>
      <c r="N1367" s="13">
        <f>SUMPRODUCT($H$24:$M$24,H1367:M1367)</f>
        <v/>
      </c>
      <c r="O1367" s="14">
        <f>SQRT(SUMPRODUCT($H$24:$M$24,(H1367:M1367-N1367)^2))</f>
        <v/>
      </c>
      <c r="P1367" s="13">
        <f>MIN(H1367:M1367)</f>
        <v/>
      </c>
      <c r="Q1367" s="13">
        <f>MAX(H1367:M1367)</f>
        <v/>
      </c>
      <c r="R1367" s="27">
        <f>IF(G1367,SUMPRODUCT(($G$76:$G$1505)*($N$76:$N$1505&gt;=N1367)*($O$76:$O$1505&lt;=O1367))=1,FALSE)</f>
        <v/>
      </c>
      <c r="S1367" s="16">
        <f>IF(R1367,ABS((O1367-$AC$76)/MAX(0.0001,$AC$77-$AC$76)-(N1367-$AC$78)/MAX(0.0001,$AC$79-$AC$78)),-1)</f>
        <v/>
      </c>
      <c r="T1367" s="14">
        <f>IF(G1367,O1367,NA())</f>
        <v/>
      </c>
      <c r="U1367" s="13">
        <f>IF(G1367,N1367,NA())</f>
        <v/>
      </c>
      <c r="V1367" s="14">
        <f>IF(R1367,O1367,NA())</f>
        <v/>
      </c>
      <c r="W1367" s="13">
        <f>IF(R1367,N1367,NA())</f>
        <v/>
      </c>
      <c r="X1367" s="27">
        <f>IF(G1367,P1367,"")</f>
        <v/>
      </c>
      <c r="Y1367" s="27">
        <f>IF(G1367,N1367,"")</f>
        <v/>
      </c>
      <c r="Z1367" s="27">
        <f>IF(R1367,O1367,"")</f>
        <v/>
      </c>
      <c r="AA1367" s="27">
        <f>IF(R1367,N1367,"")</f>
        <v/>
      </c>
    </row>
    <row r="1368">
      <c r="A1368" s="31" t="n">
        <v>0.6</v>
      </c>
      <c r="B1368" s="31" t="n">
        <v>0.1</v>
      </c>
      <c r="C1368" s="31" t="n">
        <v>0.2</v>
      </c>
      <c r="D1368" s="31" t="n">
        <v>0.1</v>
      </c>
      <c r="E1368" s="27" t="inlineStr">
        <is>
          <t>ON 60%/1M 10%/2M 20%/3M 10%</t>
        </is>
      </c>
      <c r="F1368" s="27" t="n">
        <v>50</v>
      </c>
      <c r="G1368" s="27">
        <f>A1368*$B$7&gt;=$B$9</f>
        <v/>
      </c>
      <c r="H1368" s="13">
        <f>$B$7*(A1368*E$71+B1368*F$71+C1368*G$71+D1368*H$71)+F1368/100*$B$7*J$71-$C$71</f>
        <v/>
      </c>
      <c r="I1368" s="13">
        <f>$B$7*(A1368*L$71+B1368*M$71+C1368*N$71+D1368*O$71)+F1368/100*$B$7*Q$71-$C$71</f>
        <v/>
      </c>
      <c r="J1368" s="13">
        <f>$B$7*(A1368*S$71+B1368*T$71+C1368*U$71+D1368*V$71)+F1368/100*$B$7*X$71-$C$71</f>
        <v/>
      </c>
      <c r="K1368" s="13">
        <f>$B$7*(A1368*Z$71+B1368*AA$71+C1368*AB$71+D1368*AC$71)+F1368/100*$B$7*AE$71-$C$71</f>
        <v/>
      </c>
      <c r="L1368" s="13">
        <f>$B$7*(A1368*AG$71+B1368*AH$71+C1368*AI$71+D1368*AJ$71)+F1368/100*$B$7*AL$71-$C$71</f>
        <v/>
      </c>
      <c r="M1368" s="13">
        <f>$B$7*(A1368*AN$71+B1368*AO$71+C1368*AP$71+D1368*AQ$71)+F1368/100*$B$7*AS$71-$C$71</f>
        <v/>
      </c>
      <c r="N1368" s="13">
        <f>SUMPRODUCT($H$24:$M$24,H1368:M1368)</f>
        <v/>
      </c>
      <c r="O1368" s="14">
        <f>SQRT(SUMPRODUCT($H$24:$M$24,(H1368:M1368-N1368)^2))</f>
        <v/>
      </c>
      <c r="P1368" s="13">
        <f>MIN(H1368:M1368)</f>
        <v/>
      </c>
      <c r="Q1368" s="13">
        <f>MAX(H1368:M1368)</f>
        <v/>
      </c>
      <c r="R1368" s="27">
        <f>IF(G1368,SUMPRODUCT(($G$76:$G$1505)*($N$76:$N$1505&gt;=N1368)*($O$76:$O$1505&lt;=O1368))=1,FALSE)</f>
        <v/>
      </c>
      <c r="S1368" s="16">
        <f>IF(R1368,ABS((O1368-$AC$76)/MAX(0.0001,$AC$77-$AC$76)-(N1368-$AC$78)/MAX(0.0001,$AC$79-$AC$78)),-1)</f>
        <v/>
      </c>
      <c r="T1368" s="14">
        <f>IF(G1368,O1368,NA())</f>
        <v/>
      </c>
      <c r="U1368" s="13">
        <f>IF(G1368,N1368,NA())</f>
        <v/>
      </c>
      <c r="V1368" s="14">
        <f>IF(R1368,O1368,NA())</f>
        <v/>
      </c>
      <c r="W1368" s="13">
        <f>IF(R1368,N1368,NA())</f>
        <v/>
      </c>
      <c r="X1368" s="27">
        <f>IF(G1368,P1368,"")</f>
        <v/>
      </c>
      <c r="Y1368" s="27">
        <f>IF(G1368,N1368,"")</f>
        <v/>
      </c>
      <c r="Z1368" s="27">
        <f>IF(R1368,O1368,"")</f>
        <v/>
      </c>
      <c r="AA1368" s="27">
        <f>IF(R1368,N1368,"")</f>
        <v/>
      </c>
    </row>
    <row r="1369">
      <c r="A1369" s="31" t="n">
        <v>0.6</v>
      </c>
      <c r="B1369" s="31" t="n">
        <v>0.1</v>
      </c>
      <c r="C1369" s="31" t="n">
        <v>0.2</v>
      </c>
      <c r="D1369" s="31" t="n">
        <v>0.1</v>
      </c>
      <c r="E1369" s="27" t="inlineStr">
        <is>
          <t>ON 60%/1M 10%/2M 20%/3M 10%</t>
        </is>
      </c>
      <c r="F1369" s="27" t="n">
        <v>75</v>
      </c>
      <c r="G1369" s="27">
        <f>A1369*$B$7&gt;=$B$9</f>
        <v/>
      </c>
      <c r="H1369" s="13">
        <f>$B$7*(A1369*E$71+B1369*F$71+C1369*G$71+D1369*H$71)+F1369/100*$B$7*J$71-$C$71</f>
        <v/>
      </c>
      <c r="I1369" s="13">
        <f>$B$7*(A1369*L$71+B1369*M$71+C1369*N$71+D1369*O$71)+F1369/100*$B$7*Q$71-$C$71</f>
        <v/>
      </c>
      <c r="J1369" s="13">
        <f>$B$7*(A1369*S$71+B1369*T$71+C1369*U$71+D1369*V$71)+F1369/100*$B$7*X$71-$C$71</f>
        <v/>
      </c>
      <c r="K1369" s="13">
        <f>$B$7*(A1369*Z$71+B1369*AA$71+C1369*AB$71+D1369*AC$71)+F1369/100*$B$7*AE$71-$C$71</f>
        <v/>
      </c>
      <c r="L1369" s="13">
        <f>$B$7*(A1369*AG$71+B1369*AH$71+C1369*AI$71+D1369*AJ$71)+F1369/100*$B$7*AL$71-$C$71</f>
        <v/>
      </c>
      <c r="M1369" s="13">
        <f>$B$7*(A1369*AN$71+B1369*AO$71+C1369*AP$71+D1369*AQ$71)+F1369/100*$B$7*AS$71-$C$71</f>
        <v/>
      </c>
      <c r="N1369" s="13">
        <f>SUMPRODUCT($H$24:$M$24,H1369:M1369)</f>
        <v/>
      </c>
      <c r="O1369" s="14">
        <f>SQRT(SUMPRODUCT($H$24:$M$24,(H1369:M1369-N1369)^2))</f>
        <v/>
      </c>
      <c r="P1369" s="13">
        <f>MIN(H1369:M1369)</f>
        <v/>
      </c>
      <c r="Q1369" s="13">
        <f>MAX(H1369:M1369)</f>
        <v/>
      </c>
      <c r="R1369" s="27">
        <f>IF(G1369,SUMPRODUCT(($G$76:$G$1505)*($N$76:$N$1505&gt;=N1369)*($O$76:$O$1505&lt;=O1369))=1,FALSE)</f>
        <v/>
      </c>
      <c r="S1369" s="16">
        <f>IF(R1369,ABS((O1369-$AC$76)/MAX(0.0001,$AC$77-$AC$76)-(N1369-$AC$78)/MAX(0.0001,$AC$79-$AC$78)),-1)</f>
        <v/>
      </c>
      <c r="T1369" s="14">
        <f>IF(G1369,O1369,NA())</f>
        <v/>
      </c>
      <c r="U1369" s="13">
        <f>IF(G1369,N1369,NA())</f>
        <v/>
      </c>
      <c r="V1369" s="14">
        <f>IF(R1369,O1369,NA())</f>
        <v/>
      </c>
      <c r="W1369" s="13">
        <f>IF(R1369,N1369,NA())</f>
        <v/>
      </c>
      <c r="X1369" s="27">
        <f>IF(G1369,P1369,"")</f>
        <v/>
      </c>
      <c r="Y1369" s="27">
        <f>IF(G1369,N1369,"")</f>
        <v/>
      </c>
      <c r="Z1369" s="27">
        <f>IF(R1369,O1369,"")</f>
        <v/>
      </c>
      <c r="AA1369" s="27">
        <f>IF(R1369,N1369,"")</f>
        <v/>
      </c>
    </row>
    <row r="1370">
      <c r="A1370" s="31" t="n">
        <v>0.6</v>
      </c>
      <c r="B1370" s="31" t="n">
        <v>0.1</v>
      </c>
      <c r="C1370" s="31" t="n">
        <v>0.2</v>
      </c>
      <c r="D1370" s="31" t="n">
        <v>0.1</v>
      </c>
      <c r="E1370" s="27" t="inlineStr">
        <is>
          <t>ON 60%/1M 10%/2M 20%/3M 10%</t>
        </is>
      </c>
      <c r="F1370" s="27" t="n">
        <v>100</v>
      </c>
      <c r="G1370" s="27">
        <f>A1370*$B$7&gt;=$B$9</f>
        <v/>
      </c>
      <c r="H1370" s="13">
        <f>$B$7*(A1370*E$71+B1370*F$71+C1370*G$71+D1370*H$71)+F1370/100*$B$7*J$71-$C$71</f>
        <v/>
      </c>
      <c r="I1370" s="13">
        <f>$B$7*(A1370*L$71+B1370*M$71+C1370*N$71+D1370*O$71)+F1370/100*$B$7*Q$71-$C$71</f>
        <v/>
      </c>
      <c r="J1370" s="13">
        <f>$B$7*(A1370*S$71+B1370*T$71+C1370*U$71+D1370*V$71)+F1370/100*$B$7*X$71-$C$71</f>
        <v/>
      </c>
      <c r="K1370" s="13">
        <f>$B$7*(A1370*Z$71+B1370*AA$71+C1370*AB$71+D1370*AC$71)+F1370/100*$B$7*AE$71-$C$71</f>
        <v/>
      </c>
      <c r="L1370" s="13">
        <f>$B$7*(A1370*AG$71+B1370*AH$71+C1370*AI$71+D1370*AJ$71)+F1370/100*$B$7*AL$71-$C$71</f>
        <v/>
      </c>
      <c r="M1370" s="13">
        <f>$B$7*(A1370*AN$71+B1370*AO$71+C1370*AP$71+D1370*AQ$71)+F1370/100*$B$7*AS$71-$C$71</f>
        <v/>
      </c>
      <c r="N1370" s="13">
        <f>SUMPRODUCT($H$24:$M$24,H1370:M1370)</f>
        <v/>
      </c>
      <c r="O1370" s="14">
        <f>SQRT(SUMPRODUCT($H$24:$M$24,(H1370:M1370-N1370)^2))</f>
        <v/>
      </c>
      <c r="P1370" s="13">
        <f>MIN(H1370:M1370)</f>
        <v/>
      </c>
      <c r="Q1370" s="13">
        <f>MAX(H1370:M1370)</f>
        <v/>
      </c>
      <c r="R1370" s="27">
        <f>IF(G1370,SUMPRODUCT(($G$76:$G$1505)*($N$76:$N$1505&gt;=N1370)*($O$76:$O$1505&lt;=O1370))=1,FALSE)</f>
        <v/>
      </c>
      <c r="S1370" s="16">
        <f>IF(R1370,ABS((O1370-$AC$76)/MAX(0.0001,$AC$77-$AC$76)-(N1370-$AC$78)/MAX(0.0001,$AC$79-$AC$78)),-1)</f>
        <v/>
      </c>
      <c r="T1370" s="14">
        <f>IF(G1370,O1370,NA())</f>
        <v/>
      </c>
      <c r="U1370" s="13">
        <f>IF(G1370,N1370,NA())</f>
        <v/>
      </c>
      <c r="V1370" s="14">
        <f>IF(R1370,O1370,NA())</f>
        <v/>
      </c>
      <c r="W1370" s="13">
        <f>IF(R1370,N1370,NA())</f>
        <v/>
      </c>
      <c r="X1370" s="27">
        <f>IF(G1370,P1370,"")</f>
        <v/>
      </c>
      <c r="Y1370" s="27">
        <f>IF(G1370,N1370,"")</f>
        <v/>
      </c>
      <c r="Z1370" s="27">
        <f>IF(R1370,O1370,"")</f>
        <v/>
      </c>
      <c r="AA1370" s="27">
        <f>IF(R1370,N1370,"")</f>
        <v/>
      </c>
    </row>
    <row r="1371">
      <c r="A1371" s="31" t="n">
        <v>0.6</v>
      </c>
      <c r="B1371" s="31" t="n">
        <v>0.1</v>
      </c>
      <c r="C1371" s="31" t="n">
        <v>0.3</v>
      </c>
      <c r="D1371" s="31" t="n">
        <v>0</v>
      </c>
      <c r="E1371" s="27" t="inlineStr">
        <is>
          <t>ON 60%/1M 10%/2M 30%</t>
        </is>
      </c>
      <c r="F1371" s="27" t="n">
        <v>0</v>
      </c>
      <c r="G1371" s="27">
        <f>A1371*$B$7&gt;=$B$9</f>
        <v/>
      </c>
      <c r="H1371" s="13">
        <f>$B$7*(A1371*E$71+B1371*F$71+C1371*G$71+D1371*H$71)+F1371/100*$B$7*J$71-$C$71</f>
        <v/>
      </c>
      <c r="I1371" s="13">
        <f>$B$7*(A1371*L$71+B1371*M$71+C1371*N$71+D1371*O$71)+F1371/100*$B$7*Q$71-$C$71</f>
        <v/>
      </c>
      <c r="J1371" s="13">
        <f>$B$7*(A1371*S$71+B1371*T$71+C1371*U$71+D1371*V$71)+F1371/100*$B$7*X$71-$C$71</f>
        <v/>
      </c>
      <c r="K1371" s="13">
        <f>$B$7*(A1371*Z$71+B1371*AA$71+C1371*AB$71+D1371*AC$71)+F1371/100*$B$7*AE$71-$C$71</f>
        <v/>
      </c>
      <c r="L1371" s="13">
        <f>$B$7*(A1371*AG$71+B1371*AH$71+C1371*AI$71+D1371*AJ$71)+F1371/100*$B$7*AL$71-$C$71</f>
        <v/>
      </c>
      <c r="M1371" s="13">
        <f>$B$7*(A1371*AN$71+B1371*AO$71+C1371*AP$71+D1371*AQ$71)+F1371/100*$B$7*AS$71-$C$71</f>
        <v/>
      </c>
      <c r="N1371" s="13">
        <f>SUMPRODUCT($H$24:$M$24,H1371:M1371)</f>
        <v/>
      </c>
      <c r="O1371" s="14">
        <f>SQRT(SUMPRODUCT($H$24:$M$24,(H1371:M1371-N1371)^2))</f>
        <v/>
      </c>
      <c r="P1371" s="13">
        <f>MIN(H1371:M1371)</f>
        <v/>
      </c>
      <c r="Q1371" s="13">
        <f>MAX(H1371:M1371)</f>
        <v/>
      </c>
      <c r="R1371" s="27">
        <f>IF(G1371,SUMPRODUCT(($G$76:$G$1505)*($N$76:$N$1505&gt;=N1371)*($O$76:$O$1505&lt;=O1371))=1,FALSE)</f>
        <v/>
      </c>
      <c r="S1371" s="16">
        <f>IF(R1371,ABS((O1371-$AC$76)/MAX(0.0001,$AC$77-$AC$76)-(N1371-$AC$78)/MAX(0.0001,$AC$79-$AC$78)),-1)</f>
        <v/>
      </c>
      <c r="T1371" s="14">
        <f>IF(G1371,O1371,NA())</f>
        <v/>
      </c>
      <c r="U1371" s="13">
        <f>IF(G1371,N1371,NA())</f>
        <v/>
      </c>
      <c r="V1371" s="14">
        <f>IF(R1371,O1371,NA())</f>
        <v/>
      </c>
      <c r="W1371" s="13">
        <f>IF(R1371,N1371,NA())</f>
        <v/>
      </c>
      <c r="X1371" s="27">
        <f>IF(G1371,P1371,"")</f>
        <v/>
      </c>
      <c r="Y1371" s="27">
        <f>IF(G1371,N1371,"")</f>
        <v/>
      </c>
      <c r="Z1371" s="27">
        <f>IF(R1371,O1371,"")</f>
        <v/>
      </c>
      <c r="AA1371" s="27">
        <f>IF(R1371,N1371,"")</f>
        <v/>
      </c>
    </row>
    <row r="1372">
      <c r="A1372" s="31" t="n">
        <v>0.6</v>
      </c>
      <c r="B1372" s="31" t="n">
        <v>0.1</v>
      </c>
      <c r="C1372" s="31" t="n">
        <v>0.3</v>
      </c>
      <c r="D1372" s="31" t="n">
        <v>0</v>
      </c>
      <c r="E1372" s="27" t="inlineStr">
        <is>
          <t>ON 60%/1M 10%/2M 30%</t>
        </is>
      </c>
      <c r="F1372" s="27" t="n">
        <v>25</v>
      </c>
      <c r="G1372" s="27">
        <f>A1372*$B$7&gt;=$B$9</f>
        <v/>
      </c>
      <c r="H1372" s="13">
        <f>$B$7*(A1372*E$71+B1372*F$71+C1372*G$71+D1372*H$71)+F1372/100*$B$7*J$71-$C$71</f>
        <v/>
      </c>
      <c r="I1372" s="13">
        <f>$B$7*(A1372*L$71+B1372*M$71+C1372*N$71+D1372*O$71)+F1372/100*$B$7*Q$71-$C$71</f>
        <v/>
      </c>
      <c r="J1372" s="13">
        <f>$B$7*(A1372*S$71+B1372*T$71+C1372*U$71+D1372*V$71)+F1372/100*$B$7*X$71-$C$71</f>
        <v/>
      </c>
      <c r="K1372" s="13">
        <f>$B$7*(A1372*Z$71+B1372*AA$71+C1372*AB$71+D1372*AC$71)+F1372/100*$B$7*AE$71-$C$71</f>
        <v/>
      </c>
      <c r="L1372" s="13">
        <f>$B$7*(A1372*AG$71+B1372*AH$71+C1372*AI$71+D1372*AJ$71)+F1372/100*$B$7*AL$71-$C$71</f>
        <v/>
      </c>
      <c r="M1372" s="13">
        <f>$B$7*(A1372*AN$71+B1372*AO$71+C1372*AP$71+D1372*AQ$71)+F1372/100*$B$7*AS$71-$C$71</f>
        <v/>
      </c>
      <c r="N1372" s="13">
        <f>SUMPRODUCT($H$24:$M$24,H1372:M1372)</f>
        <v/>
      </c>
      <c r="O1372" s="14">
        <f>SQRT(SUMPRODUCT($H$24:$M$24,(H1372:M1372-N1372)^2))</f>
        <v/>
      </c>
      <c r="P1372" s="13">
        <f>MIN(H1372:M1372)</f>
        <v/>
      </c>
      <c r="Q1372" s="13">
        <f>MAX(H1372:M1372)</f>
        <v/>
      </c>
      <c r="R1372" s="27">
        <f>IF(G1372,SUMPRODUCT(($G$76:$G$1505)*($N$76:$N$1505&gt;=N1372)*($O$76:$O$1505&lt;=O1372))=1,FALSE)</f>
        <v/>
      </c>
      <c r="S1372" s="16">
        <f>IF(R1372,ABS((O1372-$AC$76)/MAX(0.0001,$AC$77-$AC$76)-(N1372-$AC$78)/MAX(0.0001,$AC$79-$AC$78)),-1)</f>
        <v/>
      </c>
      <c r="T1372" s="14">
        <f>IF(G1372,O1372,NA())</f>
        <v/>
      </c>
      <c r="U1372" s="13">
        <f>IF(G1372,N1372,NA())</f>
        <v/>
      </c>
      <c r="V1372" s="14">
        <f>IF(R1372,O1372,NA())</f>
        <v/>
      </c>
      <c r="W1372" s="13">
        <f>IF(R1372,N1372,NA())</f>
        <v/>
      </c>
      <c r="X1372" s="27">
        <f>IF(G1372,P1372,"")</f>
        <v/>
      </c>
      <c r="Y1372" s="27">
        <f>IF(G1372,N1372,"")</f>
        <v/>
      </c>
      <c r="Z1372" s="27">
        <f>IF(R1372,O1372,"")</f>
        <v/>
      </c>
      <c r="AA1372" s="27">
        <f>IF(R1372,N1372,"")</f>
        <v/>
      </c>
    </row>
    <row r="1373">
      <c r="A1373" s="31" t="n">
        <v>0.6</v>
      </c>
      <c r="B1373" s="31" t="n">
        <v>0.1</v>
      </c>
      <c r="C1373" s="31" t="n">
        <v>0.3</v>
      </c>
      <c r="D1373" s="31" t="n">
        <v>0</v>
      </c>
      <c r="E1373" s="27" t="inlineStr">
        <is>
          <t>ON 60%/1M 10%/2M 30%</t>
        </is>
      </c>
      <c r="F1373" s="27" t="n">
        <v>50</v>
      </c>
      <c r="G1373" s="27">
        <f>A1373*$B$7&gt;=$B$9</f>
        <v/>
      </c>
      <c r="H1373" s="13">
        <f>$B$7*(A1373*E$71+B1373*F$71+C1373*G$71+D1373*H$71)+F1373/100*$B$7*J$71-$C$71</f>
        <v/>
      </c>
      <c r="I1373" s="13">
        <f>$B$7*(A1373*L$71+B1373*M$71+C1373*N$71+D1373*O$71)+F1373/100*$B$7*Q$71-$C$71</f>
        <v/>
      </c>
      <c r="J1373" s="13">
        <f>$B$7*(A1373*S$71+B1373*T$71+C1373*U$71+D1373*V$71)+F1373/100*$B$7*X$71-$C$71</f>
        <v/>
      </c>
      <c r="K1373" s="13">
        <f>$B$7*(A1373*Z$71+B1373*AA$71+C1373*AB$71+D1373*AC$71)+F1373/100*$B$7*AE$71-$C$71</f>
        <v/>
      </c>
      <c r="L1373" s="13">
        <f>$B$7*(A1373*AG$71+B1373*AH$71+C1373*AI$71+D1373*AJ$71)+F1373/100*$B$7*AL$71-$C$71</f>
        <v/>
      </c>
      <c r="M1373" s="13">
        <f>$B$7*(A1373*AN$71+B1373*AO$71+C1373*AP$71+D1373*AQ$71)+F1373/100*$B$7*AS$71-$C$71</f>
        <v/>
      </c>
      <c r="N1373" s="13">
        <f>SUMPRODUCT($H$24:$M$24,H1373:M1373)</f>
        <v/>
      </c>
      <c r="O1373" s="14">
        <f>SQRT(SUMPRODUCT($H$24:$M$24,(H1373:M1373-N1373)^2))</f>
        <v/>
      </c>
      <c r="P1373" s="13">
        <f>MIN(H1373:M1373)</f>
        <v/>
      </c>
      <c r="Q1373" s="13">
        <f>MAX(H1373:M1373)</f>
        <v/>
      </c>
      <c r="R1373" s="27">
        <f>IF(G1373,SUMPRODUCT(($G$76:$G$1505)*($N$76:$N$1505&gt;=N1373)*($O$76:$O$1505&lt;=O1373))=1,FALSE)</f>
        <v/>
      </c>
      <c r="S1373" s="16">
        <f>IF(R1373,ABS((O1373-$AC$76)/MAX(0.0001,$AC$77-$AC$76)-(N1373-$AC$78)/MAX(0.0001,$AC$79-$AC$78)),-1)</f>
        <v/>
      </c>
      <c r="T1373" s="14">
        <f>IF(G1373,O1373,NA())</f>
        <v/>
      </c>
      <c r="U1373" s="13">
        <f>IF(G1373,N1373,NA())</f>
        <v/>
      </c>
      <c r="V1373" s="14">
        <f>IF(R1373,O1373,NA())</f>
        <v/>
      </c>
      <c r="W1373" s="13">
        <f>IF(R1373,N1373,NA())</f>
        <v/>
      </c>
      <c r="X1373" s="27">
        <f>IF(G1373,P1373,"")</f>
        <v/>
      </c>
      <c r="Y1373" s="27">
        <f>IF(G1373,N1373,"")</f>
        <v/>
      </c>
      <c r="Z1373" s="27">
        <f>IF(R1373,O1373,"")</f>
        <v/>
      </c>
      <c r="AA1373" s="27">
        <f>IF(R1373,N1373,"")</f>
        <v/>
      </c>
    </row>
    <row r="1374">
      <c r="A1374" s="31" t="n">
        <v>0.6</v>
      </c>
      <c r="B1374" s="31" t="n">
        <v>0.1</v>
      </c>
      <c r="C1374" s="31" t="n">
        <v>0.3</v>
      </c>
      <c r="D1374" s="31" t="n">
        <v>0</v>
      </c>
      <c r="E1374" s="27" t="inlineStr">
        <is>
          <t>ON 60%/1M 10%/2M 30%</t>
        </is>
      </c>
      <c r="F1374" s="27" t="n">
        <v>75</v>
      </c>
      <c r="G1374" s="27">
        <f>A1374*$B$7&gt;=$B$9</f>
        <v/>
      </c>
      <c r="H1374" s="13">
        <f>$B$7*(A1374*E$71+B1374*F$71+C1374*G$71+D1374*H$71)+F1374/100*$B$7*J$71-$C$71</f>
        <v/>
      </c>
      <c r="I1374" s="13">
        <f>$B$7*(A1374*L$71+B1374*M$71+C1374*N$71+D1374*O$71)+F1374/100*$B$7*Q$71-$C$71</f>
        <v/>
      </c>
      <c r="J1374" s="13">
        <f>$B$7*(A1374*S$71+B1374*T$71+C1374*U$71+D1374*V$71)+F1374/100*$B$7*X$71-$C$71</f>
        <v/>
      </c>
      <c r="K1374" s="13">
        <f>$B$7*(A1374*Z$71+B1374*AA$71+C1374*AB$71+D1374*AC$71)+F1374/100*$B$7*AE$71-$C$71</f>
        <v/>
      </c>
      <c r="L1374" s="13">
        <f>$B$7*(A1374*AG$71+B1374*AH$71+C1374*AI$71+D1374*AJ$71)+F1374/100*$B$7*AL$71-$C$71</f>
        <v/>
      </c>
      <c r="M1374" s="13">
        <f>$B$7*(A1374*AN$71+B1374*AO$71+C1374*AP$71+D1374*AQ$71)+F1374/100*$B$7*AS$71-$C$71</f>
        <v/>
      </c>
      <c r="N1374" s="13">
        <f>SUMPRODUCT($H$24:$M$24,H1374:M1374)</f>
        <v/>
      </c>
      <c r="O1374" s="14">
        <f>SQRT(SUMPRODUCT($H$24:$M$24,(H1374:M1374-N1374)^2))</f>
        <v/>
      </c>
      <c r="P1374" s="13">
        <f>MIN(H1374:M1374)</f>
        <v/>
      </c>
      <c r="Q1374" s="13">
        <f>MAX(H1374:M1374)</f>
        <v/>
      </c>
      <c r="R1374" s="27">
        <f>IF(G1374,SUMPRODUCT(($G$76:$G$1505)*($N$76:$N$1505&gt;=N1374)*($O$76:$O$1505&lt;=O1374))=1,FALSE)</f>
        <v/>
      </c>
      <c r="S1374" s="16">
        <f>IF(R1374,ABS((O1374-$AC$76)/MAX(0.0001,$AC$77-$AC$76)-(N1374-$AC$78)/MAX(0.0001,$AC$79-$AC$78)),-1)</f>
        <v/>
      </c>
      <c r="T1374" s="14">
        <f>IF(G1374,O1374,NA())</f>
        <v/>
      </c>
      <c r="U1374" s="13">
        <f>IF(G1374,N1374,NA())</f>
        <v/>
      </c>
      <c r="V1374" s="14">
        <f>IF(R1374,O1374,NA())</f>
        <v/>
      </c>
      <c r="W1374" s="13">
        <f>IF(R1374,N1374,NA())</f>
        <v/>
      </c>
      <c r="X1374" s="27">
        <f>IF(G1374,P1374,"")</f>
        <v/>
      </c>
      <c r="Y1374" s="27">
        <f>IF(G1374,N1374,"")</f>
        <v/>
      </c>
      <c r="Z1374" s="27">
        <f>IF(R1374,O1374,"")</f>
        <v/>
      </c>
      <c r="AA1374" s="27">
        <f>IF(R1374,N1374,"")</f>
        <v/>
      </c>
    </row>
    <row r="1375">
      <c r="A1375" s="31" t="n">
        <v>0.6</v>
      </c>
      <c r="B1375" s="31" t="n">
        <v>0.1</v>
      </c>
      <c r="C1375" s="31" t="n">
        <v>0.3</v>
      </c>
      <c r="D1375" s="31" t="n">
        <v>0</v>
      </c>
      <c r="E1375" s="27" t="inlineStr">
        <is>
          <t>ON 60%/1M 10%/2M 30%</t>
        </is>
      </c>
      <c r="F1375" s="27" t="n">
        <v>100</v>
      </c>
      <c r="G1375" s="27">
        <f>A1375*$B$7&gt;=$B$9</f>
        <v/>
      </c>
      <c r="H1375" s="13">
        <f>$B$7*(A1375*E$71+B1375*F$71+C1375*G$71+D1375*H$71)+F1375/100*$B$7*J$71-$C$71</f>
        <v/>
      </c>
      <c r="I1375" s="13">
        <f>$B$7*(A1375*L$71+B1375*M$71+C1375*N$71+D1375*O$71)+F1375/100*$B$7*Q$71-$C$71</f>
        <v/>
      </c>
      <c r="J1375" s="13">
        <f>$B$7*(A1375*S$71+B1375*T$71+C1375*U$71+D1375*V$71)+F1375/100*$B$7*X$71-$C$71</f>
        <v/>
      </c>
      <c r="K1375" s="13">
        <f>$B$7*(A1375*Z$71+B1375*AA$71+C1375*AB$71+D1375*AC$71)+F1375/100*$B$7*AE$71-$C$71</f>
        <v/>
      </c>
      <c r="L1375" s="13">
        <f>$B$7*(A1375*AG$71+B1375*AH$71+C1375*AI$71+D1375*AJ$71)+F1375/100*$B$7*AL$71-$C$71</f>
        <v/>
      </c>
      <c r="M1375" s="13">
        <f>$B$7*(A1375*AN$71+B1375*AO$71+C1375*AP$71+D1375*AQ$71)+F1375/100*$B$7*AS$71-$C$71</f>
        <v/>
      </c>
      <c r="N1375" s="13">
        <f>SUMPRODUCT($H$24:$M$24,H1375:M1375)</f>
        <v/>
      </c>
      <c r="O1375" s="14">
        <f>SQRT(SUMPRODUCT($H$24:$M$24,(H1375:M1375-N1375)^2))</f>
        <v/>
      </c>
      <c r="P1375" s="13">
        <f>MIN(H1375:M1375)</f>
        <v/>
      </c>
      <c r="Q1375" s="13">
        <f>MAX(H1375:M1375)</f>
        <v/>
      </c>
      <c r="R1375" s="27">
        <f>IF(G1375,SUMPRODUCT(($G$76:$G$1505)*($N$76:$N$1505&gt;=N1375)*($O$76:$O$1505&lt;=O1375))=1,FALSE)</f>
        <v/>
      </c>
      <c r="S1375" s="16">
        <f>IF(R1375,ABS((O1375-$AC$76)/MAX(0.0001,$AC$77-$AC$76)-(N1375-$AC$78)/MAX(0.0001,$AC$79-$AC$78)),-1)</f>
        <v/>
      </c>
      <c r="T1375" s="14">
        <f>IF(G1375,O1375,NA())</f>
        <v/>
      </c>
      <c r="U1375" s="13">
        <f>IF(G1375,N1375,NA())</f>
        <v/>
      </c>
      <c r="V1375" s="14">
        <f>IF(R1375,O1375,NA())</f>
        <v/>
      </c>
      <c r="W1375" s="13">
        <f>IF(R1375,N1375,NA())</f>
        <v/>
      </c>
      <c r="X1375" s="27">
        <f>IF(G1375,P1375,"")</f>
        <v/>
      </c>
      <c r="Y1375" s="27">
        <f>IF(G1375,N1375,"")</f>
        <v/>
      </c>
      <c r="Z1375" s="27">
        <f>IF(R1375,O1375,"")</f>
        <v/>
      </c>
      <c r="AA1375" s="27">
        <f>IF(R1375,N1375,"")</f>
        <v/>
      </c>
    </row>
    <row r="1376">
      <c r="A1376" s="31" t="n">
        <v>0.6</v>
      </c>
      <c r="B1376" s="31" t="n">
        <v>0.2</v>
      </c>
      <c r="C1376" s="31" t="n">
        <v>0</v>
      </c>
      <c r="D1376" s="31" t="n">
        <v>0.2</v>
      </c>
      <c r="E1376" s="27" t="inlineStr">
        <is>
          <t>ON 60%/1M 20%/3M 20%</t>
        </is>
      </c>
      <c r="F1376" s="27" t="n">
        <v>0</v>
      </c>
      <c r="G1376" s="27">
        <f>A1376*$B$7&gt;=$B$9</f>
        <v/>
      </c>
      <c r="H1376" s="13">
        <f>$B$7*(A1376*E$71+B1376*F$71+C1376*G$71+D1376*H$71)+F1376/100*$B$7*J$71-$C$71</f>
        <v/>
      </c>
      <c r="I1376" s="13">
        <f>$B$7*(A1376*L$71+B1376*M$71+C1376*N$71+D1376*O$71)+F1376/100*$B$7*Q$71-$C$71</f>
        <v/>
      </c>
      <c r="J1376" s="13">
        <f>$B$7*(A1376*S$71+B1376*T$71+C1376*U$71+D1376*V$71)+F1376/100*$B$7*X$71-$C$71</f>
        <v/>
      </c>
      <c r="K1376" s="13">
        <f>$B$7*(A1376*Z$71+B1376*AA$71+C1376*AB$71+D1376*AC$71)+F1376/100*$B$7*AE$71-$C$71</f>
        <v/>
      </c>
      <c r="L1376" s="13">
        <f>$B$7*(A1376*AG$71+B1376*AH$71+C1376*AI$71+D1376*AJ$71)+F1376/100*$B$7*AL$71-$C$71</f>
        <v/>
      </c>
      <c r="M1376" s="13">
        <f>$B$7*(A1376*AN$71+B1376*AO$71+C1376*AP$71+D1376*AQ$71)+F1376/100*$B$7*AS$71-$C$71</f>
        <v/>
      </c>
      <c r="N1376" s="13">
        <f>SUMPRODUCT($H$24:$M$24,H1376:M1376)</f>
        <v/>
      </c>
      <c r="O1376" s="14">
        <f>SQRT(SUMPRODUCT($H$24:$M$24,(H1376:M1376-N1376)^2))</f>
        <v/>
      </c>
      <c r="P1376" s="13">
        <f>MIN(H1376:M1376)</f>
        <v/>
      </c>
      <c r="Q1376" s="13">
        <f>MAX(H1376:M1376)</f>
        <v/>
      </c>
      <c r="R1376" s="27">
        <f>IF(G1376,SUMPRODUCT(($G$76:$G$1505)*($N$76:$N$1505&gt;=N1376)*($O$76:$O$1505&lt;=O1376))=1,FALSE)</f>
        <v/>
      </c>
      <c r="S1376" s="16">
        <f>IF(R1376,ABS((O1376-$AC$76)/MAX(0.0001,$AC$77-$AC$76)-(N1376-$AC$78)/MAX(0.0001,$AC$79-$AC$78)),-1)</f>
        <v/>
      </c>
      <c r="T1376" s="14">
        <f>IF(G1376,O1376,NA())</f>
        <v/>
      </c>
      <c r="U1376" s="13">
        <f>IF(G1376,N1376,NA())</f>
        <v/>
      </c>
      <c r="V1376" s="14">
        <f>IF(R1376,O1376,NA())</f>
        <v/>
      </c>
      <c r="W1376" s="13">
        <f>IF(R1376,N1376,NA())</f>
        <v/>
      </c>
      <c r="X1376" s="27">
        <f>IF(G1376,P1376,"")</f>
        <v/>
      </c>
      <c r="Y1376" s="27">
        <f>IF(G1376,N1376,"")</f>
        <v/>
      </c>
      <c r="Z1376" s="27">
        <f>IF(R1376,O1376,"")</f>
        <v/>
      </c>
      <c r="AA1376" s="27">
        <f>IF(R1376,N1376,"")</f>
        <v/>
      </c>
    </row>
    <row r="1377">
      <c r="A1377" s="31" t="n">
        <v>0.6</v>
      </c>
      <c r="B1377" s="31" t="n">
        <v>0.2</v>
      </c>
      <c r="C1377" s="31" t="n">
        <v>0</v>
      </c>
      <c r="D1377" s="31" t="n">
        <v>0.2</v>
      </c>
      <c r="E1377" s="27" t="inlineStr">
        <is>
          <t>ON 60%/1M 20%/3M 20%</t>
        </is>
      </c>
      <c r="F1377" s="27" t="n">
        <v>25</v>
      </c>
      <c r="G1377" s="27">
        <f>A1377*$B$7&gt;=$B$9</f>
        <v/>
      </c>
      <c r="H1377" s="13">
        <f>$B$7*(A1377*E$71+B1377*F$71+C1377*G$71+D1377*H$71)+F1377/100*$B$7*J$71-$C$71</f>
        <v/>
      </c>
      <c r="I1377" s="13">
        <f>$B$7*(A1377*L$71+B1377*M$71+C1377*N$71+D1377*O$71)+F1377/100*$B$7*Q$71-$C$71</f>
        <v/>
      </c>
      <c r="J1377" s="13">
        <f>$B$7*(A1377*S$71+B1377*T$71+C1377*U$71+D1377*V$71)+F1377/100*$B$7*X$71-$C$71</f>
        <v/>
      </c>
      <c r="K1377" s="13">
        <f>$B$7*(A1377*Z$71+B1377*AA$71+C1377*AB$71+D1377*AC$71)+F1377/100*$B$7*AE$71-$C$71</f>
        <v/>
      </c>
      <c r="L1377" s="13">
        <f>$B$7*(A1377*AG$71+B1377*AH$71+C1377*AI$71+D1377*AJ$71)+F1377/100*$B$7*AL$71-$C$71</f>
        <v/>
      </c>
      <c r="M1377" s="13">
        <f>$B$7*(A1377*AN$71+B1377*AO$71+C1377*AP$71+D1377*AQ$71)+F1377/100*$B$7*AS$71-$C$71</f>
        <v/>
      </c>
      <c r="N1377" s="13">
        <f>SUMPRODUCT($H$24:$M$24,H1377:M1377)</f>
        <v/>
      </c>
      <c r="O1377" s="14">
        <f>SQRT(SUMPRODUCT($H$24:$M$24,(H1377:M1377-N1377)^2))</f>
        <v/>
      </c>
      <c r="P1377" s="13">
        <f>MIN(H1377:M1377)</f>
        <v/>
      </c>
      <c r="Q1377" s="13">
        <f>MAX(H1377:M1377)</f>
        <v/>
      </c>
      <c r="R1377" s="27">
        <f>IF(G1377,SUMPRODUCT(($G$76:$G$1505)*($N$76:$N$1505&gt;=N1377)*($O$76:$O$1505&lt;=O1377))=1,FALSE)</f>
        <v/>
      </c>
      <c r="S1377" s="16">
        <f>IF(R1377,ABS((O1377-$AC$76)/MAX(0.0001,$AC$77-$AC$76)-(N1377-$AC$78)/MAX(0.0001,$AC$79-$AC$78)),-1)</f>
        <v/>
      </c>
      <c r="T1377" s="14">
        <f>IF(G1377,O1377,NA())</f>
        <v/>
      </c>
      <c r="U1377" s="13">
        <f>IF(G1377,N1377,NA())</f>
        <v/>
      </c>
      <c r="V1377" s="14">
        <f>IF(R1377,O1377,NA())</f>
        <v/>
      </c>
      <c r="W1377" s="13">
        <f>IF(R1377,N1377,NA())</f>
        <v/>
      </c>
      <c r="X1377" s="27">
        <f>IF(G1377,P1377,"")</f>
        <v/>
      </c>
      <c r="Y1377" s="27">
        <f>IF(G1377,N1377,"")</f>
        <v/>
      </c>
      <c r="Z1377" s="27">
        <f>IF(R1377,O1377,"")</f>
        <v/>
      </c>
      <c r="AA1377" s="27">
        <f>IF(R1377,N1377,"")</f>
        <v/>
      </c>
    </row>
    <row r="1378">
      <c r="A1378" s="31" t="n">
        <v>0.6</v>
      </c>
      <c r="B1378" s="31" t="n">
        <v>0.2</v>
      </c>
      <c r="C1378" s="31" t="n">
        <v>0</v>
      </c>
      <c r="D1378" s="31" t="n">
        <v>0.2</v>
      </c>
      <c r="E1378" s="27" t="inlineStr">
        <is>
          <t>ON 60%/1M 20%/3M 20%</t>
        </is>
      </c>
      <c r="F1378" s="27" t="n">
        <v>50</v>
      </c>
      <c r="G1378" s="27">
        <f>A1378*$B$7&gt;=$B$9</f>
        <v/>
      </c>
      <c r="H1378" s="13">
        <f>$B$7*(A1378*E$71+B1378*F$71+C1378*G$71+D1378*H$71)+F1378/100*$B$7*J$71-$C$71</f>
        <v/>
      </c>
      <c r="I1378" s="13">
        <f>$B$7*(A1378*L$71+B1378*M$71+C1378*N$71+D1378*O$71)+F1378/100*$B$7*Q$71-$C$71</f>
        <v/>
      </c>
      <c r="J1378" s="13">
        <f>$B$7*(A1378*S$71+B1378*T$71+C1378*U$71+D1378*V$71)+F1378/100*$B$7*X$71-$C$71</f>
        <v/>
      </c>
      <c r="K1378" s="13">
        <f>$B$7*(A1378*Z$71+B1378*AA$71+C1378*AB$71+D1378*AC$71)+F1378/100*$B$7*AE$71-$C$71</f>
        <v/>
      </c>
      <c r="L1378" s="13">
        <f>$B$7*(A1378*AG$71+B1378*AH$71+C1378*AI$71+D1378*AJ$71)+F1378/100*$B$7*AL$71-$C$71</f>
        <v/>
      </c>
      <c r="M1378" s="13">
        <f>$B$7*(A1378*AN$71+B1378*AO$71+C1378*AP$71+D1378*AQ$71)+F1378/100*$B$7*AS$71-$C$71</f>
        <v/>
      </c>
      <c r="N1378" s="13">
        <f>SUMPRODUCT($H$24:$M$24,H1378:M1378)</f>
        <v/>
      </c>
      <c r="O1378" s="14">
        <f>SQRT(SUMPRODUCT($H$24:$M$24,(H1378:M1378-N1378)^2))</f>
        <v/>
      </c>
      <c r="P1378" s="13">
        <f>MIN(H1378:M1378)</f>
        <v/>
      </c>
      <c r="Q1378" s="13">
        <f>MAX(H1378:M1378)</f>
        <v/>
      </c>
      <c r="R1378" s="27">
        <f>IF(G1378,SUMPRODUCT(($G$76:$G$1505)*($N$76:$N$1505&gt;=N1378)*($O$76:$O$1505&lt;=O1378))=1,FALSE)</f>
        <v/>
      </c>
      <c r="S1378" s="16">
        <f>IF(R1378,ABS((O1378-$AC$76)/MAX(0.0001,$AC$77-$AC$76)-(N1378-$AC$78)/MAX(0.0001,$AC$79-$AC$78)),-1)</f>
        <v/>
      </c>
      <c r="T1378" s="14">
        <f>IF(G1378,O1378,NA())</f>
        <v/>
      </c>
      <c r="U1378" s="13">
        <f>IF(G1378,N1378,NA())</f>
        <v/>
      </c>
      <c r="V1378" s="14">
        <f>IF(R1378,O1378,NA())</f>
        <v/>
      </c>
      <c r="W1378" s="13">
        <f>IF(R1378,N1378,NA())</f>
        <v/>
      </c>
      <c r="X1378" s="27">
        <f>IF(G1378,P1378,"")</f>
        <v/>
      </c>
      <c r="Y1378" s="27">
        <f>IF(G1378,N1378,"")</f>
        <v/>
      </c>
      <c r="Z1378" s="27">
        <f>IF(R1378,O1378,"")</f>
        <v/>
      </c>
      <c r="AA1378" s="27">
        <f>IF(R1378,N1378,"")</f>
        <v/>
      </c>
    </row>
    <row r="1379">
      <c r="A1379" s="31" t="n">
        <v>0.6</v>
      </c>
      <c r="B1379" s="31" t="n">
        <v>0.2</v>
      </c>
      <c r="C1379" s="31" t="n">
        <v>0</v>
      </c>
      <c r="D1379" s="31" t="n">
        <v>0.2</v>
      </c>
      <c r="E1379" s="27" t="inlineStr">
        <is>
          <t>ON 60%/1M 20%/3M 20%</t>
        </is>
      </c>
      <c r="F1379" s="27" t="n">
        <v>75</v>
      </c>
      <c r="G1379" s="27">
        <f>A1379*$B$7&gt;=$B$9</f>
        <v/>
      </c>
      <c r="H1379" s="13">
        <f>$B$7*(A1379*E$71+B1379*F$71+C1379*G$71+D1379*H$71)+F1379/100*$B$7*J$71-$C$71</f>
        <v/>
      </c>
      <c r="I1379" s="13">
        <f>$B$7*(A1379*L$71+B1379*M$71+C1379*N$71+D1379*O$71)+F1379/100*$B$7*Q$71-$C$71</f>
        <v/>
      </c>
      <c r="J1379" s="13">
        <f>$B$7*(A1379*S$71+B1379*T$71+C1379*U$71+D1379*V$71)+F1379/100*$B$7*X$71-$C$71</f>
        <v/>
      </c>
      <c r="K1379" s="13">
        <f>$B$7*(A1379*Z$71+B1379*AA$71+C1379*AB$71+D1379*AC$71)+F1379/100*$B$7*AE$71-$C$71</f>
        <v/>
      </c>
      <c r="L1379" s="13">
        <f>$B$7*(A1379*AG$71+B1379*AH$71+C1379*AI$71+D1379*AJ$71)+F1379/100*$B$7*AL$71-$C$71</f>
        <v/>
      </c>
      <c r="M1379" s="13">
        <f>$B$7*(A1379*AN$71+B1379*AO$71+C1379*AP$71+D1379*AQ$71)+F1379/100*$B$7*AS$71-$C$71</f>
        <v/>
      </c>
      <c r="N1379" s="13">
        <f>SUMPRODUCT($H$24:$M$24,H1379:M1379)</f>
        <v/>
      </c>
      <c r="O1379" s="14">
        <f>SQRT(SUMPRODUCT($H$24:$M$24,(H1379:M1379-N1379)^2))</f>
        <v/>
      </c>
      <c r="P1379" s="13">
        <f>MIN(H1379:M1379)</f>
        <v/>
      </c>
      <c r="Q1379" s="13">
        <f>MAX(H1379:M1379)</f>
        <v/>
      </c>
      <c r="R1379" s="27">
        <f>IF(G1379,SUMPRODUCT(($G$76:$G$1505)*($N$76:$N$1505&gt;=N1379)*($O$76:$O$1505&lt;=O1379))=1,FALSE)</f>
        <v/>
      </c>
      <c r="S1379" s="16">
        <f>IF(R1379,ABS((O1379-$AC$76)/MAX(0.0001,$AC$77-$AC$76)-(N1379-$AC$78)/MAX(0.0001,$AC$79-$AC$78)),-1)</f>
        <v/>
      </c>
      <c r="T1379" s="14">
        <f>IF(G1379,O1379,NA())</f>
        <v/>
      </c>
      <c r="U1379" s="13">
        <f>IF(G1379,N1379,NA())</f>
        <v/>
      </c>
      <c r="V1379" s="14">
        <f>IF(R1379,O1379,NA())</f>
        <v/>
      </c>
      <c r="W1379" s="13">
        <f>IF(R1379,N1379,NA())</f>
        <v/>
      </c>
      <c r="X1379" s="27">
        <f>IF(G1379,P1379,"")</f>
        <v/>
      </c>
      <c r="Y1379" s="27">
        <f>IF(G1379,N1379,"")</f>
        <v/>
      </c>
      <c r="Z1379" s="27">
        <f>IF(R1379,O1379,"")</f>
        <v/>
      </c>
      <c r="AA1379" s="27">
        <f>IF(R1379,N1379,"")</f>
        <v/>
      </c>
    </row>
    <row r="1380">
      <c r="A1380" s="31" t="n">
        <v>0.6</v>
      </c>
      <c r="B1380" s="31" t="n">
        <v>0.2</v>
      </c>
      <c r="C1380" s="31" t="n">
        <v>0</v>
      </c>
      <c r="D1380" s="31" t="n">
        <v>0.2</v>
      </c>
      <c r="E1380" s="27" t="inlineStr">
        <is>
          <t>ON 60%/1M 20%/3M 20%</t>
        </is>
      </c>
      <c r="F1380" s="27" t="n">
        <v>100</v>
      </c>
      <c r="G1380" s="27">
        <f>A1380*$B$7&gt;=$B$9</f>
        <v/>
      </c>
      <c r="H1380" s="13">
        <f>$B$7*(A1380*E$71+B1380*F$71+C1380*G$71+D1380*H$71)+F1380/100*$B$7*J$71-$C$71</f>
        <v/>
      </c>
      <c r="I1380" s="13">
        <f>$B$7*(A1380*L$71+B1380*M$71+C1380*N$71+D1380*O$71)+F1380/100*$B$7*Q$71-$C$71</f>
        <v/>
      </c>
      <c r="J1380" s="13">
        <f>$B$7*(A1380*S$71+B1380*T$71+C1380*U$71+D1380*V$71)+F1380/100*$B$7*X$71-$C$71</f>
        <v/>
      </c>
      <c r="K1380" s="13">
        <f>$B$7*(A1380*Z$71+B1380*AA$71+C1380*AB$71+D1380*AC$71)+F1380/100*$B$7*AE$71-$C$71</f>
        <v/>
      </c>
      <c r="L1380" s="13">
        <f>$B$7*(A1380*AG$71+B1380*AH$71+C1380*AI$71+D1380*AJ$71)+F1380/100*$B$7*AL$71-$C$71</f>
        <v/>
      </c>
      <c r="M1380" s="13">
        <f>$B$7*(A1380*AN$71+B1380*AO$71+C1380*AP$71+D1380*AQ$71)+F1380/100*$B$7*AS$71-$C$71</f>
        <v/>
      </c>
      <c r="N1380" s="13">
        <f>SUMPRODUCT($H$24:$M$24,H1380:M1380)</f>
        <v/>
      </c>
      <c r="O1380" s="14">
        <f>SQRT(SUMPRODUCT($H$24:$M$24,(H1380:M1380-N1380)^2))</f>
        <v/>
      </c>
      <c r="P1380" s="13">
        <f>MIN(H1380:M1380)</f>
        <v/>
      </c>
      <c r="Q1380" s="13">
        <f>MAX(H1380:M1380)</f>
        <v/>
      </c>
      <c r="R1380" s="27">
        <f>IF(G1380,SUMPRODUCT(($G$76:$G$1505)*($N$76:$N$1505&gt;=N1380)*($O$76:$O$1505&lt;=O1380))=1,FALSE)</f>
        <v/>
      </c>
      <c r="S1380" s="16">
        <f>IF(R1380,ABS((O1380-$AC$76)/MAX(0.0001,$AC$77-$AC$76)-(N1380-$AC$78)/MAX(0.0001,$AC$79-$AC$78)),-1)</f>
        <v/>
      </c>
      <c r="T1380" s="14">
        <f>IF(G1380,O1380,NA())</f>
        <v/>
      </c>
      <c r="U1380" s="13">
        <f>IF(G1380,N1380,NA())</f>
        <v/>
      </c>
      <c r="V1380" s="14">
        <f>IF(R1380,O1380,NA())</f>
        <v/>
      </c>
      <c r="W1380" s="13">
        <f>IF(R1380,N1380,NA())</f>
        <v/>
      </c>
      <c r="X1380" s="27">
        <f>IF(G1380,P1380,"")</f>
        <v/>
      </c>
      <c r="Y1380" s="27">
        <f>IF(G1380,N1380,"")</f>
        <v/>
      </c>
      <c r="Z1380" s="27">
        <f>IF(R1380,O1380,"")</f>
        <v/>
      </c>
      <c r="AA1380" s="27">
        <f>IF(R1380,N1380,"")</f>
        <v/>
      </c>
    </row>
    <row r="1381">
      <c r="A1381" s="31" t="n">
        <v>0.6</v>
      </c>
      <c r="B1381" s="31" t="n">
        <v>0.2</v>
      </c>
      <c r="C1381" s="31" t="n">
        <v>0.1</v>
      </c>
      <c r="D1381" s="31" t="n">
        <v>0.1</v>
      </c>
      <c r="E1381" s="27" t="inlineStr">
        <is>
          <t>ON 60%/1M 20%/2M 10%/3M 10%</t>
        </is>
      </c>
      <c r="F1381" s="27" t="n">
        <v>0</v>
      </c>
      <c r="G1381" s="27">
        <f>A1381*$B$7&gt;=$B$9</f>
        <v/>
      </c>
      <c r="H1381" s="13">
        <f>$B$7*(A1381*E$71+B1381*F$71+C1381*G$71+D1381*H$71)+F1381/100*$B$7*J$71-$C$71</f>
        <v/>
      </c>
      <c r="I1381" s="13">
        <f>$B$7*(A1381*L$71+B1381*M$71+C1381*N$71+D1381*O$71)+F1381/100*$B$7*Q$71-$C$71</f>
        <v/>
      </c>
      <c r="J1381" s="13">
        <f>$B$7*(A1381*S$71+B1381*T$71+C1381*U$71+D1381*V$71)+F1381/100*$B$7*X$71-$C$71</f>
        <v/>
      </c>
      <c r="K1381" s="13">
        <f>$B$7*(A1381*Z$71+B1381*AA$71+C1381*AB$71+D1381*AC$71)+F1381/100*$B$7*AE$71-$C$71</f>
        <v/>
      </c>
      <c r="L1381" s="13">
        <f>$B$7*(A1381*AG$71+B1381*AH$71+C1381*AI$71+D1381*AJ$71)+F1381/100*$B$7*AL$71-$C$71</f>
        <v/>
      </c>
      <c r="M1381" s="13">
        <f>$B$7*(A1381*AN$71+B1381*AO$71+C1381*AP$71+D1381*AQ$71)+F1381/100*$B$7*AS$71-$C$71</f>
        <v/>
      </c>
      <c r="N1381" s="13">
        <f>SUMPRODUCT($H$24:$M$24,H1381:M1381)</f>
        <v/>
      </c>
      <c r="O1381" s="14">
        <f>SQRT(SUMPRODUCT($H$24:$M$24,(H1381:M1381-N1381)^2))</f>
        <v/>
      </c>
      <c r="P1381" s="13">
        <f>MIN(H1381:M1381)</f>
        <v/>
      </c>
      <c r="Q1381" s="13">
        <f>MAX(H1381:M1381)</f>
        <v/>
      </c>
      <c r="R1381" s="27">
        <f>IF(G1381,SUMPRODUCT(($G$76:$G$1505)*($N$76:$N$1505&gt;=N1381)*($O$76:$O$1505&lt;=O1381))=1,FALSE)</f>
        <v/>
      </c>
      <c r="S1381" s="16">
        <f>IF(R1381,ABS((O1381-$AC$76)/MAX(0.0001,$AC$77-$AC$76)-(N1381-$AC$78)/MAX(0.0001,$AC$79-$AC$78)),-1)</f>
        <v/>
      </c>
      <c r="T1381" s="14">
        <f>IF(G1381,O1381,NA())</f>
        <v/>
      </c>
      <c r="U1381" s="13">
        <f>IF(G1381,N1381,NA())</f>
        <v/>
      </c>
      <c r="V1381" s="14">
        <f>IF(R1381,O1381,NA())</f>
        <v/>
      </c>
      <c r="W1381" s="13">
        <f>IF(R1381,N1381,NA())</f>
        <v/>
      </c>
      <c r="X1381" s="27">
        <f>IF(G1381,P1381,"")</f>
        <v/>
      </c>
      <c r="Y1381" s="27">
        <f>IF(G1381,N1381,"")</f>
        <v/>
      </c>
      <c r="Z1381" s="27">
        <f>IF(R1381,O1381,"")</f>
        <v/>
      </c>
      <c r="AA1381" s="27">
        <f>IF(R1381,N1381,"")</f>
        <v/>
      </c>
    </row>
    <row r="1382">
      <c r="A1382" s="31" t="n">
        <v>0.6</v>
      </c>
      <c r="B1382" s="31" t="n">
        <v>0.2</v>
      </c>
      <c r="C1382" s="31" t="n">
        <v>0.1</v>
      </c>
      <c r="D1382" s="31" t="n">
        <v>0.1</v>
      </c>
      <c r="E1382" s="27" t="inlineStr">
        <is>
          <t>ON 60%/1M 20%/2M 10%/3M 10%</t>
        </is>
      </c>
      <c r="F1382" s="27" t="n">
        <v>25</v>
      </c>
      <c r="G1382" s="27">
        <f>A1382*$B$7&gt;=$B$9</f>
        <v/>
      </c>
      <c r="H1382" s="13">
        <f>$B$7*(A1382*E$71+B1382*F$71+C1382*G$71+D1382*H$71)+F1382/100*$B$7*J$71-$C$71</f>
        <v/>
      </c>
      <c r="I1382" s="13">
        <f>$B$7*(A1382*L$71+B1382*M$71+C1382*N$71+D1382*O$71)+F1382/100*$B$7*Q$71-$C$71</f>
        <v/>
      </c>
      <c r="J1382" s="13">
        <f>$B$7*(A1382*S$71+B1382*T$71+C1382*U$71+D1382*V$71)+F1382/100*$B$7*X$71-$C$71</f>
        <v/>
      </c>
      <c r="K1382" s="13">
        <f>$B$7*(A1382*Z$71+B1382*AA$71+C1382*AB$71+D1382*AC$71)+F1382/100*$B$7*AE$71-$C$71</f>
        <v/>
      </c>
      <c r="L1382" s="13">
        <f>$B$7*(A1382*AG$71+B1382*AH$71+C1382*AI$71+D1382*AJ$71)+F1382/100*$B$7*AL$71-$C$71</f>
        <v/>
      </c>
      <c r="M1382" s="13">
        <f>$B$7*(A1382*AN$71+B1382*AO$71+C1382*AP$71+D1382*AQ$71)+F1382/100*$B$7*AS$71-$C$71</f>
        <v/>
      </c>
      <c r="N1382" s="13">
        <f>SUMPRODUCT($H$24:$M$24,H1382:M1382)</f>
        <v/>
      </c>
      <c r="O1382" s="14">
        <f>SQRT(SUMPRODUCT($H$24:$M$24,(H1382:M1382-N1382)^2))</f>
        <v/>
      </c>
      <c r="P1382" s="13">
        <f>MIN(H1382:M1382)</f>
        <v/>
      </c>
      <c r="Q1382" s="13">
        <f>MAX(H1382:M1382)</f>
        <v/>
      </c>
      <c r="R1382" s="27">
        <f>IF(G1382,SUMPRODUCT(($G$76:$G$1505)*($N$76:$N$1505&gt;=N1382)*($O$76:$O$1505&lt;=O1382))=1,FALSE)</f>
        <v/>
      </c>
      <c r="S1382" s="16">
        <f>IF(R1382,ABS((O1382-$AC$76)/MAX(0.0001,$AC$77-$AC$76)-(N1382-$AC$78)/MAX(0.0001,$AC$79-$AC$78)),-1)</f>
        <v/>
      </c>
      <c r="T1382" s="14">
        <f>IF(G1382,O1382,NA())</f>
        <v/>
      </c>
      <c r="U1382" s="13">
        <f>IF(G1382,N1382,NA())</f>
        <v/>
      </c>
      <c r="V1382" s="14">
        <f>IF(R1382,O1382,NA())</f>
        <v/>
      </c>
      <c r="W1382" s="13">
        <f>IF(R1382,N1382,NA())</f>
        <v/>
      </c>
      <c r="X1382" s="27">
        <f>IF(G1382,P1382,"")</f>
        <v/>
      </c>
      <c r="Y1382" s="27">
        <f>IF(G1382,N1382,"")</f>
        <v/>
      </c>
      <c r="Z1382" s="27">
        <f>IF(R1382,O1382,"")</f>
        <v/>
      </c>
      <c r="AA1382" s="27">
        <f>IF(R1382,N1382,"")</f>
        <v/>
      </c>
    </row>
    <row r="1383">
      <c r="A1383" s="31" t="n">
        <v>0.6</v>
      </c>
      <c r="B1383" s="31" t="n">
        <v>0.2</v>
      </c>
      <c r="C1383" s="31" t="n">
        <v>0.1</v>
      </c>
      <c r="D1383" s="31" t="n">
        <v>0.1</v>
      </c>
      <c r="E1383" s="27" t="inlineStr">
        <is>
          <t>ON 60%/1M 20%/2M 10%/3M 10%</t>
        </is>
      </c>
      <c r="F1383" s="27" t="n">
        <v>50</v>
      </c>
      <c r="G1383" s="27">
        <f>A1383*$B$7&gt;=$B$9</f>
        <v/>
      </c>
      <c r="H1383" s="13">
        <f>$B$7*(A1383*E$71+B1383*F$71+C1383*G$71+D1383*H$71)+F1383/100*$B$7*J$71-$C$71</f>
        <v/>
      </c>
      <c r="I1383" s="13">
        <f>$B$7*(A1383*L$71+B1383*M$71+C1383*N$71+D1383*O$71)+F1383/100*$B$7*Q$71-$C$71</f>
        <v/>
      </c>
      <c r="J1383" s="13">
        <f>$B$7*(A1383*S$71+B1383*T$71+C1383*U$71+D1383*V$71)+F1383/100*$B$7*X$71-$C$71</f>
        <v/>
      </c>
      <c r="K1383" s="13">
        <f>$B$7*(A1383*Z$71+B1383*AA$71+C1383*AB$71+D1383*AC$71)+F1383/100*$B$7*AE$71-$C$71</f>
        <v/>
      </c>
      <c r="L1383" s="13">
        <f>$B$7*(A1383*AG$71+B1383*AH$71+C1383*AI$71+D1383*AJ$71)+F1383/100*$B$7*AL$71-$C$71</f>
        <v/>
      </c>
      <c r="M1383" s="13">
        <f>$B$7*(A1383*AN$71+B1383*AO$71+C1383*AP$71+D1383*AQ$71)+F1383/100*$B$7*AS$71-$C$71</f>
        <v/>
      </c>
      <c r="N1383" s="13">
        <f>SUMPRODUCT($H$24:$M$24,H1383:M1383)</f>
        <v/>
      </c>
      <c r="O1383" s="14">
        <f>SQRT(SUMPRODUCT($H$24:$M$24,(H1383:M1383-N1383)^2))</f>
        <v/>
      </c>
      <c r="P1383" s="13">
        <f>MIN(H1383:M1383)</f>
        <v/>
      </c>
      <c r="Q1383" s="13">
        <f>MAX(H1383:M1383)</f>
        <v/>
      </c>
      <c r="R1383" s="27">
        <f>IF(G1383,SUMPRODUCT(($G$76:$G$1505)*($N$76:$N$1505&gt;=N1383)*($O$76:$O$1505&lt;=O1383))=1,FALSE)</f>
        <v/>
      </c>
      <c r="S1383" s="16">
        <f>IF(R1383,ABS((O1383-$AC$76)/MAX(0.0001,$AC$77-$AC$76)-(N1383-$AC$78)/MAX(0.0001,$AC$79-$AC$78)),-1)</f>
        <v/>
      </c>
      <c r="T1383" s="14">
        <f>IF(G1383,O1383,NA())</f>
        <v/>
      </c>
      <c r="U1383" s="13">
        <f>IF(G1383,N1383,NA())</f>
        <v/>
      </c>
      <c r="V1383" s="14">
        <f>IF(R1383,O1383,NA())</f>
        <v/>
      </c>
      <c r="W1383" s="13">
        <f>IF(R1383,N1383,NA())</f>
        <v/>
      </c>
      <c r="X1383" s="27">
        <f>IF(G1383,P1383,"")</f>
        <v/>
      </c>
      <c r="Y1383" s="27">
        <f>IF(G1383,N1383,"")</f>
        <v/>
      </c>
      <c r="Z1383" s="27">
        <f>IF(R1383,O1383,"")</f>
        <v/>
      </c>
      <c r="AA1383" s="27">
        <f>IF(R1383,N1383,"")</f>
        <v/>
      </c>
    </row>
    <row r="1384">
      <c r="A1384" s="31" t="n">
        <v>0.6</v>
      </c>
      <c r="B1384" s="31" t="n">
        <v>0.2</v>
      </c>
      <c r="C1384" s="31" t="n">
        <v>0.1</v>
      </c>
      <c r="D1384" s="31" t="n">
        <v>0.1</v>
      </c>
      <c r="E1384" s="27" t="inlineStr">
        <is>
          <t>ON 60%/1M 20%/2M 10%/3M 10%</t>
        </is>
      </c>
      <c r="F1384" s="27" t="n">
        <v>75</v>
      </c>
      <c r="G1384" s="27">
        <f>A1384*$B$7&gt;=$B$9</f>
        <v/>
      </c>
      <c r="H1384" s="13">
        <f>$B$7*(A1384*E$71+B1384*F$71+C1384*G$71+D1384*H$71)+F1384/100*$B$7*J$71-$C$71</f>
        <v/>
      </c>
      <c r="I1384" s="13">
        <f>$B$7*(A1384*L$71+B1384*M$71+C1384*N$71+D1384*O$71)+F1384/100*$B$7*Q$71-$C$71</f>
        <v/>
      </c>
      <c r="J1384" s="13">
        <f>$B$7*(A1384*S$71+B1384*T$71+C1384*U$71+D1384*V$71)+F1384/100*$B$7*X$71-$C$71</f>
        <v/>
      </c>
      <c r="K1384" s="13">
        <f>$B$7*(A1384*Z$71+B1384*AA$71+C1384*AB$71+D1384*AC$71)+F1384/100*$B$7*AE$71-$C$71</f>
        <v/>
      </c>
      <c r="L1384" s="13">
        <f>$B$7*(A1384*AG$71+B1384*AH$71+C1384*AI$71+D1384*AJ$71)+F1384/100*$B$7*AL$71-$C$71</f>
        <v/>
      </c>
      <c r="M1384" s="13">
        <f>$B$7*(A1384*AN$71+B1384*AO$71+C1384*AP$71+D1384*AQ$71)+F1384/100*$B$7*AS$71-$C$71</f>
        <v/>
      </c>
      <c r="N1384" s="13">
        <f>SUMPRODUCT($H$24:$M$24,H1384:M1384)</f>
        <v/>
      </c>
      <c r="O1384" s="14">
        <f>SQRT(SUMPRODUCT($H$24:$M$24,(H1384:M1384-N1384)^2))</f>
        <v/>
      </c>
      <c r="P1384" s="13">
        <f>MIN(H1384:M1384)</f>
        <v/>
      </c>
      <c r="Q1384" s="13">
        <f>MAX(H1384:M1384)</f>
        <v/>
      </c>
      <c r="R1384" s="27">
        <f>IF(G1384,SUMPRODUCT(($G$76:$G$1505)*($N$76:$N$1505&gt;=N1384)*($O$76:$O$1505&lt;=O1384))=1,FALSE)</f>
        <v/>
      </c>
      <c r="S1384" s="16">
        <f>IF(R1384,ABS((O1384-$AC$76)/MAX(0.0001,$AC$77-$AC$76)-(N1384-$AC$78)/MAX(0.0001,$AC$79-$AC$78)),-1)</f>
        <v/>
      </c>
      <c r="T1384" s="14">
        <f>IF(G1384,O1384,NA())</f>
        <v/>
      </c>
      <c r="U1384" s="13">
        <f>IF(G1384,N1384,NA())</f>
        <v/>
      </c>
      <c r="V1384" s="14">
        <f>IF(R1384,O1384,NA())</f>
        <v/>
      </c>
      <c r="W1384" s="13">
        <f>IF(R1384,N1384,NA())</f>
        <v/>
      </c>
      <c r="X1384" s="27">
        <f>IF(G1384,P1384,"")</f>
        <v/>
      </c>
      <c r="Y1384" s="27">
        <f>IF(G1384,N1384,"")</f>
        <v/>
      </c>
      <c r="Z1384" s="27">
        <f>IF(R1384,O1384,"")</f>
        <v/>
      </c>
      <c r="AA1384" s="27">
        <f>IF(R1384,N1384,"")</f>
        <v/>
      </c>
    </row>
    <row r="1385">
      <c r="A1385" s="31" t="n">
        <v>0.6</v>
      </c>
      <c r="B1385" s="31" t="n">
        <v>0.2</v>
      </c>
      <c r="C1385" s="31" t="n">
        <v>0.1</v>
      </c>
      <c r="D1385" s="31" t="n">
        <v>0.1</v>
      </c>
      <c r="E1385" s="27" t="inlineStr">
        <is>
          <t>ON 60%/1M 20%/2M 10%/3M 10%</t>
        </is>
      </c>
      <c r="F1385" s="27" t="n">
        <v>100</v>
      </c>
      <c r="G1385" s="27">
        <f>A1385*$B$7&gt;=$B$9</f>
        <v/>
      </c>
      <c r="H1385" s="13">
        <f>$B$7*(A1385*E$71+B1385*F$71+C1385*G$71+D1385*H$71)+F1385/100*$B$7*J$71-$C$71</f>
        <v/>
      </c>
      <c r="I1385" s="13">
        <f>$B$7*(A1385*L$71+B1385*M$71+C1385*N$71+D1385*O$71)+F1385/100*$B$7*Q$71-$C$71</f>
        <v/>
      </c>
      <c r="J1385" s="13">
        <f>$B$7*(A1385*S$71+B1385*T$71+C1385*U$71+D1385*V$71)+F1385/100*$B$7*X$71-$C$71</f>
        <v/>
      </c>
      <c r="K1385" s="13">
        <f>$B$7*(A1385*Z$71+B1385*AA$71+C1385*AB$71+D1385*AC$71)+F1385/100*$B$7*AE$71-$C$71</f>
        <v/>
      </c>
      <c r="L1385" s="13">
        <f>$B$7*(A1385*AG$71+B1385*AH$71+C1385*AI$71+D1385*AJ$71)+F1385/100*$B$7*AL$71-$C$71</f>
        <v/>
      </c>
      <c r="M1385" s="13">
        <f>$B$7*(A1385*AN$71+B1385*AO$71+C1385*AP$71+D1385*AQ$71)+F1385/100*$B$7*AS$71-$C$71</f>
        <v/>
      </c>
      <c r="N1385" s="13">
        <f>SUMPRODUCT($H$24:$M$24,H1385:M1385)</f>
        <v/>
      </c>
      <c r="O1385" s="14">
        <f>SQRT(SUMPRODUCT($H$24:$M$24,(H1385:M1385-N1385)^2))</f>
        <v/>
      </c>
      <c r="P1385" s="13">
        <f>MIN(H1385:M1385)</f>
        <v/>
      </c>
      <c r="Q1385" s="13">
        <f>MAX(H1385:M1385)</f>
        <v/>
      </c>
      <c r="R1385" s="27">
        <f>IF(G1385,SUMPRODUCT(($G$76:$G$1505)*($N$76:$N$1505&gt;=N1385)*($O$76:$O$1505&lt;=O1385))=1,FALSE)</f>
        <v/>
      </c>
      <c r="S1385" s="16">
        <f>IF(R1385,ABS((O1385-$AC$76)/MAX(0.0001,$AC$77-$AC$76)-(N1385-$AC$78)/MAX(0.0001,$AC$79-$AC$78)),-1)</f>
        <v/>
      </c>
      <c r="T1385" s="14">
        <f>IF(G1385,O1385,NA())</f>
        <v/>
      </c>
      <c r="U1385" s="13">
        <f>IF(G1385,N1385,NA())</f>
        <v/>
      </c>
      <c r="V1385" s="14">
        <f>IF(R1385,O1385,NA())</f>
        <v/>
      </c>
      <c r="W1385" s="13">
        <f>IF(R1385,N1385,NA())</f>
        <v/>
      </c>
      <c r="X1385" s="27">
        <f>IF(G1385,P1385,"")</f>
        <v/>
      </c>
      <c r="Y1385" s="27">
        <f>IF(G1385,N1385,"")</f>
        <v/>
      </c>
      <c r="Z1385" s="27">
        <f>IF(R1385,O1385,"")</f>
        <v/>
      </c>
      <c r="AA1385" s="27">
        <f>IF(R1385,N1385,"")</f>
        <v/>
      </c>
    </row>
    <row r="1386">
      <c r="A1386" s="31" t="n">
        <v>0.6</v>
      </c>
      <c r="B1386" s="31" t="n">
        <v>0.2</v>
      </c>
      <c r="C1386" s="31" t="n">
        <v>0.2</v>
      </c>
      <c r="D1386" s="31" t="n">
        <v>0</v>
      </c>
      <c r="E1386" s="27" t="inlineStr">
        <is>
          <t>ON 60%/1M 20%/2M 20%</t>
        </is>
      </c>
      <c r="F1386" s="27" t="n">
        <v>0</v>
      </c>
      <c r="G1386" s="27">
        <f>A1386*$B$7&gt;=$B$9</f>
        <v/>
      </c>
      <c r="H1386" s="13">
        <f>$B$7*(A1386*E$71+B1386*F$71+C1386*G$71+D1386*H$71)+F1386/100*$B$7*J$71-$C$71</f>
        <v/>
      </c>
      <c r="I1386" s="13">
        <f>$B$7*(A1386*L$71+B1386*M$71+C1386*N$71+D1386*O$71)+F1386/100*$B$7*Q$71-$C$71</f>
        <v/>
      </c>
      <c r="J1386" s="13">
        <f>$B$7*(A1386*S$71+B1386*T$71+C1386*U$71+D1386*V$71)+F1386/100*$B$7*X$71-$C$71</f>
        <v/>
      </c>
      <c r="K1386" s="13">
        <f>$B$7*(A1386*Z$71+B1386*AA$71+C1386*AB$71+D1386*AC$71)+F1386/100*$B$7*AE$71-$C$71</f>
        <v/>
      </c>
      <c r="L1386" s="13">
        <f>$B$7*(A1386*AG$71+B1386*AH$71+C1386*AI$71+D1386*AJ$71)+F1386/100*$B$7*AL$71-$C$71</f>
        <v/>
      </c>
      <c r="M1386" s="13">
        <f>$B$7*(A1386*AN$71+B1386*AO$71+C1386*AP$71+D1386*AQ$71)+F1386/100*$B$7*AS$71-$C$71</f>
        <v/>
      </c>
      <c r="N1386" s="13">
        <f>SUMPRODUCT($H$24:$M$24,H1386:M1386)</f>
        <v/>
      </c>
      <c r="O1386" s="14">
        <f>SQRT(SUMPRODUCT($H$24:$M$24,(H1386:M1386-N1386)^2))</f>
        <v/>
      </c>
      <c r="P1386" s="13">
        <f>MIN(H1386:M1386)</f>
        <v/>
      </c>
      <c r="Q1386" s="13">
        <f>MAX(H1386:M1386)</f>
        <v/>
      </c>
      <c r="R1386" s="27">
        <f>IF(G1386,SUMPRODUCT(($G$76:$G$1505)*($N$76:$N$1505&gt;=N1386)*($O$76:$O$1505&lt;=O1386))=1,FALSE)</f>
        <v/>
      </c>
      <c r="S1386" s="16">
        <f>IF(R1386,ABS((O1386-$AC$76)/MAX(0.0001,$AC$77-$AC$76)-(N1386-$AC$78)/MAX(0.0001,$AC$79-$AC$78)),-1)</f>
        <v/>
      </c>
      <c r="T1386" s="14">
        <f>IF(G1386,O1386,NA())</f>
        <v/>
      </c>
      <c r="U1386" s="13">
        <f>IF(G1386,N1386,NA())</f>
        <v/>
      </c>
      <c r="V1386" s="14">
        <f>IF(R1386,O1386,NA())</f>
        <v/>
      </c>
      <c r="W1386" s="13">
        <f>IF(R1386,N1386,NA())</f>
        <v/>
      </c>
      <c r="X1386" s="27">
        <f>IF(G1386,P1386,"")</f>
        <v/>
      </c>
      <c r="Y1386" s="27">
        <f>IF(G1386,N1386,"")</f>
        <v/>
      </c>
      <c r="Z1386" s="27">
        <f>IF(R1386,O1386,"")</f>
        <v/>
      </c>
      <c r="AA1386" s="27">
        <f>IF(R1386,N1386,"")</f>
        <v/>
      </c>
    </row>
    <row r="1387">
      <c r="A1387" s="31" t="n">
        <v>0.6</v>
      </c>
      <c r="B1387" s="31" t="n">
        <v>0.2</v>
      </c>
      <c r="C1387" s="31" t="n">
        <v>0.2</v>
      </c>
      <c r="D1387" s="31" t="n">
        <v>0</v>
      </c>
      <c r="E1387" s="27" t="inlineStr">
        <is>
          <t>ON 60%/1M 20%/2M 20%</t>
        </is>
      </c>
      <c r="F1387" s="27" t="n">
        <v>25</v>
      </c>
      <c r="G1387" s="27">
        <f>A1387*$B$7&gt;=$B$9</f>
        <v/>
      </c>
      <c r="H1387" s="13">
        <f>$B$7*(A1387*E$71+B1387*F$71+C1387*G$71+D1387*H$71)+F1387/100*$B$7*J$71-$C$71</f>
        <v/>
      </c>
      <c r="I1387" s="13">
        <f>$B$7*(A1387*L$71+B1387*M$71+C1387*N$71+D1387*O$71)+F1387/100*$B$7*Q$71-$C$71</f>
        <v/>
      </c>
      <c r="J1387" s="13">
        <f>$B$7*(A1387*S$71+B1387*T$71+C1387*U$71+D1387*V$71)+F1387/100*$B$7*X$71-$C$71</f>
        <v/>
      </c>
      <c r="K1387" s="13">
        <f>$B$7*(A1387*Z$71+B1387*AA$71+C1387*AB$71+D1387*AC$71)+F1387/100*$B$7*AE$71-$C$71</f>
        <v/>
      </c>
      <c r="L1387" s="13">
        <f>$B$7*(A1387*AG$71+B1387*AH$71+C1387*AI$71+D1387*AJ$71)+F1387/100*$B$7*AL$71-$C$71</f>
        <v/>
      </c>
      <c r="M1387" s="13">
        <f>$B$7*(A1387*AN$71+B1387*AO$71+C1387*AP$71+D1387*AQ$71)+F1387/100*$B$7*AS$71-$C$71</f>
        <v/>
      </c>
      <c r="N1387" s="13">
        <f>SUMPRODUCT($H$24:$M$24,H1387:M1387)</f>
        <v/>
      </c>
      <c r="O1387" s="14">
        <f>SQRT(SUMPRODUCT($H$24:$M$24,(H1387:M1387-N1387)^2))</f>
        <v/>
      </c>
      <c r="P1387" s="13">
        <f>MIN(H1387:M1387)</f>
        <v/>
      </c>
      <c r="Q1387" s="13">
        <f>MAX(H1387:M1387)</f>
        <v/>
      </c>
      <c r="R1387" s="27">
        <f>IF(G1387,SUMPRODUCT(($G$76:$G$1505)*($N$76:$N$1505&gt;=N1387)*($O$76:$O$1505&lt;=O1387))=1,FALSE)</f>
        <v/>
      </c>
      <c r="S1387" s="16">
        <f>IF(R1387,ABS((O1387-$AC$76)/MAX(0.0001,$AC$77-$AC$76)-(N1387-$AC$78)/MAX(0.0001,$AC$79-$AC$78)),-1)</f>
        <v/>
      </c>
      <c r="T1387" s="14">
        <f>IF(G1387,O1387,NA())</f>
        <v/>
      </c>
      <c r="U1387" s="13">
        <f>IF(G1387,N1387,NA())</f>
        <v/>
      </c>
      <c r="V1387" s="14">
        <f>IF(R1387,O1387,NA())</f>
        <v/>
      </c>
      <c r="W1387" s="13">
        <f>IF(R1387,N1387,NA())</f>
        <v/>
      </c>
      <c r="X1387" s="27">
        <f>IF(G1387,P1387,"")</f>
        <v/>
      </c>
      <c r="Y1387" s="27">
        <f>IF(G1387,N1387,"")</f>
        <v/>
      </c>
      <c r="Z1387" s="27">
        <f>IF(R1387,O1387,"")</f>
        <v/>
      </c>
      <c r="AA1387" s="27">
        <f>IF(R1387,N1387,"")</f>
        <v/>
      </c>
    </row>
    <row r="1388">
      <c r="A1388" s="31" t="n">
        <v>0.6</v>
      </c>
      <c r="B1388" s="31" t="n">
        <v>0.2</v>
      </c>
      <c r="C1388" s="31" t="n">
        <v>0.2</v>
      </c>
      <c r="D1388" s="31" t="n">
        <v>0</v>
      </c>
      <c r="E1388" s="27" t="inlineStr">
        <is>
          <t>ON 60%/1M 20%/2M 20%</t>
        </is>
      </c>
      <c r="F1388" s="27" t="n">
        <v>50</v>
      </c>
      <c r="G1388" s="27">
        <f>A1388*$B$7&gt;=$B$9</f>
        <v/>
      </c>
      <c r="H1388" s="13">
        <f>$B$7*(A1388*E$71+B1388*F$71+C1388*G$71+D1388*H$71)+F1388/100*$B$7*J$71-$C$71</f>
        <v/>
      </c>
      <c r="I1388" s="13">
        <f>$B$7*(A1388*L$71+B1388*M$71+C1388*N$71+D1388*O$71)+F1388/100*$B$7*Q$71-$C$71</f>
        <v/>
      </c>
      <c r="J1388" s="13">
        <f>$B$7*(A1388*S$71+B1388*T$71+C1388*U$71+D1388*V$71)+F1388/100*$B$7*X$71-$C$71</f>
        <v/>
      </c>
      <c r="K1388" s="13">
        <f>$B$7*(A1388*Z$71+B1388*AA$71+C1388*AB$71+D1388*AC$71)+F1388/100*$B$7*AE$71-$C$71</f>
        <v/>
      </c>
      <c r="L1388" s="13">
        <f>$B$7*(A1388*AG$71+B1388*AH$71+C1388*AI$71+D1388*AJ$71)+F1388/100*$B$7*AL$71-$C$71</f>
        <v/>
      </c>
      <c r="M1388" s="13">
        <f>$B$7*(A1388*AN$71+B1388*AO$71+C1388*AP$71+D1388*AQ$71)+F1388/100*$B$7*AS$71-$C$71</f>
        <v/>
      </c>
      <c r="N1388" s="13">
        <f>SUMPRODUCT($H$24:$M$24,H1388:M1388)</f>
        <v/>
      </c>
      <c r="O1388" s="14">
        <f>SQRT(SUMPRODUCT($H$24:$M$24,(H1388:M1388-N1388)^2))</f>
        <v/>
      </c>
      <c r="P1388" s="13">
        <f>MIN(H1388:M1388)</f>
        <v/>
      </c>
      <c r="Q1388" s="13">
        <f>MAX(H1388:M1388)</f>
        <v/>
      </c>
      <c r="R1388" s="27">
        <f>IF(G1388,SUMPRODUCT(($G$76:$G$1505)*($N$76:$N$1505&gt;=N1388)*($O$76:$O$1505&lt;=O1388))=1,FALSE)</f>
        <v/>
      </c>
      <c r="S1388" s="16">
        <f>IF(R1388,ABS((O1388-$AC$76)/MAX(0.0001,$AC$77-$AC$76)-(N1388-$AC$78)/MAX(0.0001,$AC$79-$AC$78)),-1)</f>
        <v/>
      </c>
      <c r="T1388" s="14">
        <f>IF(G1388,O1388,NA())</f>
        <v/>
      </c>
      <c r="U1388" s="13">
        <f>IF(G1388,N1388,NA())</f>
        <v/>
      </c>
      <c r="V1388" s="14">
        <f>IF(R1388,O1388,NA())</f>
        <v/>
      </c>
      <c r="W1388" s="13">
        <f>IF(R1388,N1388,NA())</f>
        <v/>
      </c>
      <c r="X1388" s="27">
        <f>IF(G1388,P1388,"")</f>
        <v/>
      </c>
      <c r="Y1388" s="27">
        <f>IF(G1388,N1388,"")</f>
        <v/>
      </c>
      <c r="Z1388" s="27">
        <f>IF(R1388,O1388,"")</f>
        <v/>
      </c>
      <c r="AA1388" s="27">
        <f>IF(R1388,N1388,"")</f>
        <v/>
      </c>
    </row>
    <row r="1389">
      <c r="A1389" s="31" t="n">
        <v>0.6</v>
      </c>
      <c r="B1389" s="31" t="n">
        <v>0.2</v>
      </c>
      <c r="C1389" s="31" t="n">
        <v>0.2</v>
      </c>
      <c r="D1389" s="31" t="n">
        <v>0</v>
      </c>
      <c r="E1389" s="27" t="inlineStr">
        <is>
          <t>ON 60%/1M 20%/2M 20%</t>
        </is>
      </c>
      <c r="F1389" s="27" t="n">
        <v>75</v>
      </c>
      <c r="G1389" s="27">
        <f>A1389*$B$7&gt;=$B$9</f>
        <v/>
      </c>
      <c r="H1389" s="13">
        <f>$B$7*(A1389*E$71+B1389*F$71+C1389*G$71+D1389*H$71)+F1389/100*$B$7*J$71-$C$71</f>
        <v/>
      </c>
      <c r="I1389" s="13">
        <f>$B$7*(A1389*L$71+B1389*M$71+C1389*N$71+D1389*O$71)+F1389/100*$B$7*Q$71-$C$71</f>
        <v/>
      </c>
      <c r="J1389" s="13">
        <f>$B$7*(A1389*S$71+B1389*T$71+C1389*U$71+D1389*V$71)+F1389/100*$B$7*X$71-$C$71</f>
        <v/>
      </c>
      <c r="K1389" s="13">
        <f>$B$7*(A1389*Z$71+B1389*AA$71+C1389*AB$71+D1389*AC$71)+F1389/100*$B$7*AE$71-$C$71</f>
        <v/>
      </c>
      <c r="L1389" s="13">
        <f>$B$7*(A1389*AG$71+B1389*AH$71+C1389*AI$71+D1389*AJ$71)+F1389/100*$B$7*AL$71-$C$71</f>
        <v/>
      </c>
      <c r="M1389" s="13">
        <f>$B$7*(A1389*AN$71+B1389*AO$71+C1389*AP$71+D1389*AQ$71)+F1389/100*$B$7*AS$71-$C$71</f>
        <v/>
      </c>
      <c r="N1389" s="13">
        <f>SUMPRODUCT($H$24:$M$24,H1389:M1389)</f>
        <v/>
      </c>
      <c r="O1389" s="14">
        <f>SQRT(SUMPRODUCT($H$24:$M$24,(H1389:M1389-N1389)^2))</f>
        <v/>
      </c>
      <c r="P1389" s="13">
        <f>MIN(H1389:M1389)</f>
        <v/>
      </c>
      <c r="Q1389" s="13">
        <f>MAX(H1389:M1389)</f>
        <v/>
      </c>
      <c r="R1389" s="27">
        <f>IF(G1389,SUMPRODUCT(($G$76:$G$1505)*($N$76:$N$1505&gt;=N1389)*($O$76:$O$1505&lt;=O1389))=1,FALSE)</f>
        <v/>
      </c>
      <c r="S1389" s="16">
        <f>IF(R1389,ABS((O1389-$AC$76)/MAX(0.0001,$AC$77-$AC$76)-(N1389-$AC$78)/MAX(0.0001,$AC$79-$AC$78)),-1)</f>
        <v/>
      </c>
      <c r="T1389" s="14">
        <f>IF(G1389,O1389,NA())</f>
        <v/>
      </c>
      <c r="U1389" s="13">
        <f>IF(G1389,N1389,NA())</f>
        <v/>
      </c>
      <c r="V1389" s="14">
        <f>IF(R1389,O1389,NA())</f>
        <v/>
      </c>
      <c r="W1389" s="13">
        <f>IF(R1389,N1389,NA())</f>
        <v/>
      </c>
      <c r="X1389" s="27">
        <f>IF(G1389,P1389,"")</f>
        <v/>
      </c>
      <c r="Y1389" s="27">
        <f>IF(G1389,N1389,"")</f>
        <v/>
      </c>
      <c r="Z1389" s="27">
        <f>IF(R1389,O1389,"")</f>
        <v/>
      </c>
      <c r="AA1389" s="27">
        <f>IF(R1389,N1389,"")</f>
        <v/>
      </c>
    </row>
    <row r="1390">
      <c r="A1390" s="31" t="n">
        <v>0.6</v>
      </c>
      <c r="B1390" s="31" t="n">
        <v>0.2</v>
      </c>
      <c r="C1390" s="31" t="n">
        <v>0.2</v>
      </c>
      <c r="D1390" s="31" t="n">
        <v>0</v>
      </c>
      <c r="E1390" s="27" t="inlineStr">
        <is>
          <t>ON 60%/1M 20%/2M 20%</t>
        </is>
      </c>
      <c r="F1390" s="27" t="n">
        <v>100</v>
      </c>
      <c r="G1390" s="27">
        <f>A1390*$B$7&gt;=$B$9</f>
        <v/>
      </c>
      <c r="H1390" s="13">
        <f>$B$7*(A1390*E$71+B1390*F$71+C1390*G$71+D1390*H$71)+F1390/100*$B$7*J$71-$C$71</f>
        <v/>
      </c>
      <c r="I1390" s="13">
        <f>$B$7*(A1390*L$71+B1390*M$71+C1390*N$71+D1390*O$71)+F1390/100*$B$7*Q$71-$C$71</f>
        <v/>
      </c>
      <c r="J1390" s="13">
        <f>$B$7*(A1390*S$71+B1390*T$71+C1390*U$71+D1390*V$71)+F1390/100*$B$7*X$71-$C$71</f>
        <v/>
      </c>
      <c r="K1390" s="13">
        <f>$B$7*(A1390*Z$71+B1390*AA$71+C1390*AB$71+D1390*AC$71)+F1390/100*$B$7*AE$71-$C$71</f>
        <v/>
      </c>
      <c r="L1390" s="13">
        <f>$B$7*(A1390*AG$71+B1390*AH$71+C1390*AI$71+D1390*AJ$71)+F1390/100*$B$7*AL$71-$C$71</f>
        <v/>
      </c>
      <c r="M1390" s="13">
        <f>$B$7*(A1390*AN$71+B1390*AO$71+C1390*AP$71+D1390*AQ$71)+F1390/100*$B$7*AS$71-$C$71</f>
        <v/>
      </c>
      <c r="N1390" s="13">
        <f>SUMPRODUCT($H$24:$M$24,H1390:M1390)</f>
        <v/>
      </c>
      <c r="O1390" s="14">
        <f>SQRT(SUMPRODUCT($H$24:$M$24,(H1390:M1390-N1390)^2))</f>
        <v/>
      </c>
      <c r="P1390" s="13">
        <f>MIN(H1390:M1390)</f>
        <v/>
      </c>
      <c r="Q1390" s="13">
        <f>MAX(H1390:M1390)</f>
        <v/>
      </c>
      <c r="R1390" s="27">
        <f>IF(G1390,SUMPRODUCT(($G$76:$G$1505)*($N$76:$N$1505&gt;=N1390)*($O$76:$O$1505&lt;=O1390))=1,FALSE)</f>
        <v/>
      </c>
      <c r="S1390" s="16">
        <f>IF(R1390,ABS((O1390-$AC$76)/MAX(0.0001,$AC$77-$AC$76)-(N1390-$AC$78)/MAX(0.0001,$AC$79-$AC$78)),-1)</f>
        <v/>
      </c>
      <c r="T1390" s="14">
        <f>IF(G1390,O1390,NA())</f>
        <v/>
      </c>
      <c r="U1390" s="13">
        <f>IF(G1390,N1390,NA())</f>
        <v/>
      </c>
      <c r="V1390" s="14">
        <f>IF(R1390,O1390,NA())</f>
        <v/>
      </c>
      <c r="W1390" s="13">
        <f>IF(R1390,N1390,NA())</f>
        <v/>
      </c>
      <c r="X1390" s="27">
        <f>IF(G1390,P1390,"")</f>
        <v/>
      </c>
      <c r="Y1390" s="27">
        <f>IF(G1390,N1390,"")</f>
        <v/>
      </c>
      <c r="Z1390" s="27">
        <f>IF(R1390,O1390,"")</f>
        <v/>
      </c>
      <c r="AA1390" s="27">
        <f>IF(R1390,N1390,"")</f>
        <v/>
      </c>
    </row>
    <row r="1391">
      <c r="A1391" s="31" t="n">
        <v>0.6</v>
      </c>
      <c r="B1391" s="31" t="n">
        <v>0.3</v>
      </c>
      <c r="C1391" s="31" t="n">
        <v>0</v>
      </c>
      <c r="D1391" s="31" t="n">
        <v>0.1</v>
      </c>
      <c r="E1391" s="27" t="inlineStr">
        <is>
          <t>ON 60%/1M 30%/3M 10%</t>
        </is>
      </c>
      <c r="F1391" s="27" t="n">
        <v>0</v>
      </c>
      <c r="G1391" s="27">
        <f>A1391*$B$7&gt;=$B$9</f>
        <v/>
      </c>
      <c r="H1391" s="13">
        <f>$B$7*(A1391*E$71+B1391*F$71+C1391*G$71+D1391*H$71)+F1391/100*$B$7*J$71-$C$71</f>
        <v/>
      </c>
      <c r="I1391" s="13">
        <f>$B$7*(A1391*L$71+B1391*M$71+C1391*N$71+D1391*O$71)+F1391/100*$B$7*Q$71-$C$71</f>
        <v/>
      </c>
      <c r="J1391" s="13">
        <f>$B$7*(A1391*S$71+B1391*T$71+C1391*U$71+D1391*V$71)+F1391/100*$B$7*X$71-$C$71</f>
        <v/>
      </c>
      <c r="K1391" s="13">
        <f>$B$7*(A1391*Z$71+B1391*AA$71+C1391*AB$71+D1391*AC$71)+F1391/100*$B$7*AE$71-$C$71</f>
        <v/>
      </c>
      <c r="L1391" s="13">
        <f>$B$7*(A1391*AG$71+B1391*AH$71+C1391*AI$71+D1391*AJ$71)+F1391/100*$B$7*AL$71-$C$71</f>
        <v/>
      </c>
      <c r="M1391" s="13">
        <f>$B$7*(A1391*AN$71+B1391*AO$71+C1391*AP$71+D1391*AQ$71)+F1391/100*$B$7*AS$71-$C$71</f>
        <v/>
      </c>
      <c r="N1391" s="13">
        <f>SUMPRODUCT($H$24:$M$24,H1391:M1391)</f>
        <v/>
      </c>
      <c r="O1391" s="14">
        <f>SQRT(SUMPRODUCT($H$24:$M$24,(H1391:M1391-N1391)^2))</f>
        <v/>
      </c>
      <c r="P1391" s="13">
        <f>MIN(H1391:M1391)</f>
        <v/>
      </c>
      <c r="Q1391" s="13">
        <f>MAX(H1391:M1391)</f>
        <v/>
      </c>
      <c r="R1391" s="27">
        <f>IF(G1391,SUMPRODUCT(($G$76:$G$1505)*($N$76:$N$1505&gt;=N1391)*($O$76:$O$1505&lt;=O1391))=1,FALSE)</f>
        <v/>
      </c>
      <c r="S1391" s="16">
        <f>IF(R1391,ABS((O1391-$AC$76)/MAX(0.0001,$AC$77-$AC$76)-(N1391-$AC$78)/MAX(0.0001,$AC$79-$AC$78)),-1)</f>
        <v/>
      </c>
      <c r="T1391" s="14">
        <f>IF(G1391,O1391,NA())</f>
        <v/>
      </c>
      <c r="U1391" s="13">
        <f>IF(G1391,N1391,NA())</f>
        <v/>
      </c>
      <c r="V1391" s="14">
        <f>IF(R1391,O1391,NA())</f>
        <v/>
      </c>
      <c r="W1391" s="13">
        <f>IF(R1391,N1391,NA())</f>
        <v/>
      </c>
      <c r="X1391" s="27">
        <f>IF(G1391,P1391,"")</f>
        <v/>
      </c>
      <c r="Y1391" s="27">
        <f>IF(G1391,N1391,"")</f>
        <v/>
      </c>
      <c r="Z1391" s="27">
        <f>IF(R1391,O1391,"")</f>
        <v/>
      </c>
      <c r="AA1391" s="27">
        <f>IF(R1391,N1391,"")</f>
        <v/>
      </c>
    </row>
    <row r="1392">
      <c r="A1392" s="31" t="n">
        <v>0.6</v>
      </c>
      <c r="B1392" s="31" t="n">
        <v>0.3</v>
      </c>
      <c r="C1392" s="31" t="n">
        <v>0</v>
      </c>
      <c r="D1392" s="31" t="n">
        <v>0.1</v>
      </c>
      <c r="E1392" s="27" t="inlineStr">
        <is>
          <t>ON 60%/1M 30%/3M 10%</t>
        </is>
      </c>
      <c r="F1392" s="27" t="n">
        <v>25</v>
      </c>
      <c r="G1392" s="27">
        <f>A1392*$B$7&gt;=$B$9</f>
        <v/>
      </c>
      <c r="H1392" s="13">
        <f>$B$7*(A1392*E$71+B1392*F$71+C1392*G$71+D1392*H$71)+F1392/100*$B$7*J$71-$C$71</f>
        <v/>
      </c>
      <c r="I1392" s="13">
        <f>$B$7*(A1392*L$71+B1392*M$71+C1392*N$71+D1392*O$71)+F1392/100*$B$7*Q$71-$C$71</f>
        <v/>
      </c>
      <c r="J1392" s="13">
        <f>$B$7*(A1392*S$71+B1392*T$71+C1392*U$71+D1392*V$71)+F1392/100*$B$7*X$71-$C$71</f>
        <v/>
      </c>
      <c r="K1392" s="13">
        <f>$B$7*(A1392*Z$71+B1392*AA$71+C1392*AB$71+D1392*AC$71)+F1392/100*$B$7*AE$71-$C$71</f>
        <v/>
      </c>
      <c r="L1392" s="13">
        <f>$B$7*(A1392*AG$71+B1392*AH$71+C1392*AI$71+D1392*AJ$71)+F1392/100*$B$7*AL$71-$C$71</f>
        <v/>
      </c>
      <c r="M1392" s="13">
        <f>$B$7*(A1392*AN$71+B1392*AO$71+C1392*AP$71+D1392*AQ$71)+F1392/100*$B$7*AS$71-$C$71</f>
        <v/>
      </c>
      <c r="N1392" s="13">
        <f>SUMPRODUCT($H$24:$M$24,H1392:M1392)</f>
        <v/>
      </c>
      <c r="O1392" s="14">
        <f>SQRT(SUMPRODUCT($H$24:$M$24,(H1392:M1392-N1392)^2))</f>
        <v/>
      </c>
      <c r="P1392" s="13">
        <f>MIN(H1392:M1392)</f>
        <v/>
      </c>
      <c r="Q1392" s="13">
        <f>MAX(H1392:M1392)</f>
        <v/>
      </c>
      <c r="R1392" s="27">
        <f>IF(G1392,SUMPRODUCT(($G$76:$G$1505)*($N$76:$N$1505&gt;=N1392)*($O$76:$O$1505&lt;=O1392))=1,FALSE)</f>
        <v/>
      </c>
      <c r="S1392" s="16">
        <f>IF(R1392,ABS((O1392-$AC$76)/MAX(0.0001,$AC$77-$AC$76)-(N1392-$AC$78)/MAX(0.0001,$AC$79-$AC$78)),-1)</f>
        <v/>
      </c>
      <c r="T1392" s="14">
        <f>IF(G1392,O1392,NA())</f>
        <v/>
      </c>
      <c r="U1392" s="13">
        <f>IF(G1392,N1392,NA())</f>
        <v/>
      </c>
      <c r="V1392" s="14">
        <f>IF(R1392,O1392,NA())</f>
        <v/>
      </c>
      <c r="W1392" s="13">
        <f>IF(R1392,N1392,NA())</f>
        <v/>
      </c>
      <c r="X1392" s="27">
        <f>IF(G1392,P1392,"")</f>
        <v/>
      </c>
      <c r="Y1392" s="27">
        <f>IF(G1392,N1392,"")</f>
        <v/>
      </c>
      <c r="Z1392" s="27">
        <f>IF(R1392,O1392,"")</f>
        <v/>
      </c>
      <c r="AA1392" s="27">
        <f>IF(R1392,N1392,"")</f>
        <v/>
      </c>
    </row>
    <row r="1393">
      <c r="A1393" s="31" t="n">
        <v>0.6</v>
      </c>
      <c r="B1393" s="31" t="n">
        <v>0.3</v>
      </c>
      <c r="C1393" s="31" t="n">
        <v>0</v>
      </c>
      <c r="D1393" s="31" t="n">
        <v>0.1</v>
      </c>
      <c r="E1393" s="27" t="inlineStr">
        <is>
          <t>ON 60%/1M 30%/3M 10%</t>
        </is>
      </c>
      <c r="F1393" s="27" t="n">
        <v>50</v>
      </c>
      <c r="G1393" s="27">
        <f>A1393*$B$7&gt;=$B$9</f>
        <v/>
      </c>
      <c r="H1393" s="13">
        <f>$B$7*(A1393*E$71+B1393*F$71+C1393*G$71+D1393*H$71)+F1393/100*$B$7*J$71-$C$71</f>
        <v/>
      </c>
      <c r="I1393" s="13">
        <f>$B$7*(A1393*L$71+B1393*M$71+C1393*N$71+D1393*O$71)+F1393/100*$B$7*Q$71-$C$71</f>
        <v/>
      </c>
      <c r="J1393" s="13">
        <f>$B$7*(A1393*S$71+B1393*T$71+C1393*U$71+D1393*V$71)+F1393/100*$B$7*X$71-$C$71</f>
        <v/>
      </c>
      <c r="K1393" s="13">
        <f>$B$7*(A1393*Z$71+B1393*AA$71+C1393*AB$71+D1393*AC$71)+F1393/100*$B$7*AE$71-$C$71</f>
        <v/>
      </c>
      <c r="L1393" s="13">
        <f>$B$7*(A1393*AG$71+B1393*AH$71+C1393*AI$71+D1393*AJ$71)+F1393/100*$B$7*AL$71-$C$71</f>
        <v/>
      </c>
      <c r="M1393" s="13">
        <f>$B$7*(A1393*AN$71+B1393*AO$71+C1393*AP$71+D1393*AQ$71)+F1393/100*$B$7*AS$71-$C$71</f>
        <v/>
      </c>
      <c r="N1393" s="13">
        <f>SUMPRODUCT($H$24:$M$24,H1393:M1393)</f>
        <v/>
      </c>
      <c r="O1393" s="14">
        <f>SQRT(SUMPRODUCT($H$24:$M$24,(H1393:M1393-N1393)^2))</f>
        <v/>
      </c>
      <c r="P1393" s="13">
        <f>MIN(H1393:M1393)</f>
        <v/>
      </c>
      <c r="Q1393" s="13">
        <f>MAX(H1393:M1393)</f>
        <v/>
      </c>
      <c r="R1393" s="27">
        <f>IF(G1393,SUMPRODUCT(($G$76:$G$1505)*($N$76:$N$1505&gt;=N1393)*($O$76:$O$1505&lt;=O1393))=1,FALSE)</f>
        <v/>
      </c>
      <c r="S1393" s="16">
        <f>IF(R1393,ABS((O1393-$AC$76)/MAX(0.0001,$AC$77-$AC$76)-(N1393-$AC$78)/MAX(0.0001,$AC$79-$AC$78)),-1)</f>
        <v/>
      </c>
      <c r="T1393" s="14">
        <f>IF(G1393,O1393,NA())</f>
        <v/>
      </c>
      <c r="U1393" s="13">
        <f>IF(G1393,N1393,NA())</f>
        <v/>
      </c>
      <c r="V1393" s="14">
        <f>IF(R1393,O1393,NA())</f>
        <v/>
      </c>
      <c r="W1393" s="13">
        <f>IF(R1393,N1393,NA())</f>
        <v/>
      </c>
      <c r="X1393" s="27">
        <f>IF(G1393,P1393,"")</f>
        <v/>
      </c>
      <c r="Y1393" s="27">
        <f>IF(G1393,N1393,"")</f>
        <v/>
      </c>
      <c r="Z1393" s="27">
        <f>IF(R1393,O1393,"")</f>
        <v/>
      </c>
      <c r="AA1393" s="27">
        <f>IF(R1393,N1393,"")</f>
        <v/>
      </c>
    </row>
    <row r="1394">
      <c r="A1394" s="31" t="n">
        <v>0.6</v>
      </c>
      <c r="B1394" s="31" t="n">
        <v>0.3</v>
      </c>
      <c r="C1394" s="31" t="n">
        <v>0</v>
      </c>
      <c r="D1394" s="31" t="n">
        <v>0.1</v>
      </c>
      <c r="E1394" s="27" t="inlineStr">
        <is>
          <t>ON 60%/1M 30%/3M 10%</t>
        </is>
      </c>
      <c r="F1394" s="27" t="n">
        <v>75</v>
      </c>
      <c r="G1394" s="27">
        <f>A1394*$B$7&gt;=$B$9</f>
        <v/>
      </c>
      <c r="H1394" s="13">
        <f>$B$7*(A1394*E$71+B1394*F$71+C1394*G$71+D1394*H$71)+F1394/100*$B$7*J$71-$C$71</f>
        <v/>
      </c>
      <c r="I1394" s="13">
        <f>$B$7*(A1394*L$71+B1394*M$71+C1394*N$71+D1394*O$71)+F1394/100*$B$7*Q$71-$C$71</f>
        <v/>
      </c>
      <c r="J1394" s="13">
        <f>$B$7*(A1394*S$71+B1394*T$71+C1394*U$71+D1394*V$71)+F1394/100*$B$7*X$71-$C$71</f>
        <v/>
      </c>
      <c r="K1394" s="13">
        <f>$B$7*(A1394*Z$71+B1394*AA$71+C1394*AB$71+D1394*AC$71)+F1394/100*$B$7*AE$71-$C$71</f>
        <v/>
      </c>
      <c r="L1394" s="13">
        <f>$B$7*(A1394*AG$71+B1394*AH$71+C1394*AI$71+D1394*AJ$71)+F1394/100*$B$7*AL$71-$C$71</f>
        <v/>
      </c>
      <c r="M1394" s="13">
        <f>$B$7*(A1394*AN$71+B1394*AO$71+C1394*AP$71+D1394*AQ$71)+F1394/100*$B$7*AS$71-$C$71</f>
        <v/>
      </c>
      <c r="N1394" s="13">
        <f>SUMPRODUCT($H$24:$M$24,H1394:M1394)</f>
        <v/>
      </c>
      <c r="O1394" s="14">
        <f>SQRT(SUMPRODUCT($H$24:$M$24,(H1394:M1394-N1394)^2))</f>
        <v/>
      </c>
      <c r="P1394" s="13">
        <f>MIN(H1394:M1394)</f>
        <v/>
      </c>
      <c r="Q1394" s="13">
        <f>MAX(H1394:M1394)</f>
        <v/>
      </c>
      <c r="R1394" s="27">
        <f>IF(G1394,SUMPRODUCT(($G$76:$G$1505)*($N$76:$N$1505&gt;=N1394)*($O$76:$O$1505&lt;=O1394))=1,FALSE)</f>
        <v/>
      </c>
      <c r="S1394" s="16">
        <f>IF(R1394,ABS((O1394-$AC$76)/MAX(0.0001,$AC$77-$AC$76)-(N1394-$AC$78)/MAX(0.0001,$AC$79-$AC$78)),-1)</f>
        <v/>
      </c>
      <c r="T1394" s="14">
        <f>IF(G1394,O1394,NA())</f>
        <v/>
      </c>
      <c r="U1394" s="13">
        <f>IF(G1394,N1394,NA())</f>
        <v/>
      </c>
      <c r="V1394" s="14">
        <f>IF(R1394,O1394,NA())</f>
        <v/>
      </c>
      <c r="W1394" s="13">
        <f>IF(R1394,N1394,NA())</f>
        <v/>
      </c>
      <c r="X1394" s="27">
        <f>IF(G1394,P1394,"")</f>
        <v/>
      </c>
      <c r="Y1394" s="27">
        <f>IF(G1394,N1394,"")</f>
        <v/>
      </c>
      <c r="Z1394" s="27">
        <f>IF(R1394,O1394,"")</f>
        <v/>
      </c>
      <c r="AA1394" s="27">
        <f>IF(R1394,N1394,"")</f>
        <v/>
      </c>
    </row>
    <row r="1395">
      <c r="A1395" s="31" t="n">
        <v>0.6</v>
      </c>
      <c r="B1395" s="31" t="n">
        <v>0.3</v>
      </c>
      <c r="C1395" s="31" t="n">
        <v>0</v>
      </c>
      <c r="D1395" s="31" t="n">
        <v>0.1</v>
      </c>
      <c r="E1395" s="27" t="inlineStr">
        <is>
          <t>ON 60%/1M 30%/3M 10%</t>
        </is>
      </c>
      <c r="F1395" s="27" t="n">
        <v>100</v>
      </c>
      <c r="G1395" s="27">
        <f>A1395*$B$7&gt;=$B$9</f>
        <v/>
      </c>
      <c r="H1395" s="13">
        <f>$B$7*(A1395*E$71+B1395*F$71+C1395*G$71+D1395*H$71)+F1395/100*$B$7*J$71-$C$71</f>
        <v/>
      </c>
      <c r="I1395" s="13">
        <f>$B$7*(A1395*L$71+B1395*M$71+C1395*N$71+D1395*O$71)+F1395/100*$B$7*Q$71-$C$71</f>
        <v/>
      </c>
      <c r="J1395" s="13">
        <f>$B$7*(A1395*S$71+B1395*T$71+C1395*U$71+D1395*V$71)+F1395/100*$B$7*X$71-$C$71</f>
        <v/>
      </c>
      <c r="K1395" s="13">
        <f>$B$7*(A1395*Z$71+B1395*AA$71+C1395*AB$71+D1395*AC$71)+F1395/100*$B$7*AE$71-$C$71</f>
        <v/>
      </c>
      <c r="L1395" s="13">
        <f>$B$7*(A1395*AG$71+B1395*AH$71+C1395*AI$71+D1395*AJ$71)+F1395/100*$B$7*AL$71-$C$71</f>
        <v/>
      </c>
      <c r="M1395" s="13">
        <f>$B$7*(A1395*AN$71+B1395*AO$71+C1395*AP$71+D1395*AQ$71)+F1395/100*$B$7*AS$71-$C$71</f>
        <v/>
      </c>
      <c r="N1395" s="13">
        <f>SUMPRODUCT($H$24:$M$24,H1395:M1395)</f>
        <v/>
      </c>
      <c r="O1395" s="14">
        <f>SQRT(SUMPRODUCT($H$24:$M$24,(H1395:M1395-N1395)^2))</f>
        <v/>
      </c>
      <c r="P1395" s="13">
        <f>MIN(H1395:M1395)</f>
        <v/>
      </c>
      <c r="Q1395" s="13">
        <f>MAX(H1395:M1395)</f>
        <v/>
      </c>
      <c r="R1395" s="27">
        <f>IF(G1395,SUMPRODUCT(($G$76:$G$1505)*($N$76:$N$1505&gt;=N1395)*($O$76:$O$1505&lt;=O1395))=1,FALSE)</f>
        <v/>
      </c>
      <c r="S1395" s="16">
        <f>IF(R1395,ABS((O1395-$AC$76)/MAX(0.0001,$AC$77-$AC$76)-(N1395-$AC$78)/MAX(0.0001,$AC$79-$AC$78)),-1)</f>
        <v/>
      </c>
      <c r="T1395" s="14">
        <f>IF(G1395,O1395,NA())</f>
        <v/>
      </c>
      <c r="U1395" s="13">
        <f>IF(G1395,N1395,NA())</f>
        <v/>
      </c>
      <c r="V1395" s="14">
        <f>IF(R1395,O1395,NA())</f>
        <v/>
      </c>
      <c r="W1395" s="13">
        <f>IF(R1395,N1395,NA())</f>
        <v/>
      </c>
      <c r="X1395" s="27">
        <f>IF(G1395,P1395,"")</f>
        <v/>
      </c>
      <c r="Y1395" s="27">
        <f>IF(G1395,N1395,"")</f>
        <v/>
      </c>
      <c r="Z1395" s="27">
        <f>IF(R1395,O1395,"")</f>
        <v/>
      </c>
      <c r="AA1395" s="27">
        <f>IF(R1395,N1395,"")</f>
        <v/>
      </c>
    </row>
    <row r="1396">
      <c r="A1396" s="31" t="n">
        <v>0.6</v>
      </c>
      <c r="B1396" s="31" t="n">
        <v>0.3</v>
      </c>
      <c r="C1396" s="31" t="n">
        <v>0.1</v>
      </c>
      <c r="D1396" s="31" t="n">
        <v>0</v>
      </c>
      <c r="E1396" s="27" t="inlineStr">
        <is>
          <t>ON 60%/1M 30%/2M 10%</t>
        </is>
      </c>
      <c r="F1396" s="27" t="n">
        <v>0</v>
      </c>
      <c r="G1396" s="27">
        <f>A1396*$B$7&gt;=$B$9</f>
        <v/>
      </c>
      <c r="H1396" s="13">
        <f>$B$7*(A1396*E$71+B1396*F$71+C1396*G$71+D1396*H$71)+F1396/100*$B$7*J$71-$C$71</f>
        <v/>
      </c>
      <c r="I1396" s="13">
        <f>$B$7*(A1396*L$71+B1396*M$71+C1396*N$71+D1396*O$71)+F1396/100*$B$7*Q$71-$C$71</f>
        <v/>
      </c>
      <c r="J1396" s="13">
        <f>$B$7*(A1396*S$71+B1396*T$71+C1396*U$71+D1396*V$71)+F1396/100*$B$7*X$71-$C$71</f>
        <v/>
      </c>
      <c r="K1396" s="13">
        <f>$B$7*(A1396*Z$71+B1396*AA$71+C1396*AB$71+D1396*AC$71)+F1396/100*$B$7*AE$71-$C$71</f>
        <v/>
      </c>
      <c r="L1396" s="13">
        <f>$B$7*(A1396*AG$71+B1396*AH$71+C1396*AI$71+D1396*AJ$71)+F1396/100*$B$7*AL$71-$C$71</f>
        <v/>
      </c>
      <c r="M1396" s="13">
        <f>$B$7*(A1396*AN$71+B1396*AO$71+C1396*AP$71+D1396*AQ$71)+F1396/100*$B$7*AS$71-$C$71</f>
        <v/>
      </c>
      <c r="N1396" s="13">
        <f>SUMPRODUCT($H$24:$M$24,H1396:M1396)</f>
        <v/>
      </c>
      <c r="O1396" s="14">
        <f>SQRT(SUMPRODUCT($H$24:$M$24,(H1396:M1396-N1396)^2))</f>
        <v/>
      </c>
      <c r="P1396" s="13">
        <f>MIN(H1396:M1396)</f>
        <v/>
      </c>
      <c r="Q1396" s="13">
        <f>MAX(H1396:M1396)</f>
        <v/>
      </c>
      <c r="R1396" s="27">
        <f>IF(G1396,SUMPRODUCT(($G$76:$G$1505)*($N$76:$N$1505&gt;=N1396)*($O$76:$O$1505&lt;=O1396))=1,FALSE)</f>
        <v/>
      </c>
      <c r="S1396" s="16">
        <f>IF(R1396,ABS((O1396-$AC$76)/MAX(0.0001,$AC$77-$AC$76)-(N1396-$AC$78)/MAX(0.0001,$AC$79-$AC$78)),-1)</f>
        <v/>
      </c>
      <c r="T1396" s="14">
        <f>IF(G1396,O1396,NA())</f>
        <v/>
      </c>
      <c r="U1396" s="13">
        <f>IF(G1396,N1396,NA())</f>
        <v/>
      </c>
      <c r="V1396" s="14">
        <f>IF(R1396,O1396,NA())</f>
        <v/>
      </c>
      <c r="W1396" s="13">
        <f>IF(R1396,N1396,NA())</f>
        <v/>
      </c>
      <c r="X1396" s="27">
        <f>IF(G1396,P1396,"")</f>
        <v/>
      </c>
      <c r="Y1396" s="27">
        <f>IF(G1396,N1396,"")</f>
        <v/>
      </c>
      <c r="Z1396" s="27">
        <f>IF(R1396,O1396,"")</f>
        <v/>
      </c>
      <c r="AA1396" s="27">
        <f>IF(R1396,N1396,"")</f>
        <v/>
      </c>
    </row>
    <row r="1397">
      <c r="A1397" s="31" t="n">
        <v>0.6</v>
      </c>
      <c r="B1397" s="31" t="n">
        <v>0.3</v>
      </c>
      <c r="C1397" s="31" t="n">
        <v>0.1</v>
      </c>
      <c r="D1397" s="31" t="n">
        <v>0</v>
      </c>
      <c r="E1397" s="27" t="inlineStr">
        <is>
          <t>ON 60%/1M 30%/2M 10%</t>
        </is>
      </c>
      <c r="F1397" s="27" t="n">
        <v>25</v>
      </c>
      <c r="G1397" s="27">
        <f>A1397*$B$7&gt;=$B$9</f>
        <v/>
      </c>
      <c r="H1397" s="13">
        <f>$B$7*(A1397*E$71+B1397*F$71+C1397*G$71+D1397*H$71)+F1397/100*$B$7*J$71-$C$71</f>
        <v/>
      </c>
      <c r="I1397" s="13">
        <f>$B$7*(A1397*L$71+B1397*M$71+C1397*N$71+D1397*O$71)+F1397/100*$B$7*Q$71-$C$71</f>
        <v/>
      </c>
      <c r="J1397" s="13">
        <f>$B$7*(A1397*S$71+B1397*T$71+C1397*U$71+D1397*V$71)+F1397/100*$B$7*X$71-$C$71</f>
        <v/>
      </c>
      <c r="K1397" s="13">
        <f>$B$7*(A1397*Z$71+B1397*AA$71+C1397*AB$71+D1397*AC$71)+F1397/100*$B$7*AE$71-$C$71</f>
        <v/>
      </c>
      <c r="L1397" s="13">
        <f>$B$7*(A1397*AG$71+B1397*AH$71+C1397*AI$71+D1397*AJ$71)+F1397/100*$B$7*AL$71-$C$71</f>
        <v/>
      </c>
      <c r="M1397" s="13">
        <f>$B$7*(A1397*AN$71+B1397*AO$71+C1397*AP$71+D1397*AQ$71)+F1397/100*$B$7*AS$71-$C$71</f>
        <v/>
      </c>
      <c r="N1397" s="13">
        <f>SUMPRODUCT($H$24:$M$24,H1397:M1397)</f>
        <v/>
      </c>
      <c r="O1397" s="14">
        <f>SQRT(SUMPRODUCT($H$24:$M$24,(H1397:M1397-N1397)^2))</f>
        <v/>
      </c>
      <c r="P1397" s="13">
        <f>MIN(H1397:M1397)</f>
        <v/>
      </c>
      <c r="Q1397" s="13">
        <f>MAX(H1397:M1397)</f>
        <v/>
      </c>
      <c r="R1397" s="27">
        <f>IF(G1397,SUMPRODUCT(($G$76:$G$1505)*($N$76:$N$1505&gt;=N1397)*($O$76:$O$1505&lt;=O1397))=1,FALSE)</f>
        <v/>
      </c>
      <c r="S1397" s="16">
        <f>IF(R1397,ABS((O1397-$AC$76)/MAX(0.0001,$AC$77-$AC$76)-(N1397-$AC$78)/MAX(0.0001,$AC$79-$AC$78)),-1)</f>
        <v/>
      </c>
      <c r="T1397" s="14">
        <f>IF(G1397,O1397,NA())</f>
        <v/>
      </c>
      <c r="U1397" s="13">
        <f>IF(G1397,N1397,NA())</f>
        <v/>
      </c>
      <c r="V1397" s="14">
        <f>IF(R1397,O1397,NA())</f>
        <v/>
      </c>
      <c r="W1397" s="13">
        <f>IF(R1397,N1397,NA())</f>
        <v/>
      </c>
      <c r="X1397" s="27">
        <f>IF(G1397,P1397,"")</f>
        <v/>
      </c>
      <c r="Y1397" s="27">
        <f>IF(G1397,N1397,"")</f>
        <v/>
      </c>
      <c r="Z1397" s="27">
        <f>IF(R1397,O1397,"")</f>
        <v/>
      </c>
      <c r="AA1397" s="27">
        <f>IF(R1397,N1397,"")</f>
        <v/>
      </c>
    </row>
    <row r="1398">
      <c r="A1398" s="31" t="n">
        <v>0.6</v>
      </c>
      <c r="B1398" s="31" t="n">
        <v>0.3</v>
      </c>
      <c r="C1398" s="31" t="n">
        <v>0.1</v>
      </c>
      <c r="D1398" s="31" t="n">
        <v>0</v>
      </c>
      <c r="E1398" s="27" t="inlineStr">
        <is>
          <t>ON 60%/1M 30%/2M 10%</t>
        </is>
      </c>
      <c r="F1398" s="27" t="n">
        <v>50</v>
      </c>
      <c r="G1398" s="27">
        <f>A1398*$B$7&gt;=$B$9</f>
        <v/>
      </c>
      <c r="H1398" s="13">
        <f>$B$7*(A1398*E$71+B1398*F$71+C1398*G$71+D1398*H$71)+F1398/100*$B$7*J$71-$C$71</f>
        <v/>
      </c>
      <c r="I1398" s="13">
        <f>$B$7*(A1398*L$71+B1398*M$71+C1398*N$71+D1398*O$71)+F1398/100*$B$7*Q$71-$C$71</f>
        <v/>
      </c>
      <c r="J1398" s="13">
        <f>$B$7*(A1398*S$71+B1398*T$71+C1398*U$71+D1398*V$71)+F1398/100*$B$7*X$71-$C$71</f>
        <v/>
      </c>
      <c r="K1398" s="13">
        <f>$B$7*(A1398*Z$71+B1398*AA$71+C1398*AB$71+D1398*AC$71)+F1398/100*$B$7*AE$71-$C$71</f>
        <v/>
      </c>
      <c r="L1398" s="13">
        <f>$B$7*(A1398*AG$71+B1398*AH$71+C1398*AI$71+D1398*AJ$71)+F1398/100*$B$7*AL$71-$C$71</f>
        <v/>
      </c>
      <c r="M1398" s="13">
        <f>$B$7*(A1398*AN$71+B1398*AO$71+C1398*AP$71+D1398*AQ$71)+F1398/100*$B$7*AS$71-$C$71</f>
        <v/>
      </c>
      <c r="N1398" s="13">
        <f>SUMPRODUCT($H$24:$M$24,H1398:M1398)</f>
        <v/>
      </c>
      <c r="O1398" s="14">
        <f>SQRT(SUMPRODUCT($H$24:$M$24,(H1398:M1398-N1398)^2))</f>
        <v/>
      </c>
      <c r="P1398" s="13">
        <f>MIN(H1398:M1398)</f>
        <v/>
      </c>
      <c r="Q1398" s="13">
        <f>MAX(H1398:M1398)</f>
        <v/>
      </c>
      <c r="R1398" s="27">
        <f>IF(G1398,SUMPRODUCT(($G$76:$G$1505)*($N$76:$N$1505&gt;=N1398)*($O$76:$O$1505&lt;=O1398))=1,FALSE)</f>
        <v/>
      </c>
      <c r="S1398" s="16">
        <f>IF(R1398,ABS((O1398-$AC$76)/MAX(0.0001,$AC$77-$AC$76)-(N1398-$AC$78)/MAX(0.0001,$AC$79-$AC$78)),-1)</f>
        <v/>
      </c>
      <c r="T1398" s="14">
        <f>IF(G1398,O1398,NA())</f>
        <v/>
      </c>
      <c r="U1398" s="13">
        <f>IF(G1398,N1398,NA())</f>
        <v/>
      </c>
      <c r="V1398" s="14">
        <f>IF(R1398,O1398,NA())</f>
        <v/>
      </c>
      <c r="W1398" s="13">
        <f>IF(R1398,N1398,NA())</f>
        <v/>
      </c>
      <c r="X1398" s="27">
        <f>IF(G1398,P1398,"")</f>
        <v/>
      </c>
      <c r="Y1398" s="27">
        <f>IF(G1398,N1398,"")</f>
        <v/>
      </c>
      <c r="Z1398" s="27">
        <f>IF(R1398,O1398,"")</f>
        <v/>
      </c>
      <c r="AA1398" s="27">
        <f>IF(R1398,N1398,"")</f>
        <v/>
      </c>
    </row>
    <row r="1399">
      <c r="A1399" s="31" t="n">
        <v>0.6</v>
      </c>
      <c r="B1399" s="31" t="n">
        <v>0.3</v>
      </c>
      <c r="C1399" s="31" t="n">
        <v>0.1</v>
      </c>
      <c r="D1399" s="31" t="n">
        <v>0</v>
      </c>
      <c r="E1399" s="27" t="inlineStr">
        <is>
          <t>ON 60%/1M 30%/2M 10%</t>
        </is>
      </c>
      <c r="F1399" s="27" t="n">
        <v>75</v>
      </c>
      <c r="G1399" s="27">
        <f>A1399*$B$7&gt;=$B$9</f>
        <v/>
      </c>
      <c r="H1399" s="13">
        <f>$B$7*(A1399*E$71+B1399*F$71+C1399*G$71+D1399*H$71)+F1399/100*$B$7*J$71-$C$71</f>
        <v/>
      </c>
      <c r="I1399" s="13">
        <f>$B$7*(A1399*L$71+B1399*M$71+C1399*N$71+D1399*O$71)+F1399/100*$B$7*Q$71-$C$71</f>
        <v/>
      </c>
      <c r="J1399" s="13">
        <f>$B$7*(A1399*S$71+B1399*T$71+C1399*U$71+D1399*V$71)+F1399/100*$B$7*X$71-$C$71</f>
        <v/>
      </c>
      <c r="K1399" s="13">
        <f>$B$7*(A1399*Z$71+B1399*AA$71+C1399*AB$71+D1399*AC$71)+F1399/100*$B$7*AE$71-$C$71</f>
        <v/>
      </c>
      <c r="L1399" s="13">
        <f>$B$7*(A1399*AG$71+B1399*AH$71+C1399*AI$71+D1399*AJ$71)+F1399/100*$B$7*AL$71-$C$71</f>
        <v/>
      </c>
      <c r="M1399" s="13">
        <f>$B$7*(A1399*AN$71+B1399*AO$71+C1399*AP$71+D1399*AQ$71)+F1399/100*$B$7*AS$71-$C$71</f>
        <v/>
      </c>
      <c r="N1399" s="13">
        <f>SUMPRODUCT($H$24:$M$24,H1399:M1399)</f>
        <v/>
      </c>
      <c r="O1399" s="14">
        <f>SQRT(SUMPRODUCT($H$24:$M$24,(H1399:M1399-N1399)^2))</f>
        <v/>
      </c>
      <c r="P1399" s="13">
        <f>MIN(H1399:M1399)</f>
        <v/>
      </c>
      <c r="Q1399" s="13">
        <f>MAX(H1399:M1399)</f>
        <v/>
      </c>
      <c r="R1399" s="27">
        <f>IF(G1399,SUMPRODUCT(($G$76:$G$1505)*($N$76:$N$1505&gt;=N1399)*($O$76:$O$1505&lt;=O1399))=1,FALSE)</f>
        <v/>
      </c>
      <c r="S1399" s="16">
        <f>IF(R1399,ABS((O1399-$AC$76)/MAX(0.0001,$AC$77-$AC$76)-(N1399-$AC$78)/MAX(0.0001,$AC$79-$AC$78)),-1)</f>
        <v/>
      </c>
      <c r="T1399" s="14">
        <f>IF(G1399,O1399,NA())</f>
        <v/>
      </c>
      <c r="U1399" s="13">
        <f>IF(G1399,N1399,NA())</f>
        <v/>
      </c>
      <c r="V1399" s="14">
        <f>IF(R1399,O1399,NA())</f>
        <v/>
      </c>
      <c r="W1399" s="13">
        <f>IF(R1399,N1399,NA())</f>
        <v/>
      </c>
      <c r="X1399" s="27">
        <f>IF(G1399,P1399,"")</f>
        <v/>
      </c>
      <c r="Y1399" s="27">
        <f>IF(G1399,N1399,"")</f>
        <v/>
      </c>
      <c r="Z1399" s="27">
        <f>IF(R1399,O1399,"")</f>
        <v/>
      </c>
      <c r="AA1399" s="27">
        <f>IF(R1399,N1399,"")</f>
        <v/>
      </c>
    </row>
    <row r="1400">
      <c r="A1400" s="31" t="n">
        <v>0.6</v>
      </c>
      <c r="B1400" s="31" t="n">
        <v>0.3</v>
      </c>
      <c r="C1400" s="31" t="n">
        <v>0.1</v>
      </c>
      <c r="D1400" s="31" t="n">
        <v>0</v>
      </c>
      <c r="E1400" s="27" t="inlineStr">
        <is>
          <t>ON 60%/1M 30%/2M 10%</t>
        </is>
      </c>
      <c r="F1400" s="27" t="n">
        <v>100</v>
      </c>
      <c r="G1400" s="27">
        <f>A1400*$B$7&gt;=$B$9</f>
        <v/>
      </c>
      <c r="H1400" s="13">
        <f>$B$7*(A1400*E$71+B1400*F$71+C1400*G$71+D1400*H$71)+F1400/100*$B$7*J$71-$C$71</f>
        <v/>
      </c>
      <c r="I1400" s="13">
        <f>$B$7*(A1400*L$71+B1400*M$71+C1400*N$71+D1400*O$71)+F1400/100*$B$7*Q$71-$C$71</f>
        <v/>
      </c>
      <c r="J1400" s="13">
        <f>$B$7*(A1400*S$71+B1400*T$71+C1400*U$71+D1400*V$71)+F1400/100*$B$7*X$71-$C$71</f>
        <v/>
      </c>
      <c r="K1400" s="13">
        <f>$B$7*(A1400*Z$71+B1400*AA$71+C1400*AB$71+D1400*AC$71)+F1400/100*$B$7*AE$71-$C$71</f>
        <v/>
      </c>
      <c r="L1400" s="13">
        <f>$B$7*(A1400*AG$71+B1400*AH$71+C1400*AI$71+D1400*AJ$71)+F1400/100*$B$7*AL$71-$C$71</f>
        <v/>
      </c>
      <c r="M1400" s="13">
        <f>$B$7*(A1400*AN$71+B1400*AO$71+C1400*AP$71+D1400*AQ$71)+F1400/100*$B$7*AS$71-$C$71</f>
        <v/>
      </c>
      <c r="N1400" s="13">
        <f>SUMPRODUCT($H$24:$M$24,H1400:M1400)</f>
        <v/>
      </c>
      <c r="O1400" s="14">
        <f>SQRT(SUMPRODUCT($H$24:$M$24,(H1400:M1400-N1400)^2))</f>
        <v/>
      </c>
      <c r="P1400" s="13">
        <f>MIN(H1400:M1400)</f>
        <v/>
      </c>
      <c r="Q1400" s="13">
        <f>MAX(H1400:M1400)</f>
        <v/>
      </c>
      <c r="R1400" s="27">
        <f>IF(G1400,SUMPRODUCT(($G$76:$G$1505)*($N$76:$N$1505&gt;=N1400)*($O$76:$O$1505&lt;=O1400))=1,FALSE)</f>
        <v/>
      </c>
      <c r="S1400" s="16">
        <f>IF(R1400,ABS((O1400-$AC$76)/MAX(0.0001,$AC$77-$AC$76)-(N1400-$AC$78)/MAX(0.0001,$AC$79-$AC$78)),-1)</f>
        <v/>
      </c>
      <c r="T1400" s="14">
        <f>IF(G1400,O1400,NA())</f>
        <v/>
      </c>
      <c r="U1400" s="13">
        <f>IF(G1400,N1400,NA())</f>
        <v/>
      </c>
      <c r="V1400" s="14">
        <f>IF(R1400,O1400,NA())</f>
        <v/>
      </c>
      <c r="W1400" s="13">
        <f>IF(R1400,N1400,NA())</f>
        <v/>
      </c>
      <c r="X1400" s="27">
        <f>IF(G1400,P1400,"")</f>
        <v/>
      </c>
      <c r="Y1400" s="27">
        <f>IF(G1400,N1400,"")</f>
        <v/>
      </c>
      <c r="Z1400" s="27">
        <f>IF(R1400,O1400,"")</f>
        <v/>
      </c>
      <c r="AA1400" s="27">
        <f>IF(R1400,N1400,"")</f>
        <v/>
      </c>
    </row>
    <row r="1401">
      <c r="A1401" s="31" t="n">
        <v>0.6</v>
      </c>
      <c r="B1401" s="31" t="n">
        <v>0.4</v>
      </c>
      <c r="C1401" s="31" t="n">
        <v>0</v>
      </c>
      <c r="D1401" s="31" t="n">
        <v>0</v>
      </c>
      <c r="E1401" s="27" t="inlineStr">
        <is>
          <t>ON 60%/1M 40%</t>
        </is>
      </c>
      <c r="F1401" s="27" t="n">
        <v>0</v>
      </c>
      <c r="G1401" s="27">
        <f>A1401*$B$7&gt;=$B$9</f>
        <v/>
      </c>
      <c r="H1401" s="13">
        <f>$B$7*(A1401*E$71+B1401*F$71+C1401*G$71+D1401*H$71)+F1401/100*$B$7*J$71-$C$71</f>
        <v/>
      </c>
      <c r="I1401" s="13">
        <f>$B$7*(A1401*L$71+B1401*M$71+C1401*N$71+D1401*O$71)+F1401/100*$B$7*Q$71-$C$71</f>
        <v/>
      </c>
      <c r="J1401" s="13">
        <f>$B$7*(A1401*S$71+B1401*T$71+C1401*U$71+D1401*V$71)+F1401/100*$B$7*X$71-$C$71</f>
        <v/>
      </c>
      <c r="K1401" s="13">
        <f>$B$7*(A1401*Z$71+B1401*AA$71+C1401*AB$71+D1401*AC$71)+F1401/100*$B$7*AE$71-$C$71</f>
        <v/>
      </c>
      <c r="L1401" s="13">
        <f>$B$7*(A1401*AG$71+B1401*AH$71+C1401*AI$71+D1401*AJ$71)+F1401/100*$B$7*AL$71-$C$71</f>
        <v/>
      </c>
      <c r="M1401" s="13">
        <f>$B$7*(A1401*AN$71+B1401*AO$71+C1401*AP$71+D1401*AQ$71)+F1401/100*$B$7*AS$71-$C$71</f>
        <v/>
      </c>
      <c r="N1401" s="13">
        <f>SUMPRODUCT($H$24:$M$24,H1401:M1401)</f>
        <v/>
      </c>
      <c r="O1401" s="14">
        <f>SQRT(SUMPRODUCT($H$24:$M$24,(H1401:M1401-N1401)^2))</f>
        <v/>
      </c>
      <c r="P1401" s="13">
        <f>MIN(H1401:M1401)</f>
        <v/>
      </c>
      <c r="Q1401" s="13">
        <f>MAX(H1401:M1401)</f>
        <v/>
      </c>
      <c r="R1401" s="27">
        <f>IF(G1401,SUMPRODUCT(($G$76:$G$1505)*($N$76:$N$1505&gt;=N1401)*($O$76:$O$1505&lt;=O1401))=1,FALSE)</f>
        <v/>
      </c>
      <c r="S1401" s="16">
        <f>IF(R1401,ABS((O1401-$AC$76)/MAX(0.0001,$AC$77-$AC$76)-(N1401-$AC$78)/MAX(0.0001,$AC$79-$AC$78)),-1)</f>
        <v/>
      </c>
      <c r="T1401" s="14">
        <f>IF(G1401,O1401,NA())</f>
        <v/>
      </c>
      <c r="U1401" s="13">
        <f>IF(G1401,N1401,NA())</f>
        <v/>
      </c>
      <c r="V1401" s="14">
        <f>IF(R1401,O1401,NA())</f>
        <v/>
      </c>
      <c r="W1401" s="13">
        <f>IF(R1401,N1401,NA())</f>
        <v/>
      </c>
      <c r="X1401" s="27">
        <f>IF(G1401,P1401,"")</f>
        <v/>
      </c>
      <c r="Y1401" s="27">
        <f>IF(G1401,N1401,"")</f>
        <v/>
      </c>
      <c r="Z1401" s="27">
        <f>IF(R1401,O1401,"")</f>
        <v/>
      </c>
      <c r="AA1401" s="27">
        <f>IF(R1401,N1401,"")</f>
        <v/>
      </c>
    </row>
    <row r="1402">
      <c r="A1402" s="31" t="n">
        <v>0.6</v>
      </c>
      <c r="B1402" s="31" t="n">
        <v>0.4</v>
      </c>
      <c r="C1402" s="31" t="n">
        <v>0</v>
      </c>
      <c r="D1402" s="31" t="n">
        <v>0</v>
      </c>
      <c r="E1402" s="27" t="inlineStr">
        <is>
          <t>ON 60%/1M 40%</t>
        </is>
      </c>
      <c r="F1402" s="27" t="n">
        <v>25</v>
      </c>
      <c r="G1402" s="27">
        <f>A1402*$B$7&gt;=$B$9</f>
        <v/>
      </c>
      <c r="H1402" s="13">
        <f>$B$7*(A1402*E$71+B1402*F$71+C1402*G$71+D1402*H$71)+F1402/100*$B$7*J$71-$C$71</f>
        <v/>
      </c>
      <c r="I1402" s="13">
        <f>$B$7*(A1402*L$71+B1402*M$71+C1402*N$71+D1402*O$71)+F1402/100*$B$7*Q$71-$C$71</f>
        <v/>
      </c>
      <c r="J1402" s="13">
        <f>$B$7*(A1402*S$71+B1402*T$71+C1402*U$71+D1402*V$71)+F1402/100*$B$7*X$71-$C$71</f>
        <v/>
      </c>
      <c r="K1402" s="13">
        <f>$B$7*(A1402*Z$71+B1402*AA$71+C1402*AB$71+D1402*AC$71)+F1402/100*$B$7*AE$71-$C$71</f>
        <v/>
      </c>
      <c r="L1402" s="13">
        <f>$B$7*(A1402*AG$71+B1402*AH$71+C1402*AI$71+D1402*AJ$71)+F1402/100*$B$7*AL$71-$C$71</f>
        <v/>
      </c>
      <c r="M1402" s="13">
        <f>$B$7*(A1402*AN$71+B1402*AO$71+C1402*AP$71+D1402*AQ$71)+F1402/100*$B$7*AS$71-$C$71</f>
        <v/>
      </c>
      <c r="N1402" s="13">
        <f>SUMPRODUCT($H$24:$M$24,H1402:M1402)</f>
        <v/>
      </c>
      <c r="O1402" s="14">
        <f>SQRT(SUMPRODUCT($H$24:$M$24,(H1402:M1402-N1402)^2))</f>
        <v/>
      </c>
      <c r="P1402" s="13">
        <f>MIN(H1402:M1402)</f>
        <v/>
      </c>
      <c r="Q1402" s="13">
        <f>MAX(H1402:M1402)</f>
        <v/>
      </c>
      <c r="R1402" s="27">
        <f>IF(G1402,SUMPRODUCT(($G$76:$G$1505)*($N$76:$N$1505&gt;=N1402)*($O$76:$O$1505&lt;=O1402))=1,FALSE)</f>
        <v/>
      </c>
      <c r="S1402" s="16">
        <f>IF(R1402,ABS((O1402-$AC$76)/MAX(0.0001,$AC$77-$AC$76)-(N1402-$AC$78)/MAX(0.0001,$AC$79-$AC$78)),-1)</f>
        <v/>
      </c>
      <c r="T1402" s="14">
        <f>IF(G1402,O1402,NA())</f>
        <v/>
      </c>
      <c r="U1402" s="13">
        <f>IF(G1402,N1402,NA())</f>
        <v/>
      </c>
      <c r="V1402" s="14">
        <f>IF(R1402,O1402,NA())</f>
        <v/>
      </c>
      <c r="W1402" s="13">
        <f>IF(R1402,N1402,NA())</f>
        <v/>
      </c>
      <c r="X1402" s="27">
        <f>IF(G1402,P1402,"")</f>
        <v/>
      </c>
      <c r="Y1402" s="27">
        <f>IF(G1402,N1402,"")</f>
        <v/>
      </c>
      <c r="Z1402" s="27">
        <f>IF(R1402,O1402,"")</f>
        <v/>
      </c>
      <c r="AA1402" s="27">
        <f>IF(R1402,N1402,"")</f>
        <v/>
      </c>
    </row>
    <row r="1403">
      <c r="A1403" s="31" t="n">
        <v>0.6</v>
      </c>
      <c r="B1403" s="31" t="n">
        <v>0.4</v>
      </c>
      <c r="C1403" s="31" t="n">
        <v>0</v>
      </c>
      <c r="D1403" s="31" t="n">
        <v>0</v>
      </c>
      <c r="E1403" s="27" t="inlineStr">
        <is>
          <t>ON 60%/1M 40%</t>
        </is>
      </c>
      <c r="F1403" s="27" t="n">
        <v>50</v>
      </c>
      <c r="G1403" s="27">
        <f>A1403*$B$7&gt;=$B$9</f>
        <v/>
      </c>
      <c r="H1403" s="13">
        <f>$B$7*(A1403*E$71+B1403*F$71+C1403*G$71+D1403*H$71)+F1403/100*$B$7*J$71-$C$71</f>
        <v/>
      </c>
      <c r="I1403" s="13">
        <f>$B$7*(A1403*L$71+B1403*M$71+C1403*N$71+D1403*O$71)+F1403/100*$B$7*Q$71-$C$71</f>
        <v/>
      </c>
      <c r="J1403" s="13">
        <f>$B$7*(A1403*S$71+B1403*T$71+C1403*U$71+D1403*V$71)+F1403/100*$B$7*X$71-$C$71</f>
        <v/>
      </c>
      <c r="K1403" s="13">
        <f>$B$7*(A1403*Z$71+B1403*AA$71+C1403*AB$71+D1403*AC$71)+F1403/100*$B$7*AE$71-$C$71</f>
        <v/>
      </c>
      <c r="L1403" s="13">
        <f>$B$7*(A1403*AG$71+B1403*AH$71+C1403*AI$71+D1403*AJ$71)+F1403/100*$B$7*AL$71-$C$71</f>
        <v/>
      </c>
      <c r="M1403" s="13">
        <f>$B$7*(A1403*AN$71+B1403*AO$71+C1403*AP$71+D1403*AQ$71)+F1403/100*$B$7*AS$71-$C$71</f>
        <v/>
      </c>
      <c r="N1403" s="13">
        <f>SUMPRODUCT($H$24:$M$24,H1403:M1403)</f>
        <v/>
      </c>
      <c r="O1403" s="14">
        <f>SQRT(SUMPRODUCT($H$24:$M$24,(H1403:M1403-N1403)^2))</f>
        <v/>
      </c>
      <c r="P1403" s="13">
        <f>MIN(H1403:M1403)</f>
        <v/>
      </c>
      <c r="Q1403" s="13">
        <f>MAX(H1403:M1403)</f>
        <v/>
      </c>
      <c r="R1403" s="27">
        <f>IF(G1403,SUMPRODUCT(($G$76:$G$1505)*($N$76:$N$1505&gt;=N1403)*($O$76:$O$1505&lt;=O1403))=1,FALSE)</f>
        <v/>
      </c>
      <c r="S1403" s="16">
        <f>IF(R1403,ABS((O1403-$AC$76)/MAX(0.0001,$AC$77-$AC$76)-(N1403-$AC$78)/MAX(0.0001,$AC$79-$AC$78)),-1)</f>
        <v/>
      </c>
      <c r="T1403" s="14">
        <f>IF(G1403,O1403,NA())</f>
        <v/>
      </c>
      <c r="U1403" s="13">
        <f>IF(G1403,N1403,NA())</f>
        <v/>
      </c>
      <c r="V1403" s="14">
        <f>IF(R1403,O1403,NA())</f>
        <v/>
      </c>
      <c r="W1403" s="13">
        <f>IF(R1403,N1403,NA())</f>
        <v/>
      </c>
      <c r="X1403" s="27">
        <f>IF(G1403,P1403,"")</f>
        <v/>
      </c>
      <c r="Y1403" s="27">
        <f>IF(G1403,N1403,"")</f>
        <v/>
      </c>
      <c r="Z1403" s="27">
        <f>IF(R1403,O1403,"")</f>
        <v/>
      </c>
      <c r="AA1403" s="27">
        <f>IF(R1403,N1403,"")</f>
        <v/>
      </c>
    </row>
    <row r="1404">
      <c r="A1404" s="31" t="n">
        <v>0.6</v>
      </c>
      <c r="B1404" s="31" t="n">
        <v>0.4</v>
      </c>
      <c r="C1404" s="31" t="n">
        <v>0</v>
      </c>
      <c r="D1404" s="31" t="n">
        <v>0</v>
      </c>
      <c r="E1404" s="27" t="inlineStr">
        <is>
          <t>ON 60%/1M 40%</t>
        </is>
      </c>
      <c r="F1404" s="27" t="n">
        <v>75</v>
      </c>
      <c r="G1404" s="27">
        <f>A1404*$B$7&gt;=$B$9</f>
        <v/>
      </c>
      <c r="H1404" s="13">
        <f>$B$7*(A1404*E$71+B1404*F$71+C1404*G$71+D1404*H$71)+F1404/100*$B$7*J$71-$C$71</f>
        <v/>
      </c>
      <c r="I1404" s="13">
        <f>$B$7*(A1404*L$71+B1404*M$71+C1404*N$71+D1404*O$71)+F1404/100*$B$7*Q$71-$C$71</f>
        <v/>
      </c>
      <c r="J1404" s="13">
        <f>$B$7*(A1404*S$71+B1404*T$71+C1404*U$71+D1404*V$71)+F1404/100*$B$7*X$71-$C$71</f>
        <v/>
      </c>
      <c r="K1404" s="13">
        <f>$B$7*(A1404*Z$71+B1404*AA$71+C1404*AB$71+D1404*AC$71)+F1404/100*$B$7*AE$71-$C$71</f>
        <v/>
      </c>
      <c r="L1404" s="13">
        <f>$B$7*(A1404*AG$71+B1404*AH$71+C1404*AI$71+D1404*AJ$71)+F1404/100*$B$7*AL$71-$C$71</f>
        <v/>
      </c>
      <c r="M1404" s="13">
        <f>$B$7*(A1404*AN$71+B1404*AO$71+C1404*AP$71+D1404*AQ$71)+F1404/100*$B$7*AS$71-$C$71</f>
        <v/>
      </c>
      <c r="N1404" s="13">
        <f>SUMPRODUCT($H$24:$M$24,H1404:M1404)</f>
        <v/>
      </c>
      <c r="O1404" s="14">
        <f>SQRT(SUMPRODUCT($H$24:$M$24,(H1404:M1404-N1404)^2))</f>
        <v/>
      </c>
      <c r="P1404" s="13">
        <f>MIN(H1404:M1404)</f>
        <v/>
      </c>
      <c r="Q1404" s="13">
        <f>MAX(H1404:M1404)</f>
        <v/>
      </c>
      <c r="R1404" s="27">
        <f>IF(G1404,SUMPRODUCT(($G$76:$G$1505)*($N$76:$N$1505&gt;=N1404)*($O$76:$O$1505&lt;=O1404))=1,FALSE)</f>
        <v/>
      </c>
      <c r="S1404" s="16">
        <f>IF(R1404,ABS((O1404-$AC$76)/MAX(0.0001,$AC$77-$AC$76)-(N1404-$AC$78)/MAX(0.0001,$AC$79-$AC$78)),-1)</f>
        <v/>
      </c>
      <c r="T1404" s="14">
        <f>IF(G1404,O1404,NA())</f>
        <v/>
      </c>
      <c r="U1404" s="13">
        <f>IF(G1404,N1404,NA())</f>
        <v/>
      </c>
      <c r="V1404" s="14">
        <f>IF(R1404,O1404,NA())</f>
        <v/>
      </c>
      <c r="W1404" s="13">
        <f>IF(R1404,N1404,NA())</f>
        <v/>
      </c>
      <c r="X1404" s="27">
        <f>IF(G1404,P1404,"")</f>
        <v/>
      </c>
      <c r="Y1404" s="27">
        <f>IF(G1404,N1404,"")</f>
        <v/>
      </c>
      <c r="Z1404" s="27">
        <f>IF(R1404,O1404,"")</f>
        <v/>
      </c>
      <c r="AA1404" s="27">
        <f>IF(R1404,N1404,"")</f>
        <v/>
      </c>
    </row>
    <row r="1405">
      <c r="A1405" s="31" t="n">
        <v>0.6</v>
      </c>
      <c r="B1405" s="31" t="n">
        <v>0.4</v>
      </c>
      <c r="C1405" s="31" t="n">
        <v>0</v>
      </c>
      <c r="D1405" s="31" t="n">
        <v>0</v>
      </c>
      <c r="E1405" s="27" t="inlineStr">
        <is>
          <t>ON 60%/1M 40%</t>
        </is>
      </c>
      <c r="F1405" s="27" t="n">
        <v>100</v>
      </c>
      <c r="G1405" s="27">
        <f>A1405*$B$7&gt;=$B$9</f>
        <v/>
      </c>
      <c r="H1405" s="13">
        <f>$B$7*(A1405*E$71+B1405*F$71+C1405*G$71+D1405*H$71)+F1405/100*$B$7*J$71-$C$71</f>
        <v/>
      </c>
      <c r="I1405" s="13">
        <f>$B$7*(A1405*L$71+B1405*M$71+C1405*N$71+D1405*O$71)+F1405/100*$B$7*Q$71-$C$71</f>
        <v/>
      </c>
      <c r="J1405" s="13">
        <f>$B$7*(A1405*S$71+B1405*T$71+C1405*U$71+D1405*V$71)+F1405/100*$B$7*X$71-$C$71</f>
        <v/>
      </c>
      <c r="K1405" s="13">
        <f>$B$7*(A1405*Z$71+B1405*AA$71+C1405*AB$71+D1405*AC$71)+F1405/100*$B$7*AE$71-$C$71</f>
        <v/>
      </c>
      <c r="L1405" s="13">
        <f>$B$7*(A1405*AG$71+B1405*AH$71+C1405*AI$71+D1405*AJ$71)+F1405/100*$B$7*AL$71-$C$71</f>
        <v/>
      </c>
      <c r="M1405" s="13">
        <f>$B$7*(A1405*AN$71+B1405*AO$71+C1405*AP$71+D1405*AQ$71)+F1405/100*$B$7*AS$71-$C$71</f>
        <v/>
      </c>
      <c r="N1405" s="13">
        <f>SUMPRODUCT($H$24:$M$24,H1405:M1405)</f>
        <v/>
      </c>
      <c r="O1405" s="14">
        <f>SQRT(SUMPRODUCT($H$24:$M$24,(H1405:M1405-N1405)^2))</f>
        <v/>
      </c>
      <c r="P1405" s="13">
        <f>MIN(H1405:M1405)</f>
        <v/>
      </c>
      <c r="Q1405" s="13">
        <f>MAX(H1405:M1405)</f>
        <v/>
      </c>
      <c r="R1405" s="27">
        <f>IF(G1405,SUMPRODUCT(($G$76:$G$1505)*($N$76:$N$1505&gt;=N1405)*($O$76:$O$1505&lt;=O1405))=1,FALSE)</f>
        <v/>
      </c>
      <c r="S1405" s="16">
        <f>IF(R1405,ABS((O1405-$AC$76)/MAX(0.0001,$AC$77-$AC$76)-(N1405-$AC$78)/MAX(0.0001,$AC$79-$AC$78)),-1)</f>
        <v/>
      </c>
      <c r="T1405" s="14">
        <f>IF(G1405,O1405,NA())</f>
        <v/>
      </c>
      <c r="U1405" s="13">
        <f>IF(G1405,N1405,NA())</f>
        <v/>
      </c>
      <c r="V1405" s="14">
        <f>IF(R1405,O1405,NA())</f>
        <v/>
      </c>
      <c r="W1405" s="13">
        <f>IF(R1405,N1405,NA())</f>
        <v/>
      </c>
      <c r="X1405" s="27">
        <f>IF(G1405,P1405,"")</f>
        <v/>
      </c>
      <c r="Y1405" s="27">
        <f>IF(G1405,N1405,"")</f>
        <v/>
      </c>
      <c r="Z1405" s="27">
        <f>IF(R1405,O1405,"")</f>
        <v/>
      </c>
      <c r="AA1405" s="27">
        <f>IF(R1405,N1405,"")</f>
        <v/>
      </c>
    </row>
    <row r="1406">
      <c r="A1406" s="31" t="n">
        <v>0.7</v>
      </c>
      <c r="B1406" s="31" t="n">
        <v>0</v>
      </c>
      <c r="C1406" s="31" t="n">
        <v>0</v>
      </c>
      <c r="D1406" s="31" t="n">
        <v>0.3</v>
      </c>
      <c r="E1406" s="27" t="inlineStr">
        <is>
          <t>ON 70%/3M 30%</t>
        </is>
      </c>
      <c r="F1406" s="27" t="n">
        <v>0</v>
      </c>
      <c r="G1406" s="27">
        <f>A1406*$B$7&gt;=$B$9</f>
        <v/>
      </c>
      <c r="H1406" s="13">
        <f>$B$7*(A1406*E$71+B1406*F$71+C1406*G$71+D1406*H$71)+F1406/100*$B$7*J$71-$C$71</f>
        <v/>
      </c>
      <c r="I1406" s="13">
        <f>$B$7*(A1406*L$71+B1406*M$71+C1406*N$71+D1406*O$71)+F1406/100*$B$7*Q$71-$C$71</f>
        <v/>
      </c>
      <c r="J1406" s="13">
        <f>$B$7*(A1406*S$71+B1406*T$71+C1406*U$71+D1406*V$71)+F1406/100*$B$7*X$71-$C$71</f>
        <v/>
      </c>
      <c r="K1406" s="13">
        <f>$B$7*(A1406*Z$71+B1406*AA$71+C1406*AB$71+D1406*AC$71)+F1406/100*$B$7*AE$71-$C$71</f>
        <v/>
      </c>
      <c r="L1406" s="13">
        <f>$B$7*(A1406*AG$71+B1406*AH$71+C1406*AI$71+D1406*AJ$71)+F1406/100*$B$7*AL$71-$C$71</f>
        <v/>
      </c>
      <c r="M1406" s="13">
        <f>$B$7*(A1406*AN$71+B1406*AO$71+C1406*AP$71+D1406*AQ$71)+F1406/100*$B$7*AS$71-$C$71</f>
        <v/>
      </c>
      <c r="N1406" s="13">
        <f>SUMPRODUCT($H$24:$M$24,H1406:M1406)</f>
        <v/>
      </c>
      <c r="O1406" s="14">
        <f>SQRT(SUMPRODUCT($H$24:$M$24,(H1406:M1406-N1406)^2))</f>
        <v/>
      </c>
      <c r="P1406" s="13">
        <f>MIN(H1406:M1406)</f>
        <v/>
      </c>
      <c r="Q1406" s="13">
        <f>MAX(H1406:M1406)</f>
        <v/>
      </c>
      <c r="R1406" s="27">
        <f>IF(G1406,SUMPRODUCT(($G$76:$G$1505)*($N$76:$N$1505&gt;=N1406)*($O$76:$O$1505&lt;=O1406))=1,FALSE)</f>
        <v/>
      </c>
      <c r="S1406" s="16">
        <f>IF(R1406,ABS((O1406-$AC$76)/MAX(0.0001,$AC$77-$AC$76)-(N1406-$AC$78)/MAX(0.0001,$AC$79-$AC$78)),-1)</f>
        <v/>
      </c>
      <c r="T1406" s="14">
        <f>IF(G1406,O1406,NA())</f>
        <v/>
      </c>
      <c r="U1406" s="13">
        <f>IF(G1406,N1406,NA())</f>
        <v/>
      </c>
      <c r="V1406" s="14">
        <f>IF(R1406,O1406,NA())</f>
        <v/>
      </c>
      <c r="W1406" s="13">
        <f>IF(R1406,N1406,NA())</f>
        <v/>
      </c>
      <c r="X1406" s="27">
        <f>IF(G1406,P1406,"")</f>
        <v/>
      </c>
      <c r="Y1406" s="27">
        <f>IF(G1406,N1406,"")</f>
        <v/>
      </c>
      <c r="Z1406" s="27">
        <f>IF(R1406,O1406,"")</f>
        <v/>
      </c>
      <c r="AA1406" s="27">
        <f>IF(R1406,N1406,"")</f>
        <v/>
      </c>
    </row>
    <row r="1407">
      <c r="A1407" s="31" t="n">
        <v>0.7</v>
      </c>
      <c r="B1407" s="31" t="n">
        <v>0</v>
      </c>
      <c r="C1407" s="31" t="n">
        <v>0</v>
      </c>
      <c r="D1407" s="31" t="n">
        <v>0.3</v>
      </c>
      <c r="E1407" s="27" t="inlineStr">
        <is>
          <t>ON 70%/3M 30%</t>
        </is>
      </c>
      <c r="F1407" s="27" t="n">
        <v>25</v>
      </c>
      <c r="G1407" s="27">
        <f>A1407*$B$7&gt;=$B$9</f>
        <v/>
      </c>
      <c r="H1407" s="13">
        <f>$B$7*(A1407*E$71+B1407*F$71+C1407*G$71+D1407*H$71)+F1407/100*$B$7*J$71-$C$71</f>
        <v/>
      </c>
      <c r="I1407" s="13">
        <f>$B$7*(A1407*L$71+B1407*M$71+C1407*N$71+D1407*O$71)+F1407/100*$B$7*Q$71-$C$71</f>
        <v/>
      </c>
      <c r="J1407" s="13">
        <f>$B$7*(A1407*S$71+B1407*T$71+C1407*U$71+D1407*V$71)+F1407/100*$B$7*X$71-$C$71</f>
        <v/>
      </c>
      <c r="K1407" s="13">
        <f>$B$7*(A1407*Z$71+B1407*AA$71+C1407*AB$71+D1407*AC$71)+F1407/100*$B$7*AE$71-$C$71</f>
        <v/>
      </c>
      <c r="L1407" s="13">
        <f>$B$7*(A1407*AG$71+B1407*AH$71+C1407*AI$71+D1407*AJ$71)+F1407/100*$B$7*AL$71-$C$71</f>
        <v/>
      </c>
      <c r="M1407" s="13">
        <f>$B$7*(A1407*AN$71+B1407*AO$71+C1407*AP$71+D1407*AQ$71)+F1407/100*$B$7*AS$71-$C$71</f>
        <v/>
      </c>
      <c r="N1407" s="13">
        <f>SUMPRODUCT($H$24:$M$24,H1407:M1407)</f>
        <v/>
      </c>
      <c r="O1407" s="14">
        <f>SQRT(SUMPRODUCT($H$24:$M$24,(H1407:M1407-N1407)^2))</f>
        <v/>
      </c>
      <c r="P1407" s="13">
        <f>MIN(H1407:M1407)</f>
        <v/>
      </c>
      <c r="Q1407" s="13">
        <f>MAX(H1407:M1407)</f>
        <v/>
      </c>
      <c r="R1407" s="27">
        <f>IF(G1407,SUMPRODUCT(($G$76:$G$1505)*($N$76:$N$1505&gt;=N1407)*($O$76:$O$1505&lt;=O1407))=1,FALSE)</f>
        <v/>
      </c>
      <c r="S1407" s="16">
        <f>IF(R1407,ABS((O1407-$AC$76)/MAX(0.0001,$AC$77-$AC$76)-(N1407-$AC$78)/MAX(0.0001,$AC$79-$AC$78)),-1)</f>
        <v/>
      </c>
      <c r="T1407" s="14">
        <f>IF(G1407,O1407,NA())</f>
        <v/>
      </c>
      <c r="U1407" s="13">
        <f>IF(G1407,N1407,NA())</f>
        <v/>
      </c>
      <c r="V1407" s="14">
        <f>IF(R1407,O1407,NA())</f>
        <v/>
      </c>
      <c r="W1407" s="13">
        <f>IF(R1407,N1407,NA())</f>
        <v/>
      </c>
      <c r="X1407" s="27">
        <f>IF(G1407,P1407,"")</f>
        <v/>
      </c>
      <c r="Y1407" s="27">
        <f>IF(G1407,N1407,"")</f>
        <v/>
      </c>
      <c r="Z1407" s="27">
        <f>IF(R1407,O1407,"")</f>
        <v/>
      </c>
      <c r="AA1407" s="27">
        <f>IF(R1407,N1407,"")</f>
        <v/>
      </c>
    </row>
    <row r="1408">
      <c r="A1408" s="31" t="n">
        <v>0.7</v>
      </c>
      <c r="B1408" s="31" t="n">
        <v>0</v>
      </c>
      <c r="C1408" s="31" t="n">
        <v>0</v>
      </c>
      <c r="D1408" s="31" t="n">
        <v>0.3</v>
      </c>
      <c r="E1408" s="27" t="inlineStr">
        <is>
          <t>ON 70%/3M 30%</t>
        </is>
      </c>
      <c r="F1408" s="27" t="n">
        <v>50</v>
      </c>
      <c r="G1408" s="27">
        <f>A1408*$B$7&gt;=$B$9</f>
        <v/>
      </c>
      <c r="H1408" s="13">
        <f>$B$7*(A1408*E$71+B1408*F$71+C1408*G$71+D1408*H$71)+F1408/100*$B$7*J$71-$C$71</f>
        <v/>
      </c>
      <c r="I1408" s="13">
        <f>$B$7*(A1408*L$71+B1408*M$71+C1408*N$71+D1408*O$71)+F1408/100*$B$7*Q$71-$C$71</f>
        <v/>
      </c>
      <c r="J1408" s="13">
        <f>$B$7*(A1408*S$71+B1408*T$71+C1408*U$71+D1408*V$71)+F1408/100*$B$7*X$71-$C$71</f>
        <v/>
      </c>
      <c r="K1408" s="13">
        <f>$B$7*(A1408*Z$71+B1408*AA$71+C1408*AB$71+D1408*AC$71)+F1408/100*$B$7*AE$71-$C$71</f>
        <v/>
      </c>
      <c r="L1408" s="13">
        <f>$B$7*(A1408*AG$71+B1408*AH$71+C1408*AI$71+D1408*AJ$71)+F1408/100*$B$7*AL$71-$C$71</f>
        <v/>
      </c>
      <c r="M1408" s="13">
        <f>$B$7*(A1408*AN$71+B1408*AO$71+C1408*AP$71+D1408*AQ$71)+F1408/100*$B$7*AS$71-$C$71</f>
        <v/>
      </c>
      <c r="N1408" s="13">
        <f>SUMPRODUCT($H$24:$M$24,H1408:M1408)</f>
        <v/>
      </c>
      <c r="O1408" s="14">
        <f>SQRT(SUMPRODUCT($H$24:$M$24,(H1408:M1408-N1408)^2))</f>
        <v/>
      </c>
      <c r="P1408" s="13">
        <f>MIN(H1408:M1408)</f>
        <v/>
      </c>
      <c r="Q1408" s="13">
        <f>MAX(H1408:M1408)</f>
        <v/>
      </c>
      <c r="R1408" s="27">
        <f>IF(G1408,SUMPRODUCT(($G$76:$G$1505)*($N$76:$N$1505&gt;=N1408)*($O$76:$O$1505&lt;=O1408))=1,FALSE)</f>
        <v/>
      </c>
      <c r="S1408" s="16">
        <f>IF(R1408,ABS((O1408-$AC$76)/MAX(0.0001,$AC$77-$AC$76)-(N1408-$AC$78)/MAX(0.0001,$AC$79-$AC$78)),-1)</f>
        <v/>
      </c>
      <c r="T1408" s="14">
        <f>IF(G1408,O1408,NA())</f>
        <v/>
      </c>
      <c r="U1408" s="13">
        <f>IF(G1408,N1408,NA())</f>
        <v/>
      </c>
      <c r="V1408" s="14">
        <f>IF(R1408,O1408,NA())</f>
        <v/>
      </c>
      <c r="W1408" s="13">
        <f>IF(R1408,N1408,NA())</f>
        <v/>
      </c>
      <c r="X1408" s="27">
        <f>IF(G1408,P1408,"")</f>
        <v/>
      </c>
      <c r="Y1408" s="27">
        <f>IF(G1408,N1408,"")</f>
        <v/>
      </c>
      <c r="Z1408" s="27">
        <f>IF(R1408,O1408,"")</f>
        <v/>
      </c>
      <c r="AA1408" s="27">
        <f>IF(R1408,N1408,"")</f>
        <v/>
      </c>
    </row>
    <row r="1409">
      <c r="A1409" s="31" t="n">
        <v>0.7</v>
      </c>
      <c r="B1409" s="31" t="n">
        <v>0</v>
      </c>
      <c r="C1409" s="31" t="n">
        <v>0</v>
      </c>
      <c r="D1409" s="31" t="n">
        <v>0.3</v>
      </c>
      <c r="E1409" s="27" t="inlineStr">
        <is>
          <t>ON 70%/3M 30%</t>
        </is>
      </c>
      <c r="F1409" s="27" t="n">
        <v>75</v>
      </c>
      <c r="G1409" s="27">
        <f>A1409*$B$7&gt;=$B$9</f>
        <v/>
      </c>
      <c r="H1409" s="13">
        <f>$B$7*(A1409*E$71+B1409*F$71+C1409*G$71+D1409*H$71)+F1409/100*$B$7*J$71-$C$71</f>
        <v/>
      </c>
      <c r="I1409" s="13">
        <f>$B$7*(A1409*L$71+B1409*M$71+C1409*N$71+D1409*O$71)+F1409/100*$B$7*Q$71-$C$71</f>
        <v/>
      </c>
      <c r="J1409" s="13">
        <f>$B$7*(A1409*S$71+B1409*T$71+C1409*U$71+D1409*V$71)+F1409/100*$B$7*X$71-$C$71</f>
        <v/>
      </c>
      <c r="K1409" s="13">
        <f>$B$7*(A1409*Z$71+B1409*AA$71+C1409*AB$71+D1409*AC$71)+F1409/100*$B$7*AE$71-$C$71</f>
        <v/>
      </c>
      <c r="L1409" s="13">
        <f>$B$7*(A1409*AG$71+B1409*AH$71+C1409*AI$71+D1409*AJ$71)+F1409/100*$B$7*AL$71-$C$71</f>
        <v/>
      </c>
      <c r="M1409" s="13">
        <f>$B$7*(A1409*AN$71+B1409*AO$71+C1409*AP$71+D1409*AQ$71)+F1409/100*$B$7*AS$71-$C$71</f>
        <v/>
      </c>
      <c r="N1409" s="13">
        <f>SUMPRODUCT($H$24:$M$24,H1409:M1409)</f>
        <v/>
      </c>
      <c r="O1409" s="14">
        <f>SQRT(SUMPRODUCT($H$24:$M$24,(H1409:M1409-N1409)^2))</f>
        <v/>
      </c>
      <c r="P1409" s="13">
        <f>MIN(H1409:M1409)</f>
        <v/>
      </c>
      <c r="Q1409" s="13">
        <f>MAX(H1409:M1409)</f>
        <v/>
      </c>
      <c r="R1409" s="27">
        <f>IF(G1409,SUMPRODUCT(($G$76:$G$1505)*($N$76:$N$1505&gt;=N1409)*($O$76:$O$1505&lt;=O1409))=1,FALSE)</f>
        <v/>
      </c>
      <c r="S1409" s="16">
        <f>IF(R1409,ABS((O1409-$AC$76)/MAX(0.0001,$AC$77-$AC$76)-(N1409-$AC$78)/MAX(0.0001,$AC$79-$AC$78)),-1)</f>
        <v/>
      </c>
      <c r="T1409" s="14">
        <f>IF(G1409,O1409,NA())</f>
        <v/>
      </c>
      <c r="U1409" s="13">
        <f>IF(G1409,N1409,NA())</f>
        <v/>
      </c>
      <c r="V1409" s="14">
        <f>IF(R1409,O1409,NA())</f>
        <v/>
      </c>
      <c r="W1409" s="13">
        <f>IF(R1409,N1409,NA())</f>
        <v/>
      </c>
      <c r="X1409" s="27">
        <f>IF(G1409,P1409,"")</f>
        <v/>
      </c>
      <c r="Y1409" s="27">
        <f>IF(G1409,N1409,"")</f>
        <v/>
      </c>
      <c r="Z1409" s="27">
        <f>IF(R1409,O1409,"")</f>
        <v/>
      </c>
      <c r="AA1409" s="27">
        <f>IF(R1409,N1409,"")</f>
        <v/>
      </c>
    </row>
    <row r="1410">
      <c r="A1410" s="31" t="n">
        <v>0.7</v>
      </c>
      <c r="B1410" s="31" t="n">
        <v>0</v>
      </c>
      <c r="C1410" s="31" t="n">
        <v>0</v>
      </c>
      <c r="D1410" s="31" t="n">
        <v>0.3</v>
      </c>
      <c r="E1410" s="27" t="inlineStr">
        <is>
          <t>ON 70%/3M 30%</t>
        </is>
      </c>
      <c r="F1410" s="27" t="n">
        <v>100</v>
      </c>
      <c r="G1410" s="27">
        <f>A1410*$B$7&gt;=$B$9</f>
        <v/>
      </c>
      <c r="H1410" s="13">
        <f>$B$7*(A1410*E$71+B1410*F$71+C1410*G$71+D1410*H$71)+F1410/100*$B$7*J$71-$C$71</f>
        <v/>
      </c>
      <c r="I1410" s="13">
        <f>$B$7*(A1410*L$71+B1410*M$71+C1410*N$71+D1410*O$71)+F1410/100*$B$7*Q$71-$C$71</f>
        <v/>
      </c>
      <c r="J1410" s="13">
        <f>$B$7*(A1410*S$71+B1410*T$71+C1410*U$71+D1410*V$71)+F1410/100*$B$7*X$71-$C$71</f>
        <v/>
      </c>
      <c r="K1410" s="13">
        <f>$B$7*(A1410*Z$71+B1410*AA$71+C1410*AB$71+D1410*AC$71)+F1410/100*$B$7*AE$71-$C$71</f>
        <v/>
      </c>
      <c r="L1410" s="13">
        <f>$B$7*(A1410*AG$71+B1410*AH$71+C1410*AI$71+D1410*AJ$71)+F1410/100*$B$7*AL$71-$C$71</f>
        <v/>
      </c>
      <c r="M1410" s="13">
        <f>$B$7*(A1410*AN$71+B1410*AO$71+C1410*AP$71+D1410*AQ$71)+F1410/100*$B$7*AS$71-$C$71</f>
        <v/>
      </c>
      <c r="N1410" s="13">
        <f>SUMPRODUCT($H$24:$M$24,H1410:M1410)</f>
        <v/>
      </c>
      <c r="O1410" s="14">
        <f>SQRT(SUMPRODUCT($H$24:$M$24,(H1410:M1410-N1410)^2))</f>
        <v/>
      </c>
      <c r="P1410" s="13">
        <f>MIN(H1410:M1410)</f>
        <v/>
      </c>
      <c r="Q1410" s="13">
        <f>MAX(H1410:M1410)</f>
        <v/>
      </c>
      <c r="R1410" s="27">
        <f>IF(G1410,SUMPRODUCT(($G$76:$G$1505)*($N$76:$N$1505&gt;=N1410)*($O$76:$O$1505&lt;=O1410))=1,FALSE)</f>
        <v/>
      </c>
      <c r="S1410" s="16">
        <f>IF(R1410,ABS((O1410-$AC$76)/MAX(0.0001,$AC$77-$AC$76)-(N1410-$AC$78)/MAX(0.0001,$AC$79-$AC$78)),-1)</f>
        <v/>
      </c>
      <c r="T1410" s="14">
        <f>IF(G1410,O1410,NA())</f>
        <v/>
      </c>
      <c r="U1410" s="13">
        <f>IF(G1410,N1410,NA())</f>
        <v/>
      </c>
      <c r="V1410" s="14">
        <f>IF(R1410,O1410,NA())</f>
        <v/>
      </c>
      <c r="W1410" s="13">
        <f>IF(R1410,N1410,NA())</f>
        <v/>
      </c>
      <c r="X1410" s="27">
        <f>IF(G1410,P1410,"")</f>
        <v/>
      </c>
      <c r="Y1410" s="27">
        <f>IF(G1410,N1410,"")</f>
        <v/>
      </c>
      <c r="Z1410" s="27">
        <f>IF(R1410,O1410,"")</f>
        <v/>
      </c>
      <c r="AA1410" s="27">
        <f>IF(R1410,N1410,"")</f>
        <v/>
      </c>
    </row>
    <row r="1411">
      <c r="A1411" s="31" t="n">
        <v>0.7</v>
      </c>
      <c r="B1411" s="31" t="n">
        <v>0</v>
      </c>
      <c r="C1411" s="31" t="n">
        <v>0.1</v>
      </c>
      <c r="D1411" s="31" t="n">
        <v>0.2</v>
      </c>
      <c r="E1411" s="27" t="inlineStr">
        <is>
          <t>ON 70%/2M 10%/3M 20%</t>
        </is>
      </c>
      <c r="F1411" s="27" t="n">
        <v>0</v>
      </c>
      <c r="G1411" s="27">
        <f>A1411*$B$7&gt;=$B$9</f>
        <v/>
      </c>
      <c r="H1411" s="13">
        <f>$B$7*(A1411*E$71+B1411*F$71+C1411*G$71+D1411*H$71)+F1411/100*$B$7*J$71-$C$71</f>
        <v/>
      </c>
      <c r="I1411" s="13">
        <f>$B$7*(A1411*L$71+B1411*M$71+C1411*N$71+D1411*O$71)+F1411/100*$B$7*Q$71-$C$71</f>
        <v/>
      </c>
      <c r="J1411" s="13">
        <f>$B$7*(A1411*S$71+B1411*T$71+C1411*U$71+D1411*V$71)+F1411/100*$B$7*X$71-$C$71</f>
        <v/>
      </c>
      <c r="K1411" s="13">
        <f>$B$7*(A1411*Z$71+B1411*AA$71+C1411*AB$71+D1411*AC$71)+F1411/100*$B$7*AE$71-$C$71</f>
        <v/>
      </c>
      <c r="L1411" s="13">
        <f>$B$7*(A1411*AG$71+B1411*AH$71+C1411*AI$71+D1411*AJ$71)+F1411/100*$B$7*AL$71-$C$71</f>
        <v/>
      </c>
      <c r="M1411" s="13">
        <f>$B$7*(A1411*AN$71+B1411*AO$71+C1411*AP$71+D1411*AQ$71)+F1411/100*$B$7*AS$71-$C$71</f>
        <v/>
      </c>
      <c r="N1411" s="13">
        <f>SUMPRODUCT($H$24:$M$24,H1411:M1411)</f>
        <v/>
      </c>
      <c r="O1411" s="14">
        <f>SQRT(SUMPRODUCT($H$24:$M$24,(H1411:M1411-N1411)^2))</f>
        <v/>
      </c>
      <c r="P1411" s="13">
        <f>MIN(H1411:M1411)</f>
        <v/>
      </c>
      <c r="Q1411" s="13">
        <f>MAX(H1411:M1411)</f>
        <v/>
      </c>
      <c r="R1411" s="27">
        <f>IF(G1411,SUMPRODUCT(($G$76:$G$1505)*($N$76:$N$1505&gt;=N1411)*($O$76:$O$1505&lt;=O1411))=1,FALSE)</f>
        <v/>
      </c>
      <c r="S1411" s="16">
        <f>IF(R1411,ABS((O1411-$AC$76)/MAX(0.0001,$AC$77-$AC$76)-(N1411-$AC$78)/MAX(0.0001,$AC$79-$AC$78)),-1)</f>
        <v/>
      </c>
      <c r="T1411" s="14">
        <f>IF(G1411,O1411,NA())</f>
        <v/>
      </c>
      <c r="U1411" s="13">
        <f>IF(G1411,N1411,NA())</f>
        <v/>
      </c>
      <c r="V1411" s="14">
        <f>IF(R1411,O1411,NA())</f>
        <v/>
      </c>
      <c r="W1411" s="13">
        <f>IF(R1411,N1411,NA())</f>
        <v/>
      </c>
      <c r="X1411" s="27">
        <f>IF(G1411,P1411,"")</f>
        <v/>
      </c>
      <c r="Y1411" s="27">
        <f>IF(G1411,N1411,"")</f>
        <v/>
      </c>
      <c r="Z1411" s="27">
        <f>IF(R1411,O1411,"")</f>
        <v/>
      </c>
      <c r="AA1411" s="27">
        <f>IF(R1411,N1411,"")</f>
        <v/>
      </c>
    </row>
    <row r="1412">
      <c r="A1412" s="31" t="n">
        <v>0.7</v>
      </c>
      <c r="B1412" s="31" t="n">
        <v>0</v>
      </c>
      <c r="C1412" s="31" t="n">
        <v>0.1</v>
      </c>
      <c r="D1412" s="31" t="n">
        <v>0.2</v>
      </c>
      <c r="E1412" s="27" t="inlineStr">
        <is>
          <t>ON 70%/2M 10%/3M 20%</t>
        </is>
      </c>
      <c r="F1412" s="27" t="n">
        <v>25</v>
      </c>
      <c r="G1412" s="27">
        <f>A1412*$B$7&gt;=$B$9</f>
        <v/>
      </c>
      <c r="H1412" s="13">
        <f>$B$7*(A1412*E$71+B1412*F$71+C1412*G$71+D1412*H$71)+F1412/100*$B$7*J$71-$C$71</f>
        <v/>
      </c>
      <c r="I1412" s="13">
        <f>$B$7*(A1412*L$71+B1412*M$71+C1412*N$71+D1412*O$71)+F1412/100*$B$7*Q$71-$C$71</f>
        <v/>
      </c>
      <c r="J1412" s="13">
        <f>$B$7*(A1412*S$71+B1412*T$71+C1412*U$71+D1412*V$71)+F1412/100*$B$7*X$71-$C$71</f>
        <v/>
      </c>
      <c r="K1412" s="13">
        <f>$B$7*(A1412*Z$71+B1412*AA$71+C1412*AB$71+D1412*AC$71)+F1412/100*$B$7*AE$71-$C$71</f>
        <v/>
      </c>
      <c r="L1412" s="13">
        <f>$B$7*(A1412*AG$71+B1412*AH$71+C1412*AI$71+D1412*AJ$71)+F1412/100*$B$7*AL$71-$C$71</f>
        <v/>
      </c>
      <c r="M1412" s="13">
        <f>$B$7*(A1412*AN$71+B1412*AO$71+C1412*AP$71+D1412*AQ$71)+F1412/100*$B$7*AS$71-$C$71</f>
        <v/>
      </c>
      <c r="N1412" s="13">
        <f>SUMPRODUCT($H$24:$M$24,H1412:M1412)</f>
        <v/>
      </c>
      <c r="O1412" s="14">
        <f>SQRT(SUMPRODUCT($H$24:$M$24,(H1412:M1412-N1412)^2))</f>
        <v/>
      </c>
      <c r="P1412" s="13">
        <f>MIN(H1412:M1412)</f>
        <v/>
      </c>
      <c r="Q1412" s="13">
        <f>MAX(H1412:M1412)</f>
        <v/>
      </c>
      <c r="R1412" s="27">
        <f>IF(G1412,SUMPRODUCT(($G$76:$G$1505)*($N$76:$N$1505&gt;=N1412)*($O$76:$O$1505&lt;=O1412))=1,FALSE)</f>
        <v/>
      </c>
      <c r="S1412" s="16">
        <f>IF(R1412,ABS((O1412-$AC$76)/MAX(0.0001,$AC$77-$AC$76)-(N1412-$AC$78)/MAX(0.0001,$AC$79-$AC$78)),-1)</f>
        <v/>
      </c>
      <c r="T1412" s="14">
        <f>IF(G1412,O1412,NA())</f>
        <v/>
      </c>
      <c r="U1412" s="13">
        <f>IF(G1412,N1412,NA())</f>
        <v/>
      </c>
      <c r="V1412" s="14">
        <f>IF(R1412,O1412,NA())</f>
        <v/>
      </c>
      <c r="W1412" s="13">
        <f>IF(R1412,N1412,NA())</f>
        <v/>
      </c>
      <c r="X1412" s="27">
        <f>IF(G1412,P1412,"")</f>
        <v/>
      </c>
      <c r="Y1412" s="27">
        <f>IF(G1412,N1412,"")</f>
        <v/>
      </c>
      <c r="Z1412" s="27">
        <f>IF(R1412,O1412,"")</f>
        <v/>
      </c>
      <c r="AA1412" s="27">
        <f>IF(R1412,N1412,"")</f>
        <v/>
      </c>
    </row>
    <row r="1413">
      <c r="A1413" s="31" t="n">
        <v>0.7</v>
      </c>
      <c r="B1413" s="31" t="n">
        <v>0</v>
      </c>
      <c r="C1413" s="31" t="n">
        <v>0.1</v>
      </c>
      <c r="D1413" s="31" t="n">
        <v>0.2</v>
      </c>
      <c r="E1413" s="27" t="inlineStr">
        <is>
          <t>ON 70%/2M 10%/3M 20%</t>
        </is>
      </c>
      <c r="F1413" s="27" t="n">
        <v>50</v>
      </c>
      <c r="G1413" s="27">
        <f>A1413*$B$7&gt;=$B$9</f>
        <v/>
      </c>
      <c r="H1413" s="13">
        <f>$B$7*(A1413*E$71+B1413*F$71+C1413*G$71+D1413*H$71)+F1413/100*$B$7*J$71-$C$71</f>
        <v/>
      </c>
      <c r="I1413" s="13">
        <f>$B$7*(A1413*L$71+B1413*M$71+C1413*N$71+D1413*O$71)+F1413/100*$B$7*Q$71-$C$71</f>
        <v/>
      </c>
      <c r="J1413" s="13">
        <f>$B$7*(A1413*S$71+B1413*T$71+C1413*U$71+D1413*V$71)+F1413/100*$B$7*X$71-$C$71</f>
        <v/>
      </c>
      <c r="K1413" s="13">
        <f>$B$7*(A1413*Z$71+B1413*AA$71+C1413*AB$71+D1413*AC$71)+F1413/100*$B$7*AE$71-$C$71</f>
        <v/>
      </c>
      <c r="L1413" s="13">
        <f>$B$7*(A1413*AG$71+B1413*AH$71+C1413*AI$71+D1413*AJ$71)+F1413/100*$B$7*AL$71-$C$71</f>
        <v/>
      </c>
      <c r="M1413" s="13">
        <f>$B$7*(A1413*AN$71+B1413*AO$71+C1413*AP$71+D1413*AQ$71)+F1413/100*$B$7*AS$71-$C$71</f>
        <v/>
      </c>
      <c r="N1413" s="13">
        <f>SUMPRODUCT($H$24:$M$24,H1413:M1413)</f>
        <v/>
      </c>
      <c r="O1413" s="14">
        <f>SQRT(SUMPRODUCT($H$24:$M$24,(H1413:M1413-N1413)^2))</f>
        <v/>
      </c>
      <c r="P1413" s="13">
        <f>MIN(H1413:M1413)</f>
        <v/>
      </c>
      <c r="Q1413" s="13">
        <f>MAX(H1413:M1413)</f>
        <v/>
      </c>
      <c r="R1413" s="27">
        <f>IF(G1413,SUMPRODUCT(($G$76:$G$1505)*($N$76:$N$1505&gt;=N1413)*($O$76:$O$1505&lt;=O1413))=1,FALSE)</f>
        <v/>
      </c>
      <c r="S1413" s="16">
        <f>IF(R1413,ABS((O1413-$AC$76)/MAX(0.0001,$AC$77-$AC$76)-(N1413-$AC$78)/MAX(0.0001,$AC$79-$AC$78)),-1)</f>
        <v/>
      </c>
      <c r="T1413" s="14">
        <f>IF(G1413,O1413,NA())</f>
        <v/>
      </c>
      <c r="U1413" s="13">
        <f>IF(G1413,N1413,NA())</f>
        <v/>
      </c>
      <c r="V1413" s="14">
        <f>IF(R1413,O1413,NA())</f>
        <v/>
      </c>
      <c r="W1413" s="13">
        <f>IF(R1413,N1413,NA())</f>
        <v/>
      </c>
      <c r="X1413" s="27">
        <f>IF(G1413,P1413,"")</f>
        <v/>
      </c>
      <c r="Y1413" s="27">
        <f>IF(G1413,N1413,"")</f>
        <v/>
      </c>
      <c r="Z1413" s="27">
        <f>IF(R1413,O1413,"")</f>
        <v/>
      </c>
      <c r="AA1413" s="27">
        <f>IF(R1413,N1413,"")</f>
        <v/>
      </c>
    </row>
    <row r="1414">
      <c r="A1414" s="31" t="n">
        <v>0.7</v>
      </c>
      <c r="B1414" s="31" t="n">
        <v>0</v>
      </c>
      <c r="C1414" s="31" t="n">
        <v>0.1</v>
      </c>
      <c r="D1414" s="31" t="n">
        <v>0.2</v>
      </c>
      <c r="E1414" s="27" t="inlineStr">
        <is>
          <t>ON 70%/2M 10%/3M 20%</t>
        </is>
      </c>
      <c r="F1414" s="27" t="n">
        <v>75</v>
      </c>
      <c r="G1414" s="27">
        <f>A1414*$B$7&gt;=$B$9</f>
        <v/>
      </c>
      <c r="H1414" s="13">
        <f>$B$7*(A1414*E$71+B1414*F$71+C1414*G$71+D1414*H$71)+F1414/100*$B$7*J$71-$C$71</f>
        <v/>
      </c>
      <c r="I1414" s="13">
        <f>$B$7*(A1414*L$71+B1414*M$71+C1414*N$71+D1414*O$71)+F1414/100*$B$7*Q$71-$C$71</f>
        <v/>
      </c>
      <c r="J1414" s="13">
        <f>$B$7*(A1414*S$71+B1414*T$71+C1414*U$71+D1414*V$71)+F1414/100*$B$7*X$71-$C$71</f>
        <v/>
      </c>
      <c r="K1414" s="13">
        <f>$B$7*(A1414*Z$71+B1414*AA$71+C1414*AB$71+D1414*AC$71)+F1414/100*$B$7*AE$71-$C$71</f>
        <v/>
      </c>
      <c r="L1414" s="13">
        <f>$B$7*(A1414*AG$71+B1414*AH$71+C1414*AI$71+D1414*AJ$71)+F1414/100*$B$7*AL$71-$C$71</f>
        <v/>
      </c>
      <c r="M1414" s="13">
        <f>$B$7*(A1414*AN$71+B1414*AO$71+C1414*AP$71+D1414*AQ$71)+F1414/100*$B$7*AS$71-$C$71</f>
        <v/>
      </c>
      <c r="N1414" s="13">
        <f>SUMPRODUCT($H$24:$M$24,H1414:M1414)</f>
        <v/>
      </c>
      <c r="O1414" s="14">
        <f>SQRT(SUMPRODUCT($H$24:$M$24,(H1414:M1414-N1414)^2))</f>
        <v/>
      </c>
      <c r="P1414" s="13">
        <f>MIN(H1414:M1414)</f>
        <v/>
      </c>
      <c r="Q1414" s="13">
        <f>MAX(H1414:M1414)</f>
        <v/>
      </c>
      <c r="R1414" s="27">
        <f>IF(G1414,SUMPRODUCT(($G$76:$G$1505)*($N$76:$N$1505&gt;=N1414)*($O$76:$O$1505&lt;=O1414))=1,FALSE)</f>
        <v/>
      </c>
      <c r="S1414" s="16">
        <f>IF(R1414,ABS((O1414-$AC$76)/MAX(0.0001,$AC$77-$AC$76)-(N1414-$AC$78)/MAX(0.0001,$AC$79-$AC$78)),-1)</f>
        <v/>
      </c>
      <c r="T1414" s="14">
        <f>IF(G1414,O1414,NA())</f>
        <v/>
      </c>
      <c r="U1414" s="13">
        <f>IF(G1414,N1414,NA())</f>
        <v/>
      </c>
      <c r="V1414" s="14">
        <f>IF(R1414,O1414,NA())</f>
        <v/>
      </c>
      <c r="W1414" s="13">
        <f>IF(R1414,N1414,NA())</f>
        <v/>
      </c>
      <c r="X1414" s="27">
        <f>IF(G1414,P1414,"")</f>
        <v/>
      </c>
      <c r="Y1414" s="27">
        <f>IF(G1414,N1414,"")</f>
        <v/>
      </c>
      <c r="Z1414" s="27">
        <f>IF(R1414,O1414,"")</f>
        <v/>
      </c>
      <c r="AA1414" s="27">
        <f>IF(R1414,N1414,"")</f>
        <v/>
      </c>
    </row>
    <row r="1415">
      <c r="A1415" s="31" t="n">
        <v>0.7</v>
      </c>
      <c r="B1415" s="31" t="n">
        <v>0</v>
      </c>
      <c r="C1415" s="31" t="n">
        <v>0.1</v>
      </c>
      <c r="D1415" s="31" t="n">
        <v>0.2</v>
      </c>
      <c r="E1415" s="27" t="inlineStr">
        <is>
          <t>ON 70%/2M 10%/3M 20%</t>
        </is>
      </c>
      <c r="F1415" s="27" t="n">
        <v>100</v>
      </c>
      <c r="G1415" s="27">
        <f>A1415*$B$7&gt;=$B$9</f>
        <v/>
      </c>
      <c r="H1415" s="13">
        <f>$B$7*(A1415*E$71+B1415*F$71+C1415*G$71+D1415*H$71)+F1415/100*$B$7*J$71-$C$71</f>
        <v/>
      </c>
      <c r="I1415" s="13">
        <f>$B$7*(A1415*L$71+B1415*M$71+C1415*N$71+D1415*O$71)+F1415/100*$B$7*Q$71-$C$71</f>
        <v/>
      </c>
      <c r="J1415" s="13">
        <f>$B$7*(A1415*S$71+B1415*T$71+C1415*U$71+D1415*V$71)+F1415/100*$B$7*X$71-$C$71</f>
        <v/>
      </c>
      <c r="K1415" s="13">
        <f>$B$7*(A1415*Z$71+B1415*AA$71+C1415*AB$71+D1415*AC$71)+F1415/100*$B$7*AE$71-$C$71</f>
        <v/>
      </c>
      <c r="L1415" s="13">
        <f>$B$7*(A1415*AG$71+B1415*AH$71+C1415*AI$71+D1415*AJ$71)+F1415/100*$B$7*AL$71-$C$71</f>
        <v/>
      </c>
      <c r="M1415" s="13">
        <f>$B$7*(A1415*AN$71+B1415*AO$71+C1415*AP$71+D1415*AQ$71)+F1415/100*$B$7*AS$71-$C$71</f>
        <v/>
      </c>
      <c r="N1415" s="13">
        <f>SUMPRODUCT($H$24:$M$24,H1415:M1415)</f>
        <v/>
      </c>
      <c r="O1415" s="14">
        <f>SQRT(SUMPRODUCT($H$24:$M$24,(H1415:M1415-N1415)^2))</f>
        <v/>
      </c>
      <c r="P1415" s="13">
        <f>MIN(H1415:M1415)</f>
        <v/>
      </c>
      <c r="Q1415" s="13">
        <f>MAX(H1415:M1415)</f>
        <v/>
      </c>
      <c r="R1415" s="27">
        <f>IF(G1415,SUMPRODUCT(($G$76:$G$1505)*($N$76:$N$1505&gt;=N1415)*($O$76:$O$1505&lt;=O1415))=1,FALSE)</f>
        <v/>
      </c>
      <c r="S1415" s="16">
        <f>IF(R1415,ABS((O1415-$AC$76)/MAX(0.0001,$AC$77-$AC$76)-(N1415-$AC$78)/MAX(0.0001,$AC$79-$AC$78)),-1)</f>
        <v/>
      </c>
      <c r="T1415" s="14">
        <f>IF(G1415,O1415,NA())</f>
        <v/>
      </c>
      <c r="U1415" s="13">
        <f>IF(G1415,N1415,NA())</f>
        <v/>
      </c>
      <c r="V1415" s="14">
        <f>IF(R1415,O1415,NA())</f>
        <v/>
      </c>
      <c r="W1415" s="13">
        <f>IF(R1415,N1415,NA())</f>
        <v/>
      </c>
      <c r="X1415" s="27">
        <f>IF(G1415,P1415,"")</f>
        <v/>
      </c>
      <c r="Y1415" s="27">
        <f>IF(G1415,N1415,"")</f>
        <v/>
      </c>
      <c r="Z1415" s="27">
        <f>IF(R1415,O1415,"")</f>
        <v/>
      </c>
      <c r="AA1415" s="27">
        <f>IF(R1415,N1415,"")</f>
        <v/>
      </c>
    </row>
    <row r="1416">
      <c r="A1416" s="31" t="n">
        <v>0.7</v>
      </c>
      <c r="B1416" s="31" t="n">
        <v>0</v>
      </c>
      <c r="C1416" s="31" t="n">
        <v>0.2</v>
      </c>
      <c r="D1416" s="31" t="n">
        <v>0.1</v>
      </c>
      <c r="E1416" s="27" t="inlineStr">
        <is>
          <t>ON 70%/2M 20%/3M 10%</t>
        </is>
      </c>
      <c r="F1416" s="27" t="n">
        <v>0</v>
      </c>
      <c r="G1416" s="27">
        <f>A1416*$B$7&gt;=$B$9</f>
        <v/>
      </c>
      <c r="H1416" s="13">
        <f>$B$7*(A1416*E$71+B1416*F$71+C1416*G$71+D1416*H$71)+F1416/100*$B$7*J$71-$C$71</f>
        <v/>
      </c>
      <c r="I1416" s="13">
        <f>$B$7*(A1416*L$71+B1416*M$71+C1416*N$71+D1416*O$71)+F1416/100*$B$7*Q$71-$C$71</f>
        <v/>
      </c>
      <c r="J1416" s="13">
        <f>$B$7*(A1416*S$71+B1416*T$71+C1416*U$71+D1416*V$71)+F1416/100*$B$7*X$71-$C$71</f>
        <v/>
      </c>
      <c r="K1416" s="13">
        <f>$B$7*(A1416*Z$71+B1416*AA$71+C1416*AB$71+D1416*AC$71)+F1416/100*$B$7*AE$71-$C$71</f>
        <v/>
      </c>
      <c r="L1416" s="13">
        <f>$B$7*(A1416*AG$71+B1416*AH$71+C1416*AI$71+D1416*AJ$71)+F1416/100*$B$7*AL$71-$C$71</f>
        <v/>
      </c>
      <c r="M1416" s="13">
        <f>$B$7*(A1416*AN$71+B1416*AO$71+C1416*AP$71+D1416*AQ$71)+F1416/100*$B$7*AS$71-$C$71</f>
        <v/>
      </c>
      <c r="N1416" s="13">
        <f>SUMPRODUCT($H$24:$M$24,H1416:M1416)</f>
        <v/>
      </c>
      <c r="O1416" s="14">
        <f>SQRT(SUMPRODUCT($H$24:$M$24,(H1416:M1416-N1416)^2))</f>
        <v/>
      </c>
      <c r="P1416" s="13">
        <f>MIN(H1416:M1416)</f>
        <v/>
      </c>
      <c r="Q1416" s="13">
        <f>MAX(H1416:M1416)</f>
        <v/>
      </c>
      <c r="R1416" s="27">
        <f>IF(G1416,SUMPRODUCT(($G$76:$G$1505)*($N$76:$N$1505&gt;=N1416)*($O$76:$O$1505&lt;=O1416))=1,FALSE)</f>
        <v/>
      </c>
      <c r="S1416" s="16">
        <f>IF(R1416,ABS((O1416-$AC$76)/MAX(0.0001,$AC$77-$AC$76)-(N1416-$AC$78)/MAX(0.0001,$AC$79-$AC$78)),-1)</f>
        <v/>
      </c>
      <c r="T1416" s="14">
        <f>IF(G1416,O1416,NA())</f>
        <v/>
      </c>
      <c r="U1416" s="13">
        <f>IF(G1416,N1416,NA())</f>
        <v/>
      </c>
      <c r="V1416" s="14">
        <f>IF(R1416,O1416,NA())</f>
        <v/>
      </c>
      <c r="W1416" s="13">
        <f>IF(R1416,N1416,NA())</f>
        <v/>
      </c>
      <c r="X1416" s="27">
        <f>IF(G1416,P1416,"")</f>
        <v/>
      </c>
      <c r="Y1416" s="27">
        <f>IF(G1416,N1416,"")</f>
        <v/>
      </c>
      <c r="Z1416" s="27">
        <f>IF(R1416,O1416,"")</f>
        <v/>
      </c>
      <c r="AA1416" s="27">
        <f>IF(R1416,N1416,"")</f>
        <v/>
      </c>
    </row>
    <row r="1417">
      <c r="A1417" s="31" t="n">
        <v>0.7</v>
      </c>
      <c r="B1417" s="31" t="n">
        <v>0</v>
      </c>
      <c r="C1417" s="31" t="n">
        <v>0.2</v>
      </c>
      <c r="D1417" s="31" t="n">
        <v>0.1</v>
      </c>
      <c r="E1417" s="27" t="inlineStr">
        <is>
          <t>ON 70%/2M 20%/3M 10%</t>
        </is>
      </c>
      <c r="F1417" s="27" t="n">
        <v>25</v>
      </c>
      <c r="G1417" s="27">
        <f>A1417*$B$7&gt;=$B$9</f>
        <v/>
      </c>
      <c r="H1417" s="13">
        <f>$B$7*(A1417*E$71+B1417*F$71+C1417*G$71+D1417*H$71)+F1417/100*$B$7*J$71-$C$71</f>
        <v/>
      </c>
      <c r="I1417" s="13">
        <f>$B$7*(A1417*L$71+B1417*M$71+C1417*N$71+D1417*O$71)+F1417/100*$B$7*Q$71-$C$71</f>
        <v/>
      </c>
      <c r="J1417" s="13">
        <f>$B$7*(A1417*S$71+B1417*T$71+C1417*U$71+D1417*V$71)+F1417/100*$B$7*X$71-$C$71</f>
        <v/>
      </c>
      <c r="K1417" s="13">
        <f>$B$7*(A1417*Z$71+B1417*AA$71+C1417*AB$71+D1417*AC$71)+F1417/100*$B$7*AE$71-$C$71</f>
        <v/>
      </c>
      <c r="L1417" s="13">
        <f>$B$7*(A1417*AG$71+B1417*AH$71+C1417*AI$71+D1417*AJ$71)+F1417/100*$B$7*AL$71-$C$71</f>
        <v/>
      </c>
      <c r="M1417" s="13">
        <f>$B$7*(A1417*AN$71+B1417*AO$71+C1417*AP$71+D1417*AQ$71)+F1417/100*$B$7*AS$71-$C$71</f>
        <v/>
      </c>
      <c r="N1417" s="13">
        <f>SUMPRODUCT($H$24:$M$24,H1417:M1417)</f>
        <v/>
      </c>
      <c r="O1417" s="14">
        <f>SQRT(SUMPRODUCT($H$24:$M$24,(H1417:M1417-N1417)^2))</f>
        <v/>
      </c>
      <c r="P1417" s="13">
        <f>MIN(H1417:M1417)</f>
        <v/>
      </c>
      <c r="Q1417" s="13">
        <f>MAX(H1417:M1417)</f>
        <v/>
      </c>
      <c r="R1417" s="27">
        <f>IF(G1417,SUMPRODUCT(($G$76:$G$1505)*($N$76:$N$1505&gt;=N1417)*($O$76:$O$1505&lt;=O1417))=1,FALSE)</f>
        <v/>
      </c>
      <c r="S1417" s="16">
        <f>IF(R1417,ABS((O1417-$AC$76)/MAX(0.0001,$AC$77-$AC$76)-(N1417-$AC$78)/MAX(0.0001,$AC$79-$AC$78)),-1)</f>
        <v/>
      </c>
      <c r="T1417" s="14">
        <f>IF(G1417,O1417,NA())</f>
        <v/>
      </c>
      <c r="U1417" s="13">
        <f>IF(G1417,N1417,NA())</f>
        <v/>
      </c>
      <c r="V1417" s="14">
        <f>IF(R1417,O1417,NA())</f>
        <v/>
      </c>
      <c r="W1417" s="13">
        <f>IF(R1417,N1417,NA())</f>
        <v/>
      </c>
      <c r="X1417" s="27">
        <f>IF(G1417,P1417,"")</f>
        <v/>
      </c>
      <c r="Y1417" s="27">
        <f>IF(G1417,N1417,"")</f>
        <v/>
      </c>
      <c r="Z1417" s="27">
        <f>IF(R1417,O1417,"")</f>
        <v/>
      </c>
      <c r="AA1417" s="27">
        <f>IF(R1417,N1417,"")</f>
        <v/>
      </c>
    </row>
    <row r="1418">
      <c r="A1418" s="31" t="n">
        <v>0.7</v>
      </c>
      <c r="B1418" s="31" t="n">
        <v>0</v>
      </c>
      <c r="C1418" s="31" t="n">
        <v>0.2</v>
      </c>
      <c r="D1418" s="31" t="n">
        <v>0.1</v>
      </c>
      <c r="E1418" s="27" t="inlineStr">
        <is>
          <t>ON 70%/2M 20%/3M 10%</t>
        </is>
      </c>
      <c r="F1418" s="27" t="n">
        <v>50</v>
      </c>
      <c r="G1418" s="27">
        <f>A1418*$B$7&gt;=$B$9</f>
        <v/>
      </c>
      <c r="H1418" s="13">
        <f>$B$7*(A1418*E$71+B1418*F$71+C1418*G$71+D1418*H$71)+F1418/100*$B$7*J$71-$C$71</f>
        <v/>
      </c>
      <c r="I1418" s="13">
        <f>$B$7*(A1418*L$71+B1418*M$71+C1418*N$71+D1418*O$71)+F1418/100*$B$7*Q$71-$C$71</f>
        <v/>
      </c>
      <c r="J1418" s="13">
        <f>$B$7*(A1418*S$71+B1418*T$71+C1418*U$71+D1418*V$71)+F1418/100*$B$7*X$71-$C$71</f>
        <v/>
      </c>
      <c r="K1418" s="13">
        <f>$B$7*(A1418*Z$71+B1418*AA$71+C1418*AB$71+D1418*AC$71)+F1418/100*$B$7*AE$71-$C$71</f>
        <v/>
      </c>
      <c r="L1418" s="13">
        <f>$B$7*(A1418*AG$71+B1418*AH$71+C1418*AI$71+D1418*AJ$71)+F1418/100*$B$7*AL$71-$C$71</f>
        <v/>
      </c>
      <c r="M1418" s="13">
        <f>$B$7*(A1418*AN$71+B1418*AO$71+C1418*AP$71+D1418*AQ$71)+F1418/100*$B$7*AS$71-$C$71</f>
        <v/>
      </c>
      <c r="N1418" s="13">
        <f>SUMPRODUCT($H$24:$M$24,H1418:M1418)</f>
        <v/>
      </c>
      <c r="O1418" s="14">
        <f>SQRT(SUMPRODUCT($H$24:$M$24,(H1418:M1418-N1418)^2))</f>
        <v/>
      </c>
      <c r="P1418" s="13">
        <f>MIN(H1418:M1418)</f>
        <v/>
      </c>
      <c r="Q1418" s="13">
        <f>MAX(H1418:M1418)</f>
        <v/>
      </c>
      <c r="R1418" s="27">
        <f>IF(G1418,SUMPRODUCT(($G$76:$G$1505)*($N$76:$N$1505&gt;=N1418)*($O$76:$O$1505&lt;=O1418))=1,FALSE)</f>
        <v/>
      </c>
      <c r="S1418" s="16">
        <f>IF(R1418,ABS((O1418-$AC$76)/MAX(0.0001,$AC$77-$AC$76)-(N1418-$AC$78)/MAX(0.0001,$AC$79-$AC$78)),-1)</f>
        <v/>
      </c>
      <c r="T1418" s="14">
        <f>IF(G1418,O1418,NA())</f>
        <v/>
      </c>
      <c r="U1418" s="13">
        <f>IF(G1418,N1418,NA())</f>
        <v/>
      </c>
      <c r="V1418" s="14">
        <f>IF(R1418,O1418,NA())</f>
        <v/>
      </c>
      <c r="W1418" s="13">
        <f>IF(R1418,N1418,NA())</f>
        <v/>
      </c>
      <c r="X1418" s="27">
        <f>IF(G1418,P1418,"")</f>
        <v/>
      </c>
      <c r="Y1418" s="27">
        <f>IF(G1418,N1418,"")</f>
        <v/>
      </c>
      <c r="Z1418" s="27">
        <f>IF(R1418,O1418,"")</f>
        <v/>
      </c>
      <c r="AA1418" s="27">
        <f>IF(R1418,N1418,"")</f>
        <v/>
      </c>
    </row>
    <row r="1419">
      <c r="A1419" s="31" t="n">
        <v>0.7</v>
      </c>
      <c r="B1419" s="31" t="n">
        <v>0</v>
      </c>
      <c r="C1419" s="31" t="n">
        <v>0.2</v>
      </c>
      <c r="D1419" s="31" t="n">
        <v>0.1</v>
      </c>
      <c r="E1419" s="27" t="inlineStr">
        <is>
          <t>ON 70%/2M 20%/3M 10%</t>
        </is>
      </c>
      <c r="F1419" s="27" t="n">
        <v>75</v>
      </c>
      <c r="G1419" s="27">
        <f>A1419*$B$7&gt;=$B$9</f>
        <v/>
      </c>
      <c r="H1419" s="13">
        <f>$B$7*(A1419*E$71+B1419*F$71+C1419*G$71+D1419*H$71)+F1419/100*$B$7*J$71-$C$71</f>
        <v/>
      </c>
      <c r="I1419" s="13">
        <f>$B$7*(A1419*L$71+B1419*M$71+C1419*N$71+D1419*O$71)+F1419/100*$B$7*Q$71-$C$71</f>
        <v/>
      </c>
      <c r="J1419" s="13">
        <f>$B$7*(A1419*S$71+B1419*T$71+C1419*U$71+D1419*V$71)+F1419/100*$B$7*X$71-$C$71</f>
        <v/>
      </c>
      <c r="K1419" s="13">
        <f>$B$7*(A1419*Z$71+B1419*AA$71+C1419*AB$71+D1419*AC$71)+F1419/100*$B$7*AE$71-$C$71</f>
        <v/>
      </c>
      <c r="L1419" s="13">
        <f>$B$7*(A1419*AG$71+B1419*AH$71+C1419*AI$71+D1419*AJ$71)+F1419/100*$B$7*AL$71-$C$71</f>
        <v/>
      </c>
      <c r="M1419" s="13">
        <f>$B$7*(A1419*AN$71+B1419*AO$71+C1419*AP$71+D1419*AQ$71)+F1419/100*$B$7*AS$71-$C$71</f>
        <v/>
      </c>
      <c r="N1419" s="13">
        <f>SUMPRODUCT($H$24:$M$24,H1419:M1419)</f>
        <v/>
      </c>
      <c r="O1419" s="14">
        <f>SQRT(SUMPRODUCT($H$24:$M$24,(H1419:M1419-N1419)^2))</f>
        <v/>
      </c>
      <c r="P1419" s="13">
        <f>MIN(H1419:M1419)</f>
        <v/>
      </c>
      <c r="Q1419" s="13">
        <f>MAX(H1419:M1419)</f>
        <v/>
      </c>
      <c r="R1419" s="27">
        <f>IF(G1419,SUMPRODUCT(($G$76:$G$1505)*($N$76:$N$1505&gt;=N1419)*($O$76:$O$1505&lt;=O1419))=1,FALSE)</f>
        <v/>
      </c>
      <c r="S1419" s="16">
        <f>IF(R1419,ABS((O1419-$AC$76)/MAX(0.0001,$AC$77-$AC$76)-(N1419-$AC$78)/MAX(0.0001,$AC$79-$AC$78)),-1)</f>
        <v/>
      </c>
      <c r="T1419" s="14">
        <f>IF(G1419,O1419,NA())</f>
        <v/>
      </c>
      <c r="U1419" s="13">
        <f>IF(G1419,N1419,NA())</f>
        <v/>
      </c>
      <c r="V1419" s="14">
        <f>IF(R1419,O1419,NA())</f>
        <v/>
      </c>
      <c r="W1419" s="13">
        <f>IF(R1419,N1419,NA())</f>
        <v/>
      </c>
      <c r="X1419" s="27">
        <f>IF(G1419,P1419,"")</f>
        <v/>
      </c>
      <c r="Y1419" s="27">
        <f>IF(G1419,N1419,"")</f>
        <v/>
      </c>
      <c r="Z1419" s="27">
        <f>IF(R1419,O1419,"")</f>
        <v/>
      </c>
      <c r="AA1419" s="27">
        <f>IF(R1419,N1419,"")</f>
        <v/>
      </c>
    </row>
    <row r="1420">
      <c r="A1420" s="31" t="n">
        <v>0.7</v>
      </c>
      <c r="B1420" s="31" t="n">
        <v>0</v>
      </c>
      <c r="C1420" s="31" t="n">
        <v>0.2</v>
      </c>
      <c r="D1420" s="31" t="n">
        <v>0.1</v>
      </c>
      <c r="E1420" s="27" t="inlineStr">
        <is>
          <t>ON 70%/2M 20%/3M 10%</t>
        </is>
      </c>
      <c r="F1420" s="27" t="n">
        <v>100</v>
      </c>
      <c r="G1420" s="27">
        <f>A1420*$B$7&gt;=$B$9</f>
        <v/>
      </c>
      <c r="H1420" s="13">
        <f>$B$7*(A1420*E$71+B1420*F$71+C1420*G$71+D1420*H$71)+F1420/100*$B$7*J$71-$C$71</f>
        <v/>
      </c>
      <c r="I1420" s="13">
        <f>$B$7*(A1420*L$71+B1420*M$71+C1420*N$71+D1420*O$71)+F1420/100*$B$7*Q$71-$C$71</f>
        <v/>
      </c>
      <c r="J1420" s="13">
        <f>$B$7*(A1420*S$71+B1420*T$71+C1420*U$71+D1420*V$71)+F1420/100*$B$7*X$71-$C$71</f>
        <v/>
      </c>
      <c r="K1420" s="13">
        <f>$B$7*(A1420*Z$71+B1420*AA$71+C1420*AB$71+D1420*AC$71)+F1420/100*$B$7*AE$71-$C$71</f>
        <v/>
      </c>
      <c r="L1420" s="13">
        <f>$B$7*(A1420*AG$71+B1420*AH$71+C1420*AI$71+D1420*AJ$71)+F1420/100*$B$7*AL$71-$C$71</f>
        <v/>
      </c>
      <c r="M1420" s="13">
        <f>$B$7*(A1420*AN$71+B1420*AO$71+C1420*AP$71+D1420*AQ$71)+F1420/100*$B$7*AS$71-$C$71</f>
        <v/>
      </c>
      <c r="N1420" s="13">
        <f>SUMPRODUCT($H$24:$M$24,H1420:M1420)</f>
        <v/>
      </c>
      <c r="O1420" s="14">
        <f>SQRT(SUMPRODUCT($H$24:$M$24,(H1420:M1420-N1420)^2))</f>
        <v/>
      </c>
      <c r="P1420" s="13">
        <f>MIN(H1420:M1420)</f>
        <v/>
      </c>
      <c r="Q1420" s="13">
        <f>MAX(H1420:M1420)</f>
        <v/>
      </c>
      <c r="R1420" s="27">
        <f>IF(G1420,SUMPRODUCT(($G$76:$G$1505)*($N$76:$N$1505&gt;=N1420)*($O$76:$O$1505&lt;=O1420))=1,FALSE)</f>
        <v/>
      </c>
      <c r="S1420" s="16">
        <f>IF(R1420,ABS((O1420-$AC$76)/MAX(0.0001,$AC$77-$AC$76)-(N1420-$AC$78)/MAX(0.0001,$AC$79-$AC$78)),-1)</f>
        <v/>
      </c>
      <c r="T1420" s="14">
        <f>IF(G1420,O1420,NA())</f>
        <v/>
      </c>
      <c r="U1420" s="13">
        <f>IF(G1420,N1420,NA())</f>
        <v/>
      </c>
      <c r="V1420" s="14">
        <f>IF(R1420,O1420,NA())</f>
        <v/>
      </c>
      <c r="W1420" s="13">
        <f>IF(R1420,N1420,NA())</f>
        <v/>
      </c>
      <c r="X1420" s="27">
        <f>IF(G1420,P1420,"")</f>
        <v/>
      </c>
      <c r="Y1420" s="27">
        <f>IF(G1420,N1420,"")</f>
        <v/>
      </c>
      <c r="Z1420" s="27">
        <f>IF(R1420,O1420,"")</f>
        <v/>
      </c>
      <c r="AA1420" s="27">
        <f>IF(R1420,N1420,"")</f>
        <v/>
      </c>
    </row>
    <row r="1421">
      <c r="A1421" s="31" t="n">
        <v>0.7</v>
      </c>
      <c r="B1421" s="31" t="n">
        <v>0</v>
      </c>
      <c r="C1421" s="31" t="n">
        <v>0.3</v>
      </c>
      <c r="D1421" s="31" t="n">
        <v>0</v>
      </c>
      <c r="E1421" s="27" t="inlineStr">
        <is>
          <t>ON 70%/2M 30%</t>
        </is>
      </c>
      <c r="F1421" s="27" t="n">
        <v>0</v>
      </c>
      <c r="G1421" s="27">
        <f>A1421*$B$7&gt;=$B$9</f>
        <v/>
      </c>
      <c r="H1421" s="13">
        <f>$B$7*(A1421*E$71+B1421*F$71+C1421*G$71+D1421*H$71)+F1421/100*$B$7*J$71-$C$71</f>
        <v/>
      </c>
      <c r="I1421" s="13">
        <f>$B$7*(A1421*L$71+B1421*M$71+C1421*N$71+D1421*O$71)+F1421/100*$B$7*Q$71-$C$71</f>
        <v/>
      </c>
      <c r="J1421" s="13">
        <f>$B$7*(A1421*S$71+B1421*T$71+C1421*U$71+D1421*V$71)+F1421/100*$B$7*X$71-$C$71</f>
        <v/>
      </c>
      <c r="K1421" s="13">
        <f>$B$7*(A1421*Z$71+B1421*AA$71+C1421*AB$71+D1421*AC$71)+F1421/100*$B$7*AE$71-$C$71</f>
        <v/>
      </c>
      <c r="L1421" s="13">
        <f>$B$7*(A1421*AG$71+B1421*AH$71+C1421*AI$71+D1421*AJ$71)+F1421/100*$B$7*AL$71-$C$71</f>
        <v/>
      </c>
      <c r="M1421" s="13">
        <f>$B$7*(A1421*AN$71+B1421*AO$71+C1421*AP$71+D1421*AQ$71)+F1421/100*$B$7*AS$71-$C$71</f>
        <v/>
      </c>
      <c r="N1421" s="13">
        <f>SUMPRODUCT($H$24:$M$24,H1421:M1421)</f>
        <v/>
      </c>
      <c r="O1421" s="14">
        <f>SQRT(SUMPRODUCT($H$24:$M$24,(H1421:M1421-N1421)^2))</f>
        <v/>
      </c>
      <c r="P1421" s="13">
        <f>MIN(H1421:M1421)</f>
        <v/>
      </c>
      <c r="Q1421" s="13">
        <f>MAX(H1421:M1421)</f>
        <v/>
      </c>
      <c r="R1421" s="27">
        <f>IF(G1421,SUMPRODUCT(($G$76:$G$1505)*($N$76:$N$1505&gt;=N1421)*($O$76:$O$1505&lt;=O1421))=1,FALSE)</f>
        <v/>
      </c>
      <c r="S1421" s="16">
        <f>IF(R1421,ABS((O1421-$AC$76)/MAX(0.0001,$AC$77-$AC$76)-(N1421-$AC$78)/MAX(0.0001,$AC$79-$AC$78)),-1)</f>
        <v/>
      </c>
      <c r="T1421" s="14">
        <f>IF(G1421,O1421,NA())</f>
        <v/>
      </c>
      <c r="U1421" s="13">
        <f>IF(G1421,N1421,NA())</f>
        <v/>
      </c>
      <c r="V1421" s="14">
        <f>IF(R1421,O1421,NA())</f>
        <v/>
      </c>
      <c r="W1421" s="13">
        <f>IF(R1421,N1421,NA())</f>
        <v/>
      </c>
      <c r="X1421" s="27">
        <f>IF(G1421,P1421,"")</f>
        <v/>
      </c>
      <c r="Y1421" s="27">
        <f>IF(G1421,N1421,"")</f>
        <v/>
      </c>
      <c r="Z1421" s="27">
        <f>IF(R1421,O1421,"")</f>
        <v/>
      </c>
      <c r="AA1421" s="27">
        <f>IF(R1421,N1421,"")</f>
        <v/>
      </c>
    </row>
    <row r="1422">
      <c r="A1422" s="31" t="n">
        <v>0.7</v>
      </c>
      <c r="B1422" s="31" t="n">
        <v>0</v>
      </c>
      <c r="C1422" s="31" t="n">
        <v>0.3</v>
      </c>
      <c r="D1422" s="31" t="n">
        <v>0</v>
      </c>
      <c r="E1422" s="27" t="inlineStr">
        <is>
          <t>ON 70%/2M 30%</t>
        </is>
      </c>
      <c r="F1422" s="27" t="n">
        <v>25</v>
      </c>
      <c r="G1422" s="27">
        <f>A1422*$B$7&gt;=$B$9</f>
        <v/>
      </c>
      <c r="H1422" s="13">
        <f>$B$7*(A1422*E$71+B1422*F$71+C1422*G$71+D1422*H$71)+F1422/100*$B$7*J$71-$C$71</f>
        <v/>
      </c>
      <c r="I1422" s="13">
        <f>$B$7*(A1422*L$71+B1422*M$71+C1422*N$71+D1422*O$71)+F1422/100*$B$7*Q$71-$C$71</f>
        <v/>
      </c>
      <c r="J1422" s="13">
        <f>$B$7*(A1422*S$71+B1422*T$71+C1422*U$71+D1422*V$71)+F1422/100*$B$7*X$71-$C$71</f>
        <v/>
      </c>
      <c r="K1422" s="13">
        <f>$B$7*(A1422*Z$71+B1422*AA$71+C1422*AB$71+D1422*AC$71)+F1422/100*$B$7*AE$71-$C$71</f>
        <v/>
      </c>
      <c r="L1422" s="13">
        <f>$B$7*(A1422*AG$71+B1422*AH$71+C1422*AI$71+D1422*AJ$71)+F1422/100*$B$7*AL$71-$C$71</f>
        <v/>
      </c>
      <c r="M1422" s="13">
        <f>$B$7*(A1422*AN$71+B1422*AO$71+C1422*AP$71+D1422*AQ$71)+F1422/100*$B$7*AS$71-$C$71</f>
        <v/>
      </c>
      <c r="N1422" s="13">
        <f>SUMPRODUCT($H$24:$M$24,H1422:M1422)</f>
        <v/>
      </c>
      <c r="O1422" s="14">
        <f>SQRT(SUMPRODUCT($H$24:$M$24,(H1422:M1422-N1422)^2))</f>
        <v/>
      </c>
      <c r="P1422" s="13">
        <f>MIN(H1422:M1422)</f>
        <v/>
      </c>
      <c r="Q1422" s="13">
        <f>MAX(H1422:M1422)</f>
        <v/>
      </c>
      <c r="R1422" s="27">
        <f>IF(G1422,SUMPRODUCT(($G$76:$G$1505)*($N$76:$N$1505&gt;=N1422)*($O$76:$O$1505&lt;=O1422))=1,FALSE)</f>
        <v/>
      </c>
      <c r="S1422" s="16">
        <f>IF(R1422,ABS((O1422-$AC$76)/MAX(0.0001,$AC$77-$AC$76)-(N1422-$AC$78)/MAX(0.0001,$AC$79-$AC$78)),-1)</f>
        <v/>
      </c>
      <c r="T1422" s="14">
        <f>IF(G1422,O1422,NA())</f>
        <v/>
      </c>
      <c r="U1422" s="13">
        <f>IF(G1422,N1422,NA())</f>
        <v/>
      </c>
      <c r="V1422" s="14">
        <f>IF(R1422,O1422,NA())</f>
        <v/>
      </c>
      <c r="W1422" s="13">
        <f>IF(R1422,N1422,NA())</f>
        <v/>
      </c>
      <c r="X1422" s="27">
        <f>IF(G1422,P1422,"")</f>
        <v/>
      </c>
      <c r="Y1422" s="27">
        <f>IF(G1422,N1422,"")</f>
        <v/>
      </c>
      <c r="Z1422" s="27">
        <f>IF(R1422,O1422,"")</f>
        <v/>
      </c>
      <c r="AA1422" s="27">
        <f>IF(R1422,N1422,"")</f>
        <v/>
      </c>
    </row>
    <row r="1423">
      <c r="A1423" s="31" t="n">
        <v>0.7</v>
      </c>
      <c r="B1423" s="31" t="n">
        <v>0</v>
      </c>
      <c r="C1423" s="31" t="n">
        <v>0.3</v>
      </c>
      <c r="D1423" s="31" t="n">
        <v>0</v>
      </c>
      <c r="E1423" s="27" t="inlineStr">
        <is>
          <t>ON 70%/2M 30%</t>
        </is>
      </c>
      <c r="F1423" s="27" t="n">
        <v>50</v>
      </c>
      <c r="G1423" s="27">
        <f>A1423*$B$7&gt;=$B$9</f>
        <v/>
      </c>
      <c r="H1423" s="13">
        <f>$B$7*(A1423*E$71+B1423*F$71+C1423*G$71+D1423*H$71)+F1423/100*$B$7*J$71-$C$71</f>
        <v/>
      </c>
      <c r="I1423" s="13">
        <f>$B$7*(A1423*L$71+B1423*M$71+C1423*N$71+D1423*O$71)+F1423/100*$B$7*Q$71-$C$71</f>
        <v/>
      </c>
      <c r="J1423" s="13">
        <f>$B$7*(A1423*S$71+B1423*T$71+C1423*U$71+D1423*V$71)+F1423/100*$B$7*X$71-$C$71</f>
        <v/>
      </c>
      <c r="K1423" s="13">
        <f>$B$7*(A1423*Z$71+B1423*AA$71+C1423*AB$71+D1423*AC$71)+F1423/100*$B$7*AE$71-$C$71</f>
        <v/>
      </c>
      <c r="L1423" s="13">
        <f>$B$7*(A1423*AG$71+B1423*AH$71+C1423*AI$71+D1423*AJ$71)+F1423/100*$B$7*AL$71-$C$71</f>
        <v/>
      </c>
      <c r="M1423" s="13">
        <f>$B$7*(A1423*AN$71+B1423*AO$71+C1423*AP$71+D1423*AQ$71)+F1423/100*$B$7*AS$71-$C$71</f>
        <v/>
      </c>
      <c r="N1423" s="13">
        <f>SUMPRODUCT($H$24:$M$24,H1423:M1423)</f>
        <v/>
      </c>
      <c r="O1423" s="14">
        <f>SQRT(SUMPRODUCT($H$24:$M$24,(H1423:M1423-N1423)^2))</f>
        <v/>
      </c>
      <c r="P1423" s="13">
        <f>MIN(H1423:M1423)</f>
        <v/>
      </c>
      <c r="Q1423" s="13">
        <f>MAX(H1423:M1423)</f>
        <v/>
      </c>
      <c r="R1423" s="27">
        <f>IF(G1423,SUMPRODUCT(($G$76:$G$1505)*($N$76:$N$1505&gt;=N1423)*($O$76:$O$1505&lt;=O1423))=1,FALSE)</f>
        <v/>
      </c>
      <c r="S1423" s="16">
        <f>IF(R1423,ABS((O1423-$AC$76)/MAX(0.0001,$AC$77-$AC$76)-(N1423-$AC$78)/MAX(0.0001,$AC$79-$AC$78)),-1)</f>
        <v/>
      </c>
      <c r="T1423" s="14">
        <f>IF(G1423,O1423,NA())</f>
        <v/>
      </c>
      <c r="U1423" s="13">
        <f>IF(G1423,N1423,NA())</f>
        <v/>
      </c>
      <c r="V1423" s="14">
        <f>IF(R1423,O1423,NA())</f>
        <v/>
      </c>
      <c r="W1423" s="13">
        <f>IF(R1423,N1423,NA())</f>
        <v/>
      </c>
      <c r="X1423" s="27">
        <f>IF(G1423,P1423,"")</f>
        <v/>
      </c>
      <c r="Y1423" s="27">
        <f>IF(G1423,N1423,"")</f>
        <v/>
      </c>
      <c r="Z1423" s="27">
        <f>IF(R1423,O1423,"")</f>
        <v/>
      </c>
      <c r="AA1423" s="27">
        <f>IF(R1423,N1423,"")</f>
        <v/>
      </c>
    </row>
    <row r="1424">
      <c r="A1424" s="31" t="n">
        <v>0.7</v>
      </c>
      <c r="B1424" s="31" t="n">
        <v>0</v>
      </c>
      <c r="C1424" s="31" t="n">
        <v>0.3</v>
      </c>
      <c r="D1424" s="31" t="n">
        <v>0</v>
      </c>
      <c r="E1424" s="27" t="inlineStr">
        <is>
          <t>ON 70%/2M 30%</t>
        </is>
      </c>
      <c r="F1424" s="27" t="n">
        <v>75</v>
      </c>
      <c r="G1424" s="27">
        <f>A1424*$B$7&gt;=$B$9</f>
        <v/>
      </c>
      <c r="H1424" s="13">
        <f>$B$7*(A1424*E$71+B1424*F$71+C1424*G$71+D1424*H$71)+F1424/100*$B$7*J$71-$C$71</f>
        <v/>
      </c>
      <c r="I1424" s="13">
        <f>$B$7*(A1424*L$71+B1424*M$71+C1424*N$71+D1424*O$71)+F1424/100*$B$7*Q$71-$C$71</f>
        <v/>
      </c>
      <c r="J1424" s="13">
        <f>$B$7*(A1424*S$71+B1424*T$71+C1424*U$71+D1424*V$71)+F1424/100*$B$7*X$71-$C$71</f>
        <v/>
      </c>
      <c r="K1424" s="13">
        <f>$B$7*(A1424*Z$71+B1424*AA$71+C1424*AB$71+D1424*AC$71)+F1424/100*$B$7*AE$71-$C$71</f>
        <v/>
      </c>
      <c r="L1424" s="13">
        <f>$B$7*(A1424*AG$71+B1424*AH$71+C1424*AI$71+D1424*AJ$71)+F1424/100*$B$7*AL$71-$C$71</f>
        <v/>
      </c>
      <c r="M1424" s="13">
        <f>$B$7*(A1424*AN$71+B1424*AO$71+C1424*AP$71+D1424*AQ$71)+F1424/100*$B$7*AS$71-$C$71</f>
        <v/>
      </c>
      <c r="N1424" s="13">
        <f>SUMPRODUCT($H$24:$M$24,H1424:M1424)</f>
        <v/>
      </c>
      <c r="O1424" s="14">
        <f>SQRT(SUMPRODUCT($H$24:$M$24,(H1424:M1424-N1424)^2))</f>
        <v/>
      </c>
      <c r="P1424" s="13">
        <f>MIN(H1424:M1424)</f>
        <v/>
      </c>
      <c r="Q1424" s="13">
        <f>MAX(H1424:M1424)</f>
        <v/>
      </c>
      <c r="R1424" s="27">
        <f>IF(G1424,SUMPRODUCT(($G$76:$G$1505)*($N$76:$N$1505&gt;=N1424)*($O$76:$O$1505&lt;=O1424))=1,FALSE)</f>
        <v/>
      </c>
      <c r="S1424" s="16">
        <f>IF(R1424,ABS((O1424-$AC$76)/MAX(0.0001,$AC$77-$AC$76)-(N1424-$AC$78)/MAX(0.0001,$AC$79-$AC$78)),-1)</f>
        <v/>
      </c>
      <c r="T1424" s="14">
        <f>IF(G1424,O1424,NA())</f>
        <v/>
      </c>
      <c r="U1424" s="13">
        <f>IF(G1424,N1424,NA())</f>
        <v/>
      </c>
      <c r="V1424" s="14">
        <f>IF(R1424,O1424,NA())</f>
        <v/>
      </c>
      <c r="W1424" s="13">
        <f>IF(R1424,N1424,NA())</f>
        <v/>
      </c>
      <c r="X1424" s="27">
        <f>IF(G1424,P1424,"")</f>
        <v/>
      </c>
      <c r="Y1424" s="27">
        <f>IF(G1424,N1424,"")</f>
        <v/>
      </c>
      <c r="Z1424" s="27">
        <f>IF(R1424,O1424,"")</f>
        <v/>
      </c>
      <c r="AA1424" s="27">
        <f>IF(R1424,N1424,"")</f>
        <v/>
      </c>
    </row>
    <row r="1425">
      <c r="A1425" s="31" t="n">
        <v>0.7</v>
      </c>
      <c r="B1425" s="31" t="n">
        <v>0</v>
      </c>
      <c r="C1425" s="31" t="n">
        <v>0.3</v>
      </c>
      <c r="D1425" s="31" t="n">
        <v>0</v>
      </c>
      <c r="E1425" s="27" t="inlineStr">
        <is>
          <t>ON 70%/2M 30%</t>
        </is>
      </c>
      <c r="F1425" s="27" t="n">
        <v>100</v>
      </c>
      <c r="G1425" s="27">
        <f>A1425*$B$7&gt;=$B$9</f>
        <v/>
      </c>
      <c r="H1425" s="13">
        <f>$B$7*(A1425*E$71+B1425*F$71+C1425*G$71+D1425*H$71)+F1425/100*$B$7*J$71-$C$71</f>
        <v/>
      </c>
      <c r="I1425" s="13">
        <f>$B$7*(A1425*L$71+B1425*M$71+C1425*N$71+D1425*O$71)+F1425/100*$B$7*Q$71-$C$71</f>
        <v/>
      </c>
      <c r="J1425" s="13">
        <f>$B$7*(A1425*S$71+B1425*T$71+C1425*U$71+D1425*V$71)+F1425/100*$B$7*X$71-$C$71</f>
        <v/>
      </c>
      <c r="K1425" s="13">
        <f>$B$7*(A1425*Z$71+B1425*AA$71+C1425*AB$71+D1425*AC$71)+F1425/100*$B$7*AE$71-$C$71</f>
        <v/>
      </c>
      <c r="L1425" s="13">
        <f>$B$7*(A1425*AG$71+B1425*AH$71+C1425*AI$71+D1425*AJ$71)+F1425/100*$B$7*AL$71-$C$71</f>
        <v/>
      </c>
      <c r="M1425" s="13">
        <f>$B$7*(A1425*AN$71+B1425*AO$71+C1425*AP$71+D1425*AQ$71)+F1425/100*$B$7*AS$71-$C$71</f>
        <v/>
      </c>
      <c r="N1425" s="13">
        <f>SUMPRODUCT($H$24:$M$24,H1425:M1425)</f>
        <v/>
      </c>
      <c r="O1425" s="14">
        <f>SQRT(SUMPRODUCT($H$24:$M$24,(H1425:M1425-N1425)^2))</f>
        <v/>
      </c>
      <c r="P1425" s="13">
        <f>MIN(H1425:M1425)</f>
        <v/>
      </c>
      <c r="Q1425" s="13">
        <f>MAX(H1425:M1425)</f>
        <v/>
      </c>
      <c r="R1425" s="27">
        <f>IF(G1425,SUMPRODUCT(($G$76:$G$1505)*($N$76:$N$1505&gt;=N1425)*($O$76:$O$1505&lt;=O1425))=1,FALSE)</f>
        <v/>
      </c>
      <c r="S1425" s="16">
        <f>IF(R1425,ABS((O1425-$AC$76)/MAX(0.0001,$AC$77-$AC$76)-(N1425-$AC$78)/MAX(0.0001,$AC$79-$AC$78)),-1)</f>
        <v/>
      </c>
      <c r="T1425" s="14">
        <f>IF(G1425,O1425,NA())</f>
        <v/>
      </c>
      <c r="U1425" s="13">
        <f>IF(G1425,N1425,NA())</f>
        <v/>
      </c>
      <c r="V1425" s="14">
        <f>IF(R1425,O1425,NA())</f>
        <v/>
      </c>
      <c r="W1425" s="13">
        <f>IF(R1425,N1425,NA())</f>
        <v/>
      </c>
      <c r="X1425" s="27">
        <f>IF(G1425,P1425,"")</f>
        <v/>
      </c>
      <c r="Y1425" s="27">
        <f>IF(G1425,N1425,"")</f>
        <v/>
      </c>
      <c r="Z1425" s="27">
        <f>IF(R1425,O1425,"")</f>
        <v/>
      </c>
      <c r="AA1425" s="27">
        <f>IF(R1425,N1425,"")</f>
        <v/>
      </c>
    </row>
    <row r="1426">
      <c r="A1426" s="31" t="n">
        <v>0.7</v>
      </c>
      <c r="B1426" s="31" t="n">
        <v>0.1</v>
      </c>
      <c r="C1426" s="31" t="n">
        <v>0</v>
      </c>
      <c r="D1426" s="31" t="n">
        <v>0.2</v>
      </c>
      <c r="E1426" s="27" t="inlineStr">
        <is>
          <t>ON 70%/1M 10%/3M 20%</t>
        </is>
      </c>
      <c r="F1426" s="27" t="n">
        <v>0</v>
      </c>
      <c r="G1426" s="27">
        <f>A1426*$B$7&gt;=$B$9</f>
        <v/>
      </c>
      <c r="H1426" s="13">
        <f>$B$7*(A1426*E$71+B1426*F$71+C1426*G$71+D1426*H$71)+F1426/100*$B$7*J$71-$C$71</f>
        <v/>
      </c>
      <c r="I1426" s="13">
        <f>$B$7*(A1426*L$71+B1426*M$71+C1426*N$71+D1426*O$71)+F1426/100*$B$7*Q$71-$C$71</f>
        <v/>
      </c>
      <c r="J1426" s="13">
        <f>$B$7*(A1426*S$71+B1426*T$71+C1426*U$71+D1426*V$71)+F1426/100*$B$7*X$71-$C$71</f>
        <v/>
      </c>
      <c r="K1426" s="13">
        <f>$B$7*(A1426*Z$71+B1426*AA$71+C1426*AB$71+D1426*AC$71)+F1426/100*$B$7*AE$71-$C$71</f>
        <v/>
      </c>
      <c r="L1426" s="13">
        <f>$B$7*(A1426*AG$71+B1426*AH$71+C1426*AI$71+D1426*AJ$71)+F1426/100*$B$7*AL$71-$C$71</f>
        <v/>
      </c>
      <c r="M1426" s="13">
        <f>$B$7*(A1426*AN$71+B1426*AO$71+C1426*AP$71+D1426*AQ$71)+F1426/100*$B$7*AS$71-$C$71</f>
        <v/>
      </c>
      <c r="N1426" s="13">
        <f>SUMPRODUCT($H$24:$M$24,H1426:M1426)</f>
        <v/>
      </c>
      <c r="O1426" s="14">
        <f>SQRT(SUMPRODUCT($H$24:$M$24,(H1426:M1426-N1426)^2))</f>
        <v/>
      </c>
      <c r="P1426" s="13">
        <f>MIN(H1426:M1426)</f>
        <v/>
      </c>
      <c r="Q1426" s="13">
        <f>MAX(H1426:M1426)</f>
        <v/>
      </c>
      <c r="R1426" s="27">
        <f>IF(G1426,SUMPRODUCT(($G$76:$G$1505)*($N$76:$N$1505&gt;=N1426)*($O$76:$O$1505&lt;=O1426))=1,FALSE)</f>
        <v/>
      </c>
      <c r="S1426" s="16">
        <f>IF(R1426,ABS((O1426-$AC$76)/MAX(0.0001,$AC$77-$AC$76)-(N1426-$AC$78)/MAX(0.0001,$AC$79-$AC$78)),-1)</f>
        <v/>
      </c>
      <c r="T1426" s="14">
        <f>IF(G1426,O1426,NA())</f>
        <v/>
      </c>
      <c r="U1426" s="13">
        <f>IF(G1426,N1426,NA())</f>
        <v/>
      </c>
      <c r="V1426" s="14">
        <f>IF(R1426,O1426,NA())</f>
        <v/>
      </c>
      <c r="W1426" s="13">
        <f>IF(R1426,N1426,NA())</f>
        <v/>
      </c>
      <c r="X1426" s="27">
        <f>IF(G1426,P1426,"")</f>
        <v/>
      </c>
      <c r="Y1426" s="27">
        <f>IF(G1426,N1426,"")</f>
        <v/>
      </c>
      <c r="Z1426" s="27">
        <f>IF(R1426,O1426,"")</f>
        <v/>
      </c>
      <c r="AA1426" s="27">
        <f>IF(R1426,N1426,"")</f>
        <v/>
      </c>
    </row>
    <row r="1427">
      <c r="A1427" s="31" t="n">
        <v>0.7</v>
      </c>
      <c r="B1427" s="31" t="n">
        <v>0.1</v>
      </c>
      <c r="C1427" s="31" t="n">
        <v>0</v>
      </c>
      <c r="D1427" s="31" t="n">
        <v>0.2</v>
      </c>
      <c r="E1427" s="27" t="inlineStr">
        <is>
          <t>ON 70%/1M 10%/3M 20%</t>
        </is>
      </c>
      <c r="F1427" s="27" t="n">
        <v>25</v>
      </c>
      <c r="G1427" s="27">
        <f>A1427*$B$7&gt;=$B$9</f>
        <v/>
      </c>
      <c r="H1427" s="13">
        <f>$B$7*(A1427*E$71+B1427*F$71+C1427*G$71+D1427*H$71)+F1427/100*$B$7*J$71-$C$71</f>
        <v/>
      </c>
      <c r="I1427" s="13">
        <f>$B$7*(A1427*L$71+B1427*M$71+C1427*N$71+D1427*O$71)+F1427/100*$B$7*Q$71-$C$71</f>
        <v/>
      </c>
      <c r="J1427" s="13">
        <f>$B$7*(A1427*S$71+B1427*T$71+C1427*U$71+D1427*V$71)+F1427/100*$B$7*X$71-$C$71</f>
        <v/>
      </c>
      <c r="K1427" s="13">
        <f>$B$7*(A1427*Z$71+B1427*AA$71+C1427*AB$71+D1427*AC$71)+F1427/100*$B$7*AE$71-$C$71</f>
        <v/>
      </c>
      <c r="L1427" s="13">
        <f>$B$7*(A1427*AG$71+B1427*AH$71+C1427*AI$71+D1427*AJ$71)+F1427/100*$B$7*AL$71-$C$71</f>
        <v/>
      </c>
      <c r="M1427" s="13">
        <f>$B$7*(A1427*AN$71+B1427*AO$71+C1427*AP$71+D1427*AQ$71)+F1427/100*$B$7*AS$71-$C$71</f>
        <v/>
      </c>
      <c r="N1427" s="13">
        <f>SUMPRODUCT($H$24:$M$24,H1427:M1427)</f>
        <v/>
      </c>
      <c r="O1427" s="14">
        <f>SQRT(SUMPRODUCT($H$24:$M$24,(H1427:M1427-N1427)^2))</f>
        <v/>
      </c>
      <c r="P1427" s="13">
        <f>MIN(H1427:M1427)</f>
        <v/>
      </c>
      <c r="Q1427" s="13">
        <f>MAX(H1427:M1427)</f>
        <v/>
      </c>
      <c r="R1427" s="27">
        <f>IF(G1427,SUMPRODUCT(($G$76:$G$1505)*($N$76:$N$1505&gt;=N1427)*($O$76:$O$1505&lt;=O1427))=1,FALSE)</f>
        <v/>
      </c>
      <c r="S1427" s="16">
        <f>IF(R1427,ABS((O1427-$AC$76)/MAX(0.0001,$AC$77-$AC$76)-(N1427-$AC$78)/MAX(0.0001,$AC$79-$AC$78)),-1)</f>
        <v/>
      </c>
      <c r="T1427" s="14">
        <f>IF(G1427,O1427,NA())</f>
        <v/>
      </c>
      <c r="U1427" s="13">
        <f>IF(G1427,N1427,NA())</f>
        <v/>
      </c>
      <c r="V1427" s="14">
        <f>IF(R1427,O1427,NA())</f>
        <v/>
      </c>
      <c r="W1427" s="13">
        <f>IF(R1427,N1427,NA())</f>
        <v/>
      </c>
      <c r="X1427" s="27">
        <f>IF(G1427,P1427,"")</f>
        <v/>
      </c>
      <c r="Y1427" s="27">
        <f>IF(G1427,N1427,"")</f>
        <v/>
      </c>
      <c r="Z1427" s="27">
        <f>IF(R1427,O1427,"")</f>
        <v/>
      </c>
      <c r="AA1427" s="27">
        <f>IF(R1427,N1427,"")</f>
        <v/>
      </c>
    </row>
    <row r="1428">
      <c r="A1428" s="31" t="n">
        <v>0.7</v>
      </c>
      <c r="B1428" s="31" t="n">
        <v>0.1</v>
      </c>
      <c r="C1428" s="31" t="n">
        <v>0</v>
      </c>
      <c r="D1428" s="31" t="n">
        <v>0.2</v>
      </c>
      <c r="E1428" s="27" t="inlineStr">
        <is>
          <t>ON 70%/1M 10%/3M 20%</t>
        </is>
      </c>
      <c r="F1428" s="27" t="n">
        <v>50</v>
      </c>
      <c r="G1428" s="27">
        <f>A1428*$B$7&gt;=$B$9</f>
        <v/>
      </c>
      <c r="H1428" s="13">
        <f>$B$7*(A1428*E$71+B1428*F$71+C1428*G$71+D1428*H$71)+F1428/100*$B$7*J$71-$C$71</f>
        <v/>
      </c>
      <c r="I1428" s="13">
        <f>$B$7*(A1428*L$71+B1428*M$71+C1428*N$71+D1428*O$71)+F1428/100*$B$7*Q$71-$C$71</f>
        <v/>
      </c>
      <c r="J1428" s="13">
        <f>$B$7*(A1428*S$71+B1428*T$71+C1428*U$71+D1428*V$71)+F1428/100*$B$7*X$71-$C$71</f>
        <v/>
      </c>
      <c r="K1428" s="13">
        <f>$B$7*(A1428*Z$71+B1428*AA$71+C1428*AB$71+D1428*AC$71)+F1428/100*$B$7*AE$71-$C$71</f>
        <v/>
      </c>
      <c r="L1428" s="13">
        <f>$B$7*(A1428*AG$71+B1428*AH$71+C1428*AI$71+D1428*AJ$71)+F1428/100*$B$7*AL$71-$C$71</f>
        <v/>
      </c>
      <c r="M1428" s="13">
        <f>$B$7*(A1428*AN$71+B1428*AO$71+C1428*AP$71+D1428*AQ$71)+F1428/100*$B$7*AS$71-$C$71</f>
        <v/>
      </c>
      <c r="N1428" s="13">
        <f>SUMPRODUCT($H$24:$M$24,H1428:M1428)</f>
        <v/>
      </c>
      <c r="O1428" s="14">
        <f>SQRT(SUMPRODUCT($H$24:$M$24,(H1428:M1428-N1428)^2))</f>
        <v/>
      </c>
      <c r="P1428" s="13">
        <f>MIN(H1428:M1428)</f>
        <v/>
      </c>
      <c r="Q1428" s="13">
        <f>MAX(H1428:M1428)</f>
        <v/>
      </c>
      <c r="R1428" s="27">
        <f>IF(G1428,SUMPRODUCT(($G$76:$G$1505)*($N$76:$N$1505&gt;=N1428)*($O$76:$O$1505&lt;=O1428))=1,FALSE)</f>
        <v/>
      </c>
      <c r="S1428" s="16">
        <f>IF(R1428,ABS((O1428-$AC$76)/MAX(0.0001,$AC$77-$AC$76)-(N1428-$AC$78)/MAX(0.0001,$AC$79-$AC$78)),-1)</f>
        <v/>
      </c>
      <c r="T1428" s="14">
        <f>IF(G1428,O1428,NA())</f>
        <v/>
      </c>
      <c r="U1428" s="13">
        <f>IF(G1428,N1428,NA())</f>
        <v/>
      </c>
      <c r="V1428" s="14">
        <f>IF(R1428,O1428,NA())</f>
        <v/>
      </c>
      <c r="W1428" s="13">
        <f>IF(R1428,N1428,NA())</f>
        <v/>
      </c>
      <c r="X1428" s="27">
        <f>IF(G1428,P1428,"")</f>
        <v/>
      </c>
      <c r="Y1428" s="27">
        <f>IF(G1428,N1428,"")</f>
        <v/>
      </c>
      <c r="Z1428" s="27">
        <f>IF(R1428,O1428,"")</f>
        <v/>
      </c>
      <c r="AA1428" s="27">
        <f>IF(R1428,N1428,"")</f>
        <v/>
      </c>
    </row>
    <row r="1429">
      <c r="A1429" s="31" t="n">
        <v>0.7</v>
      </c>
      <c r="B1429" s="31" t="n">
        <v>0.1</v>
      </c>
      <c r="C1429" s="31" t="n">
        <v>0</v>
      </c>
      <c r="D1429" s="31" t="n">
        <v>0.2</v>
      </c>
      <c r="E1429" s="27" t="inlineStr">
        <is>
          <t>ON 70%/1M 10%/3M 20%</t>
        </is>
      </c>
      <c r="F1429" s="27" t="n">
        <v>75</v>
      </c>
      <c r="G1429" s="27">
        <f>A1429*$B$7&gt;=$B$9</f>
        <v/>
      </c>
      <c r="H1429" s="13">
        <f>$B$7*(A1429*E$71+B1429*F$71+C1429*G$71+D1429*H$71)+F1429/100*$B$7*J$71-$C$71</f>
        <v/>
      </c>
      <c r="I1429" s="13">
        <f>$B$7*(A1429*L$71+B1429*M$71+C1429*N$71+D1429*O$71)+F1429/100*$B$7*Q$71-$C$71</f>
        <v/>
      </c>
      <c r="J1429" s="13">
        <f>$B$7*(A1429*S$71+B1429*T$71+C1429*U$71+D1429*V$71)+F1429/100*$B$7*X$71-$C$71</f>
        <v/>
      </c>
      <c r="K1429" s="13">
        <f>$B$7*(A1429*Z$71+B1429*AA$71+C1429*AB$71+D1429*AC$71)+F1429/100*$B$7*AE$71-$C$71</f>
        <v/>
      </c>
      <c r="L1429" s="13">
        <f>$B$7*(A1429*AG$71+B1429*AH$71+C1429*AI$71+D1429*AJ$71)+F1429/100*$B$7*AL$71-$C$71</f>
        <v/>
      </c>
      <c r="M1429" s="13">
        <f>$B$7*(A1429*AN$71+B1429*AO$71+C1429*AP$71+D1429*AQ$71)+F1429/100*$B$7*AS$71-$C$71</f>
        <v/>
      </c>
      <c r="N1429" s="13">
        <f>SUMPRODUCT($H$24:$M$24,H1429:M1429)</f>
        <v/>
      </c>
      <c r="O1429" s="14">
        <f>SQRT(SUMPRODUCT($H$24:$M$24,(H1429:M1429-N1429)^2))</f>
        <v/>
      </c>
      <c r="P1429" s="13">
        <f>MIN(H1429:M1429)</f>
        <v/>
      </c>
      <c r="Q1429" s="13">
        <f>MAX(H1429:M1429)</f>
        <v/>
      </c>
      <c r="R1429" s="27">
        <f>IF(G1429,SUMPRODUCT(($G$76:$G$1505)*($N$76:$N$1505&gt;=N1429)*($O$76:$O$1505&lt;=O1429))=1,FALSE)</f>
        <v/>
      </c>
      <c r="S1429" s="16">
        <f>IF(R1429,ABS((O1429-$AC$76)/MAX(0.0001,$AC$77-$AC$76)-(N1429-$AC$78)/MAX(0.0001,$AC$79-$AC$78)),-1)</f>
        <v/>
      </c>
      <c r="T1429" s="14">
        <f>IF(G1429,O1429,NA())</f>
        <v/>
      </c>
      <c r="U1429" s="13">
        <f>IF(G1429,N1429,NA())</f>
        <v/>
      </c>
      <c r="V1429" s="14">
        <f>IF(R1429,O1429,NA())</f>
        <v/>
      </c>
      <c r="W1429" s="13">
        <f>IF(R1429,N1429,NA())</f>
        <v/>
      </c>
      <c r="X1429" s="27">
        <f>IF(G1429,P1429,"")</f>
        <v/>
      </c>
      <c r="Y1429" s="27">
        <f>IF(G1429,N1429,"")</f>
        <v/>
      </c>
      <c r="Z1429" s="27">
        <f>IF(R1429,O1429,"")</f>
        <v/>
      </c>
      <c r="AA1429" s="27">
        <f>IF(R1429,N1429,"")</f>
        <v/>
      </c>
    </row>
    <row r="1430">
      <c r="A1430" s="31" t="n">
        <v>0.7</v>
      </c>
      <c r="B1430" s="31" t="n">
        <v>0.1</v>
      </c>
      <c r="C1430" s="31" t="n">
        <v>0</v>
      </c>
      <c r="D1430" s="31" t="n">
        <v>0.2</v>
      </c>
      <c r="E1430" s="27" t="inlineStr">
        <is>
          <t>ON 70%/1M 10%/3M 20%</t>
        </is>
      </c>
      <c r="F1430" s="27" t="n">
        <v>100</v>
      </c>
      <c r="G1430" s="27">
        <f>A1430*$B$7&gt;=$B$9</f>
        <v/>
      </c>
      <c r="H1430" s="13">
        <f>$B$7*(A1430*E$71+B1430*F$71+C1430*G$71+D1430*H$71)+F1430/100*$B$7*J$71-$C$71</f>
        <v/>
      </c>
      <c r="I1430" s="13">
        <f>$B$7*(A1430*L$71+B1430*M$71+C1430*N$71+D1430*O$71)+F1430/100*$B$7*Q$71-$C$71</f>
        <v/>
      </c>
      <c r="J1430" s="13">
        <f>$B$7*(A1430*S$71+B1430*T$71+C1430*U$71+D1430*V$71)+F1430/100*$B$7*X$71-$C$71</f>
        <v/>
      </c>
      <c r="K1430" s="13">
        <f>$B$7*(A1430*Z$71+B1430*AA$71+C1430*AB$71+D1430*AC$71)+F1430/100*$B$7*AE$71-$C$71</f>
        <v/>
      </c>
      <c r="L1430" s="13">
        <f>$B$7*(A1430*AG$71+B1430*AH$71+C1430*AI$71+D1430*AJ$71)+F1430/100*$B$7*AL$71-$C$71</f>
        <v/>
      </c>
      <c r="M1430" s="13">
        <f>$B$7*(A1430*AN$71+B1430*AO$71+C1430*AP$71+D1430*AQ$71)+F1430/100*$B$7*AS$71-$C$71</f>
        <v/>
      </c>
      <c r="N1430" s="13">
        <f>SUMPRODUCT($H$24:$M$24,H1430:M1430)</f>
        <v/>
      </c>
      <c r="O1430" s="14">
        <f>SQRT(SUMPRODUCT($H$24:$M$24,(H1430:M1430-N1430)^2))</f>
        <v/>
      </c>
      <c r="P1430" s="13">
        <f>MIN(H1430:M1430)</f>
        <v/>
      </c>
      <c r="Q1430" s="13">
        <f>MAX(H1430:M1430)</f>
        <v/>
      </c>
      <c r="R1430" s="27">
        <f>IF(G1430,SUMPRODUCT(($G$76:$G$1505)*($N$76:$N$1505&gt;=N1430)*($O$76:$O$1505&lt;=O1430))=1,FALSE)</f>
        <v/>
      </c>
      <c r="S1430" s="16">
        <f>IF(R1430,ABS((O1430-$AC$76)/MAX(0.0001,$AC$77-$AC$76)-(N1430-$AC$78)/MAX(0.0001,$AC$79-$AC$78)),-1)</f>
        <v/>
      </c>
      <c r="T1430" s="14">
        <f>IF(G1430,O1430,NA())</f>
        <v/>
      </c>
      <c r="U1430" s="13">
        <f>IF(G1430,N1430,NA())</f>
        <v/>
      </c>
      <c r="V1430" s="14">
        <f>IF(R1430,O1430,NA())</f>
        <v/>
      </c>
      <c r="W1430" s="13">
        <f>IF(R1430,N1430,NA())</f>
        <v/>
      </c>
      <c r="X1430" s="27">
        <f>IF(G1430,P1430,"")</f>
        <v/>
      </c>
      <c r="Y1430" s="27">
        <f>IF(G1430,N1430,"")</f>
        <v/>
      </c>
      <c r="Z1430" s="27">
        <f>IF(R1430,O1430,"")</f>
        <v/>
      </c>
      <c r="AA1430" s="27">
        <f>IF(R1430,N1430,"")</f>
        <v/>
      </c>
    </row>
    <row r="1431">
      <c r="A1431" s="31" t="n">
        <v>0.7</v>
      </c>
      <c r="B1431" s="31" t="n">
        <v>0.1</v>
      </c>
      <c r="C1431" s="31" t="n">
        <v>0.1</v>
      </c>
      <c r="D1431" s="31" t="n">
        <v>0.1</v>
      </c>
      <c r="E1431" s="27" t="inlineStr">
        <is>
          <t>ON 70%/1M 10%/2M 10%/3M 10%</t>
        </is>
      </c>
      <c r="F1431" s="27" t="n">
        <v>0</v>
      </c>
      <c r="G1431" s="27">
        <f>A1431*$B$7&gt;=$B$9</f>
        <v/>
      </c>
      <c r="H1431" s="13">
        <f>$B$7*(A1431*E$71+B1431*F$71+C1431*G$71+D1431*H$71)+F1431/100*$B$7*J$71-$C$71</f>
        <v/>
      </c>
      <c r="I1431" s="13">
        <f>$B$7*(A1431*L$71+B1431*M$71+C1431*N$71+D1431*O$71)+F1431/100*$B$7*Q$71-$C$71</f>
        <v/>
      </c>
      <c r="J1431" s="13">
        <f>$B$7*(A1431*S$71+B1431*T$71+C1431*U$71+D1431*V$71)+F1431/100*$B$7*X$71-$C$71</f>
        <v/>
      </c>
      <c r="K1431" s="13">
        <f>$B$7*(A1431*Z$71+B1431*AA$71+C1431*AB$71+D1431*AC$71)+F1431/100*$B$7*AE$71-$C$71</f>
        <v/>
      </c>
      <c r="L1431" s="13">
        <f>$B$7*(A1431*AG$71+B1431*AH$71+C1431*AI$71+D1431*AJ$71)+F1431/100*$B$7*AL$71-$C$71</f>
        <v/>
      </c>
      <c r="M1431" s="13">
        <f>$B$7*(A1431*AN$71+B1431*AO$71+C1431*AP$71+D1431*AQ$71)+F1431/100*$B$7*AS$71-$C$71</f>
        <v/>
      </c>
      <c r="N1431" s="13">
        <f>SUMPRODUCT($H$24:$M$24,H1431:M1431)</f>
        <v/>
      </c>
      <c r="O1431" s="14">
        <f>SQRT(SUMPRODUCT($H$24:$M$24,(H1431:M1431-N1431)^2))</f>
        <v/>
      </c>
      <c r="P1431" s="13">
        <f>MIN(H1431:M1431)</f>
        <v/>
      </c>
      <c r="Q1431" s="13">
        <f>MAX(H1431:M1431)</f>
        <v/>
      </c>
      <c r="R1431" s="27">
        <f>IF(G1431,SUMPRODUCT(($G$76:$G$1505)*($N$76:$N$1505&gt;=N1431)*($O$76:$O$1505&lt;=O1431))=1,FALSE)</f>
        <v/>
      </c>
      <c r="S1431" s="16">
        <f>IF(R1431,ABS((O1431-$AC$76)/MAX(0.0001,$AC$77-$AC$76)-(N1431-$AC$78)/MAX(0.0001,$AC$79-$AC$78)),-1)</f>
        <v/>
      </c>
      <c r="T1431" s="14">
        <f>IF(G1431,O1431,NA())</f>
        <v/>
      </c>
      <c r="U1431" s="13">
        <f>IF(G1431,N1431,NA())</f>
        <v/>
      </c>
      <c r="V1431" s="14">
        <f>IF(R1431,O1431,NA())</f>
        <v/>
      </c>
      <c r="W1431" s="13">
        <f>IF(R1431,N1431,NA())</f>
        <v/>
      </c>
      <c r="X1431" s="27">
        <f>IF(G1431,P1431,"")</f>
        <v/>
      </c>
      <c r="Y1431" s="27">
        <f>IF(G1431,N1431,"")</f>
        <v/>
      </c>
      <c r="Z1431" s="27">
        <f>IF(R1431,O1431,"")</f>
        <v/>
      </c>
      <c r="AA1431" s="27">
        <f>IF(R1431,N1431,"")</f>
        <v/>
      </c>
    </row>
    <row r="1432">
      <c r="A1432" s="31" t="n">
        <v>0.7</v>
      </c>
      <c r="B1432" s="31" t="n">
        <v>0.1</v>
      </c>
      <c r="C1432" s="31" t="n">
        <v>0.1</v>
      </c>
      <c r="D1432" s="31" t="n">
        <v>0.1</v>
      </c>
      <c r="E1432" s="27" t="inlineStr">
        <is>
          <t>ON 70%/1M 10%/2M 10%/3M 10%</t>
        </is>
      </c>
      <c r="F1432" s="27" t="n">
        <v>25</v>
      </c>
      <c r="G1432" s="27">
        <f>A1432*$B$7&gt;=$B$9</f>
        <v/>
      </c>
      <c r="H1432" s="13">
        <f>$B$7*(A1432*E$71+B1432*F$71+C1432*G$71+D1432*H$71)+F1432/100*$B$7*J$71-$C$71</f>
        <v/>
      </c>
      <c r="I1432" s="13">
        <f>$B$7*(A1432*L$71+B1432*M$71+C1432*N$71+D1432*O$71)+F1432/100*$B$7*Q$71-$C$71</f>
        <v/>
      </c>
      <c r="J1432" s="13">
        <f>$B$7*(A1432*S$71+B1432*T$71+C1432*U$71+D1432*V$71)+F1432/100*$B$7*X$71-$C$71</f>
        <v/>
      </c>
      <c r="K1432" s="13">
        <f>$B$7*(A1432*Z$71+B1432*AA$71+C1432*AB$71+D1432*AC$71)+F1432/100*$B$7*AE$71-$C$71</f>
        <v/>
      </c>
      <c r="L1432" s="13">
        <f>$B$7*(A1432*AG$71+B1432*AH$71+C1432*AI$71+D1432*AJ$71)+F1432/100*$B$7*AL$71-$C$71</f>
        <v/>
      </c>
      <c r="M1432" s="13">
        <f>$B$7*(A1432*AN$71+B1432*AO$71+C1432*AP$71+D1432*AQ$71)+F1432/100*$B$7*AS$71-$C$71</f>
        <v/>
      </c>
      <c r="N1432" s="13">
        <f>SUMPRODUCT($H$24:$M$24,H1432:M1432)</f>
        <v/>
      </c>
      <c r="O1432" s="14">
        <f>SQRT(SUMPRODUCT($H$24:$M$24,(H1432:M1432-N1432)^2))</f>
        <v/>
      </c>
      <c r="P1432" s="13">
        <f>MIN(H1432:M1432)</f>
        <v/>
      </c>
      <c r="Q1432" s="13">
        <f>MAX(H1432:M1432)</f>
        <v/>
      </c>
      <c r="R1432" s="27">
        <f>IF(G1432,SUMPRODUCT(($G$76:$G$1505)*($N$76:$N$1505&gt;=N1432)*($O$76:$O$1505&lt;=O1432))=1,FALSE)</f>
        <v/>
      </c>
      <c r="S1432" s="16">
        <f>IF(R1432,ABS((O1432-$AC$76)/MAX(0.0001,$AC$77-$AC$76)-(N1432-$AC$78)/MAX(0.0001,$AC$79-$AC$78)),-1)</f>
        <v/>
      </c>
      <c r="T1432" s="14">
        <f>IF(G1432,O1432,NA())</f>
        <v/>
      </c>
      <c r="U1432" s="13">
        <f>IF(G1432,N1432,NA())</f>
        <v/>
      </c>
      <c r="V1432" s="14">
        <f>IF(R1432,O1432,NA())</f>
        <v/>
      </c>
      <c r="W1432" s="13">
        <f>IF(R1432,N1432,NA())</f>
        <v/>
      </c>
      <c r="X1432" s="27">
        <f>IF(G1432,P1432,"")</f>
        <v/>
      </c>
      <c r="Y1432" s="27">
        <f>IF(G1432,N1432,"")</f>
        <v/>
      </c>
      <c r="Z1432" s="27">
        <f>IF(R1432,O1432,"")</f>
        <v/>
      </c>
      <c r="AA1432" s="27">
        <f>IF(R1432,N1432,"")</f>
        <v/>
      </c>
    </row>
    <row r="1433">
      <c r="A1433" s="31" t="n">
        <v>0.7</v>
      </c>
      <c r="B1433" s="31" t="n">
        <v>0.1</v>
      </c>
      <c r="C1433" s="31" t="n">
        <v>0.1</v>
      </c>
      <c r="D1433" s="31" t="n">
        <v>0.1</v>
      </c>
      <c r="E1433" s="27" t="inlineStr">
        <is>
          <t>ON 70%/1M 10%/2M 10%/3M 10%</t>
        </is>
      </c>
      <c r="F1433" s="27" t="n">
        <v>50</v>
      </c>
      <c r="G1433" s="27">
        <f>A1433*$B$7&gt;=$B$9</f>
        <v/>
      </c>
      <c r="H1433" s="13">
        <f>$B$7*(A1433*E$71+B1433*F$71+C1433*G$71+D1433*H$71)+F1433/100*$B$7*J$71-$C$71</f>
        <v/>
      </c>
      <c r="I1433" s="13">
        <f>$B$7*(A1433*L$71+B1433*M$71+C1433*N$71+D1433*O$71)+F1433/100*$B$7*Q$71-$C$71</f>
        <v/>
      </c>
      <c r="J1433" s="13">
        <f>$B$7*(A1433*S$71+B1433*T$71+C1433*U$71+D1433*V$71)+F1433/100*$B$7*X$71-$C$71</f>
        <v/>
      </c>
      <c r="K1433" s="13">
        <f>$B$7*(A1433*Z$71+B1433*AA$71+C1433*AB$71+D1433*AC$71)+F1433/100*$B$7*AE$71-$C$71</f>
        <v/>
      </c>
      <c r="L1433" s="13">
        <f>$B$7*(A1433*AG$71+B1433*AH$71+C1433*AI$71+D1433*AJ$71)+F1433/100*$B$7*AL$71-$C$71</f>
        <v/>
      </c>
      <c r="M1433" s="13">
        <f>$B$7*(A1433*AN$71+B1433*AO$71+C1433*AP$71+D1433*AQ$71)+F1433/100*$B$7*AS$71-$C$71</f>
        <v/>
      </c>
      <c r="N1433" s="13">
        <f>SUMPRODUCT($H$24:$M$24,H1433:M1433)</f>
        <v/>
      </c>
      <c r="O1433" s="14">
        <f>SQRT(SUMPRODUCT($H$24:$M$24,(H1433:M1433-N1433)^2))</f>
        <v/>
      </c>
      <c r="P1433" s="13">
        <f>MIN(H1433:M1433)</f>
        <v/>
      </c>
      <c r="Q1433" s="13">
        <f>MAX(H1433:M1433)</f>
        <v/>
      </c>
      <c r="R1433" s="27">
        <f>IF(G1433,SUMPRODUCT(($G$76:$G$1505)*($N$76:$N$1505&gt;=N1433)*($O$76:$O$1505&lt;=O1433))=1,FALSE)</f>
        <v/>
      </c>
      <c r="S1433" s="16">
        <f>IF(R1433,ABS((O1433-$AC$76)/MAX(0.0001,$AC$77-$AC$76)-(N1433-$AC$78)/MAX(0.0001,$AC$79-$AC$78)),-1)</f>
        <v/>
      </c>
      <c r="T1433" s="14">
        <f>IF(G1433,O1433,NA())</f>
        <v/>
      </c>
      <c r="U1433" s="13">
        <f>IF(G1433,N1433,NA())</f>
        <v/>
      </c>
      <c r="V1433" s="14">
        <f>IF(R1433,O1433,NA())</f>
        <v/>
      </c>
      <c r="W1433" s="13">
        <f>IF(R1433,N1433,NA())</f>
        <v/>
      </c>
      <c r="X1433" s="27">
        <f>IF(G1433,P1433,"")</f>
        <v/>
      </c>
      <c r="Y1433" s="27">
        <f>IF(G1433,N1433,"")</f>
        <v/>
      </c>
      <c r="Z1433" s="27">
        <f>IF(R1433,O1433,"")</f>
        <v/>
      </c>
      <c r="AA1433" s="27">
        <f>IF(R1433,N1433,"")</f>
        <v/>
      </c>
    </row>
    <row r="1434">
      <c r="A1434" s="31" t="n">
        <v>0.7</v>
      </c>
      <c r="B1434" s="31" t="n">
        <v>0.1</v>
      </c>
      <c r="C1434" s="31" t="n">
        <v>0.1</v>
      </c>
      <c r="D1434" s="31" t="n">
        <v>0.1</v>
      </c>
      <c r="E1434" s="27" t="inlineStr">
        <is>
          <t>ON 70%/1M 10%/2M 10%/3M 10%</t>
        </is>
      </c>
      <c r="F1434" s="27" t="n">
        <v>75</v>
      </c>
      <c r="G1434" s="27">
        <f>A1434*$B$7&gt;=$B$9</f>
        <v/>
      </c>
      <c r="H1434" s="13">
        <f>$B$7*(A1434*E$71+B1434*F$71+C1434*G$71+D1434*H$71)+F1434/100*$B$7*J$71-$C$71</f>
        <v/>
      </c>
      <c r="I1434" s="13">
        <f>$B$7*(A1434*L$71+B1434*M$71+C1434*N$71+D1434*O$71)+F1434/100*$B$7*Q$71-$C$71</f>
        <v/>
      </c>
      <c r="J1434" s="13">
        <f>$B$7*(A1434*S$71+B1434*T$71+C1434*U$71+D1434*V$71)+F1434/100*$B$7*X$71-$C$71</f>
        <v/>
      </c>
      <c r="K1434" s="13">
        <f>$B$7*(A1434*Z$71+B1434*AA$71+C1434*AB$71+D1434*AC$71)+F1434/100*$B$7*AE$71-$C$71</f>
        <v/>
      </c>
      <c r="L1434" s="13">
        <f>$B$7*(A1434*AG$71+B1434*AH$71+C1434*AI$71+D1434*AJ$71)+F1434/100*$B$7*AL$71-$C$71</f>
        <v/>
      </c>
      <c r="M1434" s="13">
        <f>$B$7*(A1434*AN$71+B1434*AO$71+C1434*AP$71+D1434*AQ$71)+F1434/100*$B$7*AS$71-$C$71</f>
        <v/>
      </c>
      <c r="N1434" s="13">
        <f>SUMPRODUCT($H$24:$M$24,H1434:M1434)</f>
        <v/>
      </c>
      <c r="O1434" s="14">
        <f>SQRT(SUMPRODUCT($H$24:$M$24,(H1434:M1434-N1434)^2))</f>
        <v/>
      </c>
      <c r="P1434" s="13">
        <f>MIN(H1434:M1434)</f>
        <v/>
      </c>
      <c r="Q1434" s="13">
        <f>MAX(H1434:M1434)</f>
        <v/>
      </c>
      <c r="R1434" s="27">
        <f>IF(G1434,SUMPRODUCT(($G$76:$G$1505)*($N$76:$N$1505&gt;=N1434)*($O$76:$O$1505&lt;=O1434))=1,FALSE)</f>
        <v/>
      </c>
      <c r="S1434" s="16">
        <f>IF(R1434,ABS((O1434-$AC$76)/MAX(0.0001,$AC$77-$AC$76)-(N1434-$AC$78)/MAX(0.0001,$AC$79-$AC$78)),-1)</f>
        <v/>
      </c>
      <c r="T1434" s="14">
        <f>IF(G1434,O1434,NA())</f>
        <v/>
      </c>
      <c r="U1434" s="13">
        <f>IF(G1434,N1434,NA())</f>
        <v/>
      </c>
      <c r="V1434" s="14">
        <f>IF(R1434,O1434,NA())</f>
        <v/>
      </c>
      <c r="W1434" s="13">
        <f>IF(R1434,N1434,NA())</f>
        <v/>
      </c>
      <c r="X1434" s="27">
        <f>IF(G1434,P1434,"")</f>
        <v/>
      </c>
      <c r="Y1434" s="27">
        <f>IF(G1434,N1434,"")</f>
        <v/>
      </c>
      <c r="Z1434" s="27">
        <f>IF(R1434,O1434,"")</f>
        <v/>
      </c>
      <c r="AA1434" s="27">
        <f>IF(R1434,N1434,"")</f>
        <v/>
      </c>
    </row>
    <row r="1435">
      <c r="A1435" s="31" t="n">
        <v>0.7</v>
      </c>
      <c r="B1435" s="31" t="n">
        <v>0.1</v>
      </c>
      <c r="C1435" s="31" t="n">
        <v>0.1</v>
      </c>
      <c r="D1435" s="31" t="n">
        <v>0.1</v>
      </c>
      <c r="E1435" s="27" t="inlineStr">
        <is>
          <t>ON 70%/1M 10%/2M 10%/3M 10%</t>
        </is>
      </c>
      <c r="F1435" s="27" t="n">
        <v>100</v>
      </c>
      <c r="G1435" s="27">
        <f>A1435*$B$7&gt;=$B$9</f>
        <v/>
      </c>
      <c r="H1435" s="13">
        <f>$B$7*(A1435*E$71+B1435*F$71+C1435*G$71+D1435*H$71)+F1435/100*$B$7*J$71-$C$71</f>
        <v/>
      </c>
      <c r="I1435" s="13">
        <f>$B$7*(A1435*L$71+B1435*M$71+C1435*N$71+D1435*O$71)+F1435/100*$B$7*Q$71-$C$71</f>
        <v/>
      </c>
      <c r="J1435" s="13">
        <f>$B$7*(A1435*S$71+B1435*T$71+C1435*U$71+D1435*V$71)+F1435/100*$B$7*X$71-$C$71</f>
        <v/>
      </c>
      <c r="K1435" s="13">
        <f>$B$7*(A1435*Z$71+B1435*AA$71+C1435*AB$71+D1435*AC$71)+F1435/100*$B$7*AE$71-$C$71</f>
        <v/>
      </c>
      <c r="L1435" s="13">
        <f>$B$7*(A1435*AG$71+B1435*AH$71+C1435*AI$71+D1435*AJ$71)+F1435/100*$B$7*AL$71-$C$71</f>
        <v/>
      </c>
      <c r="M1435" s="13">
        <f>$B$7*(A1435*AN$71+B1435*AO$71+C1435*AP$71+D1435*AQ$71)+F1435/100*$B$7*AS$71-$C$71</f>
        <v/>
      </c>
      <c r="N1435" s="13">
        <f>SUMPRODUCT($H$24:$M$24,H1435:M1435)</f>
        <v/>
      </c>
      <c r="O1435" s="14">
        <f>SQRT(SUMPRODUCT($H$24:$M$24,(H1435:M1435-N1435)^2))</f>
        <v/>
      </c>
      <c r="P1435" s="13">
        <f>MIN(H1435:M1435)</f>
        <v/>
      </c>
      <c r="Q1435" s="13">
        <f>MAX(H1435:M1435)</f>
        <v/>
      </c>
      <c r="R1435" s="27">
        <f>IF(G1435,SUMPRODUCT(($G$76:$G$1505)*($N$76:$N$1505&gt;=N1435)*($O$76:$O$1505&lt;=O1435))=1,FALSE)</f>
        <v/>
      </c>
      <c r="S1435" s="16">
        <f>IF(R1435,ABS((O1435-$AC$76)/MAX(0.0001,$AC$77-$AC$76)-(N1435-$AC$78)/MAX(0.0001,$AC$79-$AC$78)),-1)</f>
        <v/>
      </c>
      <c r="T1435" s="14">
        <f>IF(G1435,O1435,NA())</f>
        <v/>
      </c>
      <c r="U1435" s="13">
        <f>IF(G1435,N1435,NA())</f>
        <v/>
      </c>
      <c r="V1435" s="14">
        <f>IF(R1435,O1435,NA())</f>
        <v/>
      </c>
      <c r="W1435" s="13">
        <f>IF(R1435,N1435,NA())</f>
        <v/>
      </c>
      <c r="X1435" s="27">
        <f>IF(G1435,P1435,"")</f>
        <v/>
      </c>
      <c r="Y1435" s="27">
        <f>IF(G1435,N1435,"")</f>
        <v/>
      </c>
      <c r="Z1435" s="27">
        <f>IF(R1435,O1435,"")</f>
        <v/>
      </c>
      <c r="AA1435" s="27">
        <f>IF(R1435,N1435,"")</f>
        <v/>
      </c>
    </row>
    <row r="1436">
      <c r="A1436" s="31" t="n">
        <v>0.7</v>
      </c>
      <c r="B1436" s="31" t="n">
        <v>0.1</v>
      </c>
      <c r="C1436" s="31" t="n">
        <v>0.2</v>
      </c>
      <c r="D1436" s="31" t="n">
        <v>0</v>
      </c>
      <c r="E1436" s="27" t="inlineStr">
        <is>
          <t>ON 70%/1M 10%/2M 20%</t>
        </is>
      </c>
      <c r="F1436" s="27" t="n">
        <v>0</v>
      </c>
      <c r="G1436" s="27">
        <f>A1436*$B$7&gt;=$B$9</f>
        <v/>
      </c>
      <c r="H1436" s="13">
        <f>$B$7*(A1436*E$71+B1436*F$71+C1436*G$71+D1436*H$71)+F1436/100*$B$7*J$71-$C$71</f>
        <v/>
      </c>
      <c r="I1436" s="13">
        <f>$B$7*(A1436*L$71+B1436*M$71+C1436*N$71+D1436*O$71)+F1436/100*$B$7*Q$71-$C$71</f>
        <v/>
      </c>
      <c r="J1436" s="13">
        <f>$B$7*(A1436*S$71+B1436*T$71+C1436*U$71+D1436*V$71)+F1436/100*$B$7*X$71-$C$71</f>
        <v/>
      </c>
      <c r="K1436" s="13">
        <f>$B$7*(A1436*Z$71+B1436*AA$71+C1436*AB$71+D1436*AC$71)+F1436/100*$B$7*AE$71-$C$71</f>
        <v/>
      </c>
      <c r="L1436" s="13">
        <f>$B$7*(A1436*AG$71+B1436*AH$71+C1436*AI$71+D1436*AJ$71)+F1436/100*$B$7*AL$71-$C$71</f>
        <v/>
      </c>
      <c r="M1436" s="13">
        <f>$B$7*(A1436*AN$71+B1436*AO$71+C1436*AP$71+D1436*AQ$71)+F1436/100*$B$7*AS$71-$C$71</f>
        <v/>
      </c>
      <c r="N1436" s="13">
        <f>SUMPRODUCT($H$24:$M$24,H1436:M1436)</f>
        <v/>
      </c>
      <c r="O1436" s="14">
        <f>SQRT(SUMPRODUCT($H$24:$M$24,(H1436:M1436-N1436)^2))</f>
        <v/>
      </c>
      <c r="P1436" s="13">
        <f>MIN(H1436:M1436)</f>
        <v/>
      </c>
      <c r="Q1436" s="13">
        <f>MAX(H1436:M1436)</f>
        <v/>
      </c>
      <c r="R1436" s="27">
        <f>IF(G1436,SUMPRODUCT(($G$76:$G$1505)*($N$76:$N$1505&gt;=N1436)*($O$76:$O$1505&lt;=O1436))=1,FALSE)</f>
        <v/>
      </c>
      <c r="S1436" s="16">
        <f>IF(R1436,ABS((O1436-$AC$76)/MAX(0.0001,$AC$77-$AC$76)-(N1436-$AC$78)/MAX(0.0001,$AC$79-$AC$78)),-1)</f>
        <v/>
      </c>
      <c r="T1436" s="14">
        <f>IF(G1436,O1436,NA())</f>
        <v/>
      </c>
      <c r="U1436" s="13">
        <f>IF(G1436,N1436,NA())</f>
        <v/>
      </c>
      <c r="V1436" s="14">
        <f>IF(R1436,O1436,NA())</f>
        <v/>
      </c>
      <c r="W1436" s="13">
        <f>IF(R1436,N1436,NA())</f>
        <v/>
      </c>
      <c r="X1436" s="27">
        <f>IF(G1436,P1436,"")</f>
        <v/>
      </c>
      <c r="Y1436" s="27">
        <f>IF(G1436,N1436,"")</f>
        <v/>
      </c>
      <c r="Z1436" s="27">
        <f>IF(R1436,O1436,"")</f>
        <v/>
      </c>
      <c r="AA1436" s="27">
        <f>IF(R1436,N1436,"")</f>
        <v/>
      </c>
    </row>
    <row r="1437">
      <c r="A1437" s="31" t="n">
        <v>0.7</v>
      </c>
      <c r="B1437" s="31" t="n">
        <v>0.1</v>
      </c>
      <c r="C1437" s="31" t="n">
        <v>0.2</v>
      </c>
      <c r="D1437" s="31" t="n">
        <v>0</v>
      </c>
      <c r="E1437" s="27" t="inlineStr">
        <is>
          <t>ON 70%/1M 10%/2M 20%</t>
        </is>
      </c>
      <c r="F1437" s="27" t="n">
        <v>25</v>
      </c>
      <c r="G1437" s="27">
        <f>A1437*$B$7&gt;=$B$9</f>
        <v/>
      </c>
      <c r="H1437" s="13">
        <f>$B$7*(A1437*E$71+B1437*F$71+C1437*G$71+D1437*H$71)+F1437/100*$B$7*J$71-$C$71</f>
        <v/>
      </c>
      <c r="I1437" s="13">
        <f>$B$7*(A1437*L$71+B1437*M$71+C1437*N$71+D1437*O$71)+F1437/100*$B$7*Q$71-$C$71</f>
        <v/>
      </c>
      <c r="J1437" s="13">
        <f>$B$7*(A1437*S$71+B1437*T$71+C1437*U$71+D1437*V$71)+F1437/100*$B$7*X$71-$C$71</f>
        <v/>
      </c>
      <c r="K1437" s="13">
        <f>$B$7*(A1437*Z$71+B1437*AA$71+C1437*AB$71+D1437*AC$71)+F1437/100*$B$7*AE$71-$C$71</f>
        <v/>
      </c>
      <c r="L1437" s="13">
        <f>$B$7*(A1437*AG$71+B1437*AH$71+C1437*AI$71+D1437*AJ$71)+F1437/100*$B$7*AL$71-$C$71</f>
        <v/>
      </c>
      <c r="M1437" s="13">
        <f>$B$7*(A1437*AN$71+B1437*AO$71+C1437*AP$71+D1437*AQ$71)+F1437/100*$B$7*AS$71-$C$71</f>
        <v/>
      </c>
      <c r="N1437" s="13">
        <f>SUMPRODUCT($H$24:$M$24,H1437:M1437)</f>
        <v/>
      </c>
      <c r="O1437" s="14">
        <f>SQRT(SUMPRODUCT($H$24:$M$24,(H1437:M1437-N1437)^2))</f>
        <v/>
      </c>
      <c r="P1437" s="13">
        <f>MIN(H1437:M1437)</f>
        <v/>
      </c>
      <c r="Q1437" s="13">
        <f>MAX(H1437:M1437)</f>
        <v/>
      </c>
      <c r="R1437" s="27">
        <f>IF(G1437,SUMPRODUCT(($G$76:$G$1505)*($N$76:$N$1505&gt;=N1437)*($O$76:$O$1505&lt;=O1437))=1,FALSE)</f>
        <v/>
      </c>
      <c r="S1437" s="16">
        <f>IF(R1437,ABS((O1437-$AC$76)/MAX(0.0001,$AC$77-$AC$76)-(N1437-$AC$78)/MAX(0.0001,$AC$79-$AC$78)),-1)</f>
        <v/>
      </c>
      <c r="T1437" s="14">
        <f>IF(G1437,O1437,NA())</f>
        <v/>
      </c>
      <c r="U1437" s="13">
        <f>IF(G1437,N1437,NA())</f>
        <v/>
      </c>
      <c r="V1437" s="14">
        <f>IF(R1437,O1437,NA())</f>
        <v/>
      </c>
      <c r="W1437" s="13">
        <f>IF(R1437,N1437,NA())</f>
        <v/>
      </c>
      <c r="X1437" s="27">
        <f>IF(G1437,P1437,"")</f>
        <v/>
      </c>
      <c r="Y1437" s="27">
        <f>IF(G1437,N1437,"")</f>
        <v/>
      </c>
      <c r="Z1437" s="27">
        <f>IF(R1437,O1437,"")</f>
        <v/>
      </c>
      <c r="AA1437" s="27">
        <f>IF(R1437,N1437,"")</f>
        <v/>
      </c>
    </row>
    <row r="1438">
      <c r="A1438" s="31" t="n">
        <v>0.7</v>
      </c>
      <c r="B1438" s="31" t="n">
        <v>0.1</v>
      </c>
      <c r="C1438" s="31" t="n">
        <v>0.2</v>
      </c>
      <c r="D1438" s="31" t="n">
        <v>0</v>
      </c>
      <c r="E1438" s="27" t="inlineStr">
        <is>
          <t>ON 70%/1M 10%/2M 20%</t>
        </is>
      </c>
      <c r="F1438" s="27" t="n">
        <v>50</v>
      </c>
      <c r="G1438" s="27">
        <f>A1438*$B$7&gt;=$B$9</f>
        <v/>
      </c>
      <c r="H1438" s="13">
        <f>$B$7*(A1438*E$71+B1438*F$71+C1438*G$71+D1438*H$71)+F1438/100*$B$7*J$71-$C$71</f>
        <v/>
      </c>
      <c r="I1438" s="13">
        <f>$B$7*(A1438*L$71+B1438*M$71+C1438*N$71+D1438*O$71)+F1438/100*$B$7*Q$71-$C$71</f>
        <v/>
      </c>
      <c r="J1438" s="13">
        <f>$B$7*(A1438*S$71+B1438*T$71+C1438*U$71+D1438*V$71)+F1438/100*$B$7*X$71-$C$71</f>
        <v/>
      </c>
      <c r="K1438" s="13">
        <f>$B$7*(A1438*Z$71+B1438*AA$71+C1438*AB$71+D1438*AC$71)+F1438/100*$B$7*AE$71-$C$71</f>
        <v/>
      </c>
      <c r="L1438" s="13">
        <f>$B$7*(A1438*AG$71+B1438*AH$71+C1438*AI$71+D1438*AJ$71)+F1438/100*$B$7*AL$71-$C$71</f>
        <v/>
      </c>
      <c r="M1438" s="13">
        <f>$B$7*(A1438*AN$71+B1438*AO$71+C1438*AP$71+D1438*AQ$71)+F1438/100*$B$7*AS$71-$C$71</f>
        <v/>
      </c>
      <c r="N1438" s="13">
        <f>SUMPRODUCT($H$24:$M$24,H1438:M1438)</f>
        <v/>
      </c>
      <c r="O1438" s="14">
        <f>SQRT(SUMPRODUCT($H$24:$M$24,(H1438:M1438-N1438)^2))</f>
        <v/>
      </c>
      <c r="P1438" s="13">
        <f>MIN(H1438:M1438)</f>
        <v/>
      </c>
      <c r="Q1438" s="13">
        <f>MAX(H1438:M1438)</f>
        <v/>
      </c>
      <c r="R1438" s="27">
        <f>IF(G1438,SUMPRODUCT(($G$76:$G$1505)*($N$76:$N$1505&gt;=N1438)*($O$76:$O$1505&lt;=O1438))=1,FALSE)</f>
        <v/>
      </c>
      <c r="S1438" s="16">
        <f>IF(R1438,ABS((O1438-$AC$76)/MAX(0.0001,$AC$77-$AC$76)-(N1438-$AC$78)/MAX(0.0001,$AC$79-$AC$78)),-1)</f>
        <v/>
      </c>
      <c r="T1438" s="14">
        <f>IF(G1438,O1438,NA())</f>
        <v/>
      </c>
      <c r="U1438" s="13">
        <f>IF(G1438,N1438,NA())</f>
        <v/>
      </c>
      <c r="V1438" s="14">
        <f>IF(R1438,O1438,NA())</f>
        <v/>
      </c>
      <c r="W1438" s="13">
        <f>IF(R1438,N1438,NA())</f>
        <v/>
      </c>
      <c r="X1438" s="27">
        <f>IF(G1438,P1438,"")</f>
        <v/>
      </c>
      <c r="Y1438" s="27">
        <f>IF(G1438,N1438,"")</f>
        <v/>
      </c>
      <c r="Z1438" s="27">
        <f>IF(R1438,O1438,"")</f>
        <v/>
      </c>
      <c r="AA1438" s="27">
        <f>IF(R1438,N1438,"")</f>
        <v/>
      </c>
    </row>
    <row r="1439">
      <c r="A1439" s="31" t="n">
        <v>0.7</v>
      </c>
      <c r="B1439" s="31" t="n">
        <v>0.1</v>
      </c>
      <c r="C1439" s="31" t="n">
        <v>0.2</v>
      </c>
      <c r="D1439" s="31" t="n">
        <v>0</v>
      </c>
      <c r="E1439" s="27" t="inlineStr">
        <is>
          <t>ON 70%/1M 10%/2M 20%</t>
        </is>
      </c>
      <c r="F1439" s="27" t="n">
        <v>75</v>
      </c>
      <c r="G1439" s="27">
        <f>A1439*$B$7&gt;=$B$9</f>
        <v/>
      </c>
      <c r="H1439" s="13">
        <f>$B$7*(A1439*E$71+B1439*F$71+C1439*G$71+D1439*H$71)+F1439/100*$B$7*J$71-$C$71</f>
        <v/>
      </c>
      <c r="I1439" s="13">
        <f>$B$7*(A1439*L$71+B1439*M$71+C1439*N$71+D1439*O$71)+F1439/100*$B$7*Q$71-$C$71</f>
        <v/>
      </c>
      <c r="J1439" s="13">
        <f>$B$7*(A1439*S$71+B1439*T$71+C1439*U$71+D1439*V$71)+F1439/100*$B$7*X$71-$C$71</f>
        <v/>
      </c>
      <c r="K1439" s="13">
        <f>$B$7*(A1439*Z$71+B1439*AA$71+C1439*AB$71+D1439*AC$71)+F1439/100*$B$7*AE$71-$C$71</f>
        <v/>
      </c>
      <c r="L1439" s="13">
        <f>$B$7*(A1439*AG$71+B1439*AH$71+C1439*AI$71+D1439*AJ$71)+F1439/100*$B$7*AL$71-$C$71</f>
        <v/>
      </c>
      <c r="M1439" s="13">
        <f>$B$7*(A1439*AN$71+B1439*AO$71+C1439*AP$71+D1439*AQ$71)+F1439/100*$B$7*AS$71-$C$71</f>
        <v/>
      </c>
      <c r="N1439" s="13">
        <f>SUMPRODUCT($H$24:$M$24,H1439:M1439)</f>
        <v/>
      </c>
      <c r="O1439" s="14">
        <f>SQRT(SUMPRODUCT($H$24:$M$24,(H1439:M1439-N1439)^2))</f>
        <v/>
      </c>
      <c r="P1439" s="13">
        <f>MIN(H1439:M1439)</f>
        <v/>
      </c>
      <c r="Q1439" s="13">
        <f>MAX(H1439:M1439)</f>
        <v/>
      </c>
      <c r="R1439" s="27">
        <f>IF(G1439,SUMPRODUCT(($G$76:$G$1505)*($N$76:$N$1505&gt;=N1439)*($O$76:$O$1505&lt;=O1439))=1,FALSE)</f>
        <v/>
      </c>
      <c r="S1439" s="16">
        <f>IF(R1439,ABS((O1439-$AC$76)/MAX(0.0001,$AC$77-$AC$76)-(N1439-$AC$78)/MAX(0.0001,$AC$79-$AC$78)),-1)</f>
        <v/>
      </c>
      <c r="T1439" s="14">
        <f>IF(G1439,O1439,NA())</f>
        <v/>
      </c>
      <c r="U1439" s="13">
        <f>IF(G1439,N1439,NA())</f>
        <v/>
      </c>
      <c r="V1439" s="14">
        <f>IF(R1439,O1439,NA())</f>
        <v/>
      </c>
      <c r="W1439" s="13">
        <f>IF(R1439,N1439,NA())</f>
        <v/>
      </c>
      <c r="X1439" s="27">
        <f>IF(G1439,P1439,"")</f>
        <v/>
      </c>
      <c r="Y1439" s="27">
        <f>IF(G1439,N1439,"")</f>
        <v/>
      </c>
      <c r="Z1439" s="27">
        <f>IF(R1439,O1439,"")</f>
        <v/>
      </c>
      <c r="AA1439" s="27">
        <f>IF(R1439,N1439,"")</f>
        <v/>
      </c>
    </row>
    <row r="1440">
      <c r="A1440" s="31" t="n">
        <v>0.7</v>
      </c>
      <c r="B1440" s="31" t="n">
        <v>0.1</v>
      </c>
      <c r="C1440" s="31" t="n">
        <v>0.2</v>
      </c>
      <c r="D1440" s="31" t="n">
        <v>0</v>
      </c>
      <c r="E1440" s="27" t="inlineStr">
        <is>
          <t>ON 70%/1M 10%/2M 20%</t>
        </is>
      </c>
      <c r="F1440" s="27" t="n">
        <v>100</v>
      </c>
      <c r="G1440" s="27">
        <f>A1440*$B$7&gt;=$B$9</f>
        <v/>
      </c>
      <c r="H1440" s="13">
        <f>$B$7*(A1440*E$71+B1440*F$71+C1440*G$71+D1440*H$71)+F1440/100*$B$7*J$71-$C$71</f>
        <v/>
      </c>
      <c r="I1440" s="13">
        <f>$B$7*(A1440*L$71+B1440*M$71+C1440*N$71+D1440*O$71)+F1440/100*$B$7*Q$71-$C$71</f>
        <v/>
      </c>
      <c r="J1440" s="13">
        <f>$B$7*(A1440*S$71+B1440*T$71+C1440*U$71+D1440*V$71)+F1440/100*$B$7*X$71-$C$71</f>
        <v/>
      </c>
      <c r="K1440" s="13">
        <f>$B$7*(A1440*Z$71+B1440*AA$71+C1440*AB$71+D1440*AC$71)+F1440/100*$B$7*AE$71-$C$71</f>
        <v/>
      </c>
      <c r="L1440" s="13">
        <f>$B$7*(A1440*AG$71+B1440*AH$71+C1440*AI$71+D1440*AJ$71)+F1440/100*$B$7*AL$71-$C$71</f>
        <v/>
      </c>
      <c r="M1440" s="13">
        <f>$B$7*(A1440*AN$71+B1440*AO$71+C1440*AP$71+D1440*AQ$71)+F1440/100*$B$7*AS$71-$C$71</f>
        <v/>
      </c>
      <c r="N1440" s="13">
        <f>SUMPRODUCT($H$24:$M$24,H1440:M1440)</f>
        <v/>
      </c>
      <c r="O1440" s="14">
        <f>SQRT(SUMPRODUCT($H$24:$M$24,(H1440:M1440-N1440)^2))</f>
        <v/>
      </c>
      <c r="P1440" s="13">
        <f>MIN(H1440:M1440)</f>
        <v/>
      </c>
      <c r="Q1440" s="13">
        <f>MAX(H1440:M1440)</f>
        <v/>
      </c>
      <c r="R1440" s="27">
        <f>IF(G1440,SUMPRODUCT(($G$76:$G$1505)*($N$76:$N$1505&gt;=N1440)*($O$76:$O$1505&lt;=O1440))=1,FALSE)</f>
        <v/>
      </c>
      <c r="S1440" s="16">
        <f>IF(R1440,ABS((O1440-$AC$76)/MAX(0.0001,$AC$77-$AC$76)-(N1440-$AC$78)/MAX(0.0001,$AC$79-$AC$78)),-1)</f>
        <v/>
      </c>
      <c r="T1440" s="14">
        <f>IF(G1440,O1440,NA())</f>
        <v/>
      </c>
      <c r="U1440" s="13">
        <f>IF(G1440,N1440,NA())</f>
        <v/>
      </c>
      <c r="V1440" s="14">
        <f>IF(R1440,O1440,NA())</f>
        <v/>
      </c>
      <c r="W1440" s="13">
        <f>IF(R1440,N1440,NA())</f>
        <v/>
      </c>
      <c r="X1440" s="27">
        <f>IF(G1440,P1440,"")</f>
        <v/>
      </c>
      <c r="Y1440" s="27">
        <f>IF(G1440,N1440,"")</f>
        <v/>
      </c>
      <c r="Z1440" s="27">
        <f>IF(R1440,O1440,"")</f>
        <v/>
      </c>
      <c r="AA1440" s="27">
        <f>IF(R1440,N1440,"")</f>
        <v/>
      </c>
    </row>
    <row r="1441">
      <c r="A1441" s="31" t="n">
        <v>0.7</v>
      </c>
      <c r="B1441" s="31" t="n">
        <v>0.2</v>
      </c>
      <c r="C1441" s="31" t="n">
        <v>0</v>
      </c>
      <c r="D1441" s="31" t="n">
        <v>0.1</v>
      </c>
      <c r="E1441" s="27" t="inlineStr">
        <is>
          <t>ON 70%/1M 20%/3M 10%</t>
        </is>
      </c>
      <c r="F1441" s="27" t="n">
        <v>0</v>
      </c>
      <c r="G1441" s="27">
        <f>A1441*$B$7&gt;=$B$9</f>
        <v/>
      </c>
      <c r="H1441" s="13">
        <f>$B$7*(A1441*E$71+B1441*F$71+C1441*G$71+D1441*H$71)+F1441/100*$B$7*J$71-$C$71</f>
        <v/>
      </c>
      <c r="I1441" s="13">
        <f>$B$7*(A1441*L$71+B1441*M$71+C1441*N$71+D1441*O$71)+F1441/100*$B$7*Q$71-$C$71</f>
        <v/>
      </c>
      <c r="J1441" s="13">
        <f>$B$7*(A1441*S$71+B1441*T$71+C1441*U$71+D1441*V$71)+F1441/100*$B$7*X$71-$C$71</f>
        <v/>
      </c>
      <c r="K1441" s="13">
        <f>$B$7*(A1441*Z$71+B1441*AA$71+C1441*AB$71+D1441*AC$71)+F1441/100*$B$7*AE$71-$C$71</f>
        <v/>
      </c>
      <c r="L1441" s="13">
        <f>$B$7*(A1441*AG$71+B1441*AH$71+C1441*AI$71+D1441*AJ$71)+F1441/100*$B$7*AL$71-$C$71</f>
        <v/>
      </c>
      <c r="M1441" s="13">
        <f>$B$7*(A1441*AN$71+B1441*AO$71+C1441*AP$71+D1441*AQ$71)+F1441/100*$B$7*AS$71-$C$71</f>
        <v/>
      </c>
      <c r="N1441" s="13">
        <f>SUMPRODUCT($H$24:$M$24,H1441:M1441)</f>
        <v/>
      </c>
      <c r="O1441" s="14">
        <f>SQRT(SUMPRODUCT($H$24:$M$24,(H1441:M1441-N1441)^2))</f>
        <v/>
      </c>
      <c r="P1441" s="13">
        <f>MIN(H1441:M1441)</f>
        <v/>
      </c>
      <c r="Q1441" s="13">
        <f>MAX(H1441:M1441)</f>
        <v/>
      </c>
      <c r="R1441" s="27">
        <f>IF(G1441,SUMPRODUCT(($G$76:$G$1505)*($N$76:$N$1505&gt;=N1441)*($O$76:$O$1505&lt;=O1441))=1,FALSE)</f>
        <v/>
      </c>
      <c r="S1441" s="16">
        <f>IF(R1441,ABS((O1441-$AC$76)/MAX(0.0001,$AC$77-$AC$76)-(N1441-$AC$78)/MAX(0.0001,$AC$79-$AC$78)),-1)</f>
        <v/>
      </c>
      <c r="T1441" s="14">
        <f>IF(G1441,O1441,NA())</f>
        <v/>
      </c>
      <c r="U1441" s="13">
        <f>IF(G1441,N1441,NA())</f>
        <v/>
      </c>
      <c r="V1441" s="14">
        <f>IF(R1441,O1441,NA())</f>
        <v/>
      </c>
      <c r="W1441" s="13">
        <f>IF(R1441,N1441,NA())</f>
        <v/>
      </c>
      <c r="X1441" s="27">
        <f>IF(G1441,P1441,"")</f>
        <v/>
      </c>
      <c r="Y1441" s="27">
        <f>IF(G1441,N1441,"")</f>
        <v/>
      </c>
      <c r="Z1441" s="27">
        <f>IF(R1441,O1441,"")</f>
        <v/>
      </c>
      <c r="AA1441" s="27">
        <f>IF(R1441,N1441,"")</f>
        <v/>
      </c>
    </row>
    <row r="1442">
      <c r="A1442" s="31" t="n">
        <v>0.7</v>
      </c>
      <c r="B1442" s="31" t="n">
        <v>0.2</v>
      </c>
      <c r="C1442" s="31" t="n">
        <v>0</v>
      </c>
      <c r="D1442" s="31" t="n">
        <v>0.1</v>
      </c>
      <c r="E1442" s="27" t="inlineStr">
        <is>
          <t>ON 70%/1M 20%/3M 10%</t>
        </is>
      </c>
      <c r="F1442" s="27" t="n">
        <v>25</v>
      </c>
      <c r="G1442" s="27">
        <f>A1442*$B$7&gt;=$B$9</f>
        <v/>
      </c>
      <c r="H1442" s="13">
        <f>$B$7*(A1442*E$71+B1442*F$71+C1442*G$71+D1442*H$71)+F1442/100*$B$7*J$71-$C$71</f>
        <v/>
      </c>
      <c r="I1442" s="13">
        <f>$B$7*(A1442*L$71+B1442*M$71+C1442*N$71+D1442*O$71)+F1442/100*$B$7*Q$71-$C$71</f>
        <v/>
      </c>
      <c r="J1442" s="13">
        <f>$B$7*(A1442*S$71+B1442*T$71+C1442*U$71+D1442*V$71)+F1442/100*$B$7*X$71-$C$71</f>
        <v/>
      </c>
      <c r="K1442" s="13">
        <f>$B$7*(A1442*Z$71+B1442*AA$71+C1442*AB$71+D1442*AC$71)+F1442/100*$B$7*AE$71-$C$71</f>
        <v/>
      </c>
      <c r="L1442" s="13">
        <f>$B$7*(A1442*AG$71+B1442*AH$71+C1442*AI$71+D1442*AJ$71)+F1442/100*$B$7*AL$71-$C$71</f>
        <v/>
      </c>
      <c r="M1442" s="13">
        <f>$B$7*(A1442*AN$71+B1442*AO$71+C1442*AP$71+D1442*AQ$71)+F1442/100*$B$7*AS$71-$C$71</f>
        <v/>
      </c>
      <c r="N1442" s="13">
        <f>SUMPRODUCT($H$24:$M$24,H1442:M1442)</f>
        <v/>
      </c>
      <c r="O1442" s="14">
        <f>SQRT(SUMPRODUCT($H$24:$M$24,(H1442:M1442-N1442)^2))</f>
        <v/>
      </c>
      <c r="P1442" s="13">
        <f>MIN(H1442:M1442)</f>
        <v/>
      </c>
      <c r="Q1442" s="13">
        <f>MAX(H1442:M1442)</f>
        <v/>
      </c>
      <c r="R1442" s="27">
        <f>IF(G1442,SUMPRODUCT(($G$76:$G$1505)*($N$76:$N$1505&gt;=N1442)*($O$76:$O$1505&lt;=O1442))=1,FALSE)</f>
        <v/>
      </c>
      <c r="S1442" s="16">
        <f>IF(R1442,ABS((O1442-$AC$76)/MAX(0.0001,$AC$77-$AC$76)-(N1442-$AC$78)/MAX(0.0001,$AC$79-$AC$78)),-1)</f>
        <v/>
      </c>
      <c r="T1442" s="14">
        <f>IF(G1442,O1442,NA())</f>
        <v/>
      </c>
      <c r="U1442" s="13">
        <f>IF(G1442,N1442,NA())</f>
        <v/>
      </c>
      <c r="V1442" s="14">
        <f>IF(R1442,O1442,NA())</f>
        <v/>
      </c>
      <c r="W1442" s="13">
        <f>IF(R1442,N1442,NA())</f>
        <v/>
      </c>
      <c r="X1442" s="27">
        <f>IF(G1442,P1442,"")</f>
        <v/>
      </c>
      <c r="Y1442" s="27">
        <f>IF(G1442,N1442,"")</f>
        <v/>
      </c>
      <c r="Z1442" s="27">
        <f>IF(R1442,O1442,"")</f>
        <v/>
      </c>
      <c r="AA1442" s="27">
        <f>IF(R1442,N1442,"")</f>
        <v/>
      </c>
    </row>
    <row r="1443">
      <c r="A1443" s="31" t="n">
        <v>0.7</v>
      </c>
      <c r="B1443" s="31" t="n">
        <v>0.2</v>
      </c>
      <c r="C1443" s="31" t="n">
        <v>0</v>
      </c>
      <c r="D1443" s="31" t="n">
        <v>0.1</v>
      </c>
      <c r="E1443" s="27" t="inlineStr">
        <is>
          <t>ON 70%/1M 20%/3M 10%</t>
        </is>
      </c>
      <c r="F1443" s="27" t="n">
        <v>50</v>
      </c>
      <c r="G1443" s="27">
        <f>A1443*$B$7&gt;=$B$9</f>
        <v/>
      </c>
      <c r="H1443" s="13">
        <f>$B$7*(A1443*E$71+B1443*F$71+C1443*G$71+D1443*H$71)+F1443/100*$B$7*J$71-$C$71</f>
        <v/>
      </c>
      <c r="I1443" s="13">
        <f>$B$7*(A1443*L$71+B1443*M$71+C1443*N$71+D1443*O$71)+F1443/100*$B$7*Q$71-$C$71</f>
        <v/>
      </c>
      <c r="J1443" s="13">
        <f>$B$7*(A1443*S$71+B1443*T$71+C1443*U$71+D1443*V$71)+F1443/100*$B$7*X$71-$C$71</f>
        <v/>
      </c>
      <c r="K1443" s="13">
        <f>$B$7*(A1443*Z$71+B1443*AA$71+C1443*AB$71+D1443*AC$71)+F1443/100*$B$7*AE$71-$C$71</f>
        <v/>
      </c>
      <c r="L1443" s="13">
        <f>$B$7*(A1443*AG$71+B1443*AH$71+C1443*AI$71+D1443*AJ$71)+F1443/100*$B$7*AL$71-$C$71</f>
        <v/>
      </c>
      <c r="M1443" s="13">
        <f>$B$7*(A1443*AN$71+B1443*AO$71+C1443*AP$71+D1443*AQ$71)+F1443/100*$B$7*AS$71-$C$71</f>
        <v/>
      </c>
      <c r="N1443" s="13">
        <f>SUMPRODUCT($H$24:$M$24,H1443:M1443)</f>
        <v/>
      </c>
      <c r="O1443" s="14">
        <f>SQRT(SUMPRODUCT($H$24:$M$24,(H1443:M1443-N1443)^2))</f>
        <v/>
      </c>
      <c r="P1443" s="13">
        <f>MIN(H1443:M1443)</f>
        <v/>
      </c>
      <c r="Q1443" s="13">
        <f>MAX(H1443:M1443)</f>
        <v/>
      </c>
      <c r="R1443" s="27">
        <f>IF(G1443,SUMPRODUCT(($G$76:$G$1505)*($N$76:$N$1505&gt;=N1443)*($O$76:$O$1505&lt;=O1443))=1,FALSE)</f>
        <v/>
      </c>
      <c r="S1443" s="16">
        <f>IF(R1443,ABS((O1443-$AC$76)/MAX(0.0001,$AC$77-$AC$76)-(N1443-$AC$78)/MAX(0.0001,$AC$79-$AC$78)),-1)</f>
        <v/>
      </c>
      <c r="T1443" s="14">
        <f>IF(G1443,O1443,NA())</f>
        <v/>
      </c>
      <c r="U1443" s="13">
        <f>IF(G1443,N1443,NA())</f>
        <v/>
      </c>
      <c r="V1443" s="14">
        <f>IF(R1443,O1443,NA())</f>
        <v/>
      </c>
      <c r="W1443" s="13">
        <f>IF(R1443,N1443,NA())</f>
        <v/>
      </c>
      <c r="X1443" s="27">
        <f>IF(G1443,P1443,"")</f>
        <v/>
      </c>
      <c r="Y1443" s="27">
        <f>IF(G1443,N1443,"")</f>
        <v/>
      </c>
      <c r="Z1443" s="27">
        <f>IF(R1443,O1443,"")</f>
        <v/>
      </c>
      <c r="AA1443" s="27">
        <f>IF(R1443,N1443,"")</f>
        <v/>
      </c>
    </row>
    <row r="1444">
      <c r="A1444" s="31" t="n">
        <v>0.7</v>
      </c>
      <c r="B1444" s="31" t="n">
        <v>0.2</v>
      </c>
      <c r="C1444" s="31" t="n">
        <v>0</v>
      </c>
      <c r="D1444" s="31" t="n">
        <v>0.1</v>
      </c>
      <c r="E1444" s="27" t="inlineStr">
        <is>
          <t>ON 70%/1M 20%/3M 10%</t>
        </is>
      </c>
      <c r="F1444" s="27" t="n">
        <v>75</v>
      </c>
      <c r="G1444" s="27">
        <f>A1444*$B$7&gt;=$B$9</f>
        <v/>
      </c>
      <c r="H1444" s="13">
        <f>$B$7*(A1444*E$71+B1444*F$71+C1444*G$71+D1444*H$71)+F1444/100*$B$7*J$71-$C$71</f>
        <v/>
      </c>
      <c r="I1444" s="13">
        <f>$B$7*(A1444*L$71+B1444*M$71+C1444*N$71+D1444*O$71)+F1444/100*$B$7*Q$71-$C$71</f>
        <v/>
      </c>
      <c r="J1444" s="13">
        <f>$B$7*(A1444*S$71+B1444*T$71+C1444*U$71+D1444*V$71)+F1444/100*$B$7*X$71-$C$71</f>
        <v/>
      </c>
      <c r="K1444" s="13">
        <f>$B$7*(A1444*Z$71+B1444*AA$71+C1444*AB$71+D1444*AC$71)+F1444/100*$B$7*AE$71-$C$71</f>
        <v/>
      </c>
      <c r="L1444" s="13">
        <f>$B$7*(A1444*AG$71+B1444*AH$71+C1444*AI$71+D1444*AJ$71)+F1444/100*$B$7*AL$71-$C$71</f>
        <v/>
      </c>
      <c r="M1444" s="13">
        <f>$B$7*(A1444*AN$71+B1444*AO$71+C1444*AP$71+D1444*AQ$71)+F1444/100*$B$7*AS$71-$C$71</f>
        <v/>
      </c>
      <c r="N1444" s="13">
        <f>SUMPRODUCT($H$24:$M$24,H1444:M1444)</f>
        <v/>
      </c>
      <c r="O1444" s="14">
        <f>SQRT(SUMPRODUCT($H$24:$M$24,(H1444:M1444-N1444)^2))</f>
        <v/>
      </c>
      <c r="P1444" s="13">
        <f>MIN(H1444:M1444)</f>
        <v/>
      </c>
      <c r="Q1444" s="13">
        <f>MAX(H1444:M1444)</f>
        <v/>
      </c>
      <c r="R1444" s="27">
        <f>IF(G1444,SUMPRODUCT(($G$76:$G$1505)*($N$76:$N$1505&gt;=N1444)*($O$76:$O$1505&lt;=O1444))=1,FALSE)</f>
        <v/>
      </c>
      <c r="S1444" s="16">
        <f>IF(R1444,ABS((O1444-$AC$76)/MAX(0.0001,$AC$77-$AC$76)-(N1444-$AC$78)/MAX(0.0001,$AC$79-$AC$78)),-1)</f>
        <v/>
      </c>
      <c r="T1444" s="14">
        <f>IF(G1444,O1444,NA())</f>
        <v/>
      </c>
      <c r="U1444" s="13">
        <f>IF(G1444,N1444,NA())</f>
        <v/>
      </c>
      <c r="V1444" s="14">
        <f>IF(R1444,O1444,NA())</f>
        <v/>
      </c>
      <c r="W1444" s="13">
        <f>IF(R1444,N1444,NA())</f>
        <v/>
      </c>
      <c r="X1444" s="27">
        <f>IF(G1444,P1444,"")</f>
        <v/>
      </c>
      <c r="Y1444" s="27">
        <f>IF(G1444,N1444,"")</f>
        <v/>
      </c>
      <c r="Z1444" s="27">
        <f>IF(R1444,O1444,"")</f>
        <v/>
      </c>
      <c r="AA1444" s="27">
        <f>IF(R1444,N1444,"")</f>
        <v/>
      </c>
    </row>
    <row r="1445">
      <c r="A1445" s="31" t="n">
        <v>0.7</v>
      </c>
      <c r="B1445" s="31" t="n">
        <v>0.2</v>
      </c>
      <c r="C1445" s="31" t="n">
        <v>0</v>
      </c>
      <c r="D1445" s="31" t="n">
        <v>0.1</v>
      </c>
      <c r="E1445" s="27" t="inlineStr">
        <is>
          <t>ON 70%/1M 20%/3M 10%</t>
        </is>
      </c>
      <c r="F1445" s="27" t="n">
        <v>100</v>
      </c>
      <c r="G1445" s="27">
        <f>A1445*$B$7&gt;=$B$9</f>
        <v/>
      </c>
      <c r="H1445" s="13">
        <f>$B$7*(A1445*E$71+B1445*F$71+C1445*G$71+D1445*H$71)+F1445/100*$B$7*J$71-$C$71</f>
        <v/>
      </c>
      <c r="I1445" s="13">
        <f>$B$7*(A1445*L$71+B1445*M$71+C1445*N$71+D1445*O$71)+F1445/100*$B$7*Q$71-$C$71</f>
        <v/>
      </c>
      <c r="J1445" s="13">
        <f>$B$7*(A1445*S$71+B1445*T$71+C1445*U$71+D1445*V$71)+F1445/100*$B$7*X$71-$C$71</f>
        <v/>
      </c>
      <c r="K1445" s="13">
        <f>$B$7*(A1445*Z$71+B1445*AA$71+C1445*AB$71+D1445*AC$71)+F1445/100*$B$7*AE$71-$C$71</f>
        <v/>
      </c>
      <c r="L1445" s="13">
        <f>$B$7*(A1445*AG$71+B1445*AH$71+C1445*AI$71+D1445*AJ$71)+F1445/100*$B$7*AL$71-$C$71</f>
        <v/>
      </c>
      <c r="M1445" s="13">
        <f>$B$7*(A1445*AN$71+B1445*AO$71+C1445*AP$71+D1445*AQ$71)+F1445/100*$B$7*AS$71-$C$71</f>
        <v/>
      </c>
      <c r="N1445" s="13">
        <f>SUMPRODUCT($H$24:$M$24,H1445:M1445)</f>
        <v/>
      </c>
      <c r="O1445" s="14">
        <f>SQRT(SUMPRODUCT($H$24:$M$24,(H1445:M1445-N1445)^2))</f>
        <v/>
      </c>
      <c r="P1445" s="13">
        <f>MIN(H1445:M1445)</f>
        <v/>
      </c>
      <c r="Q1445" s="13">
        <f>MAX(H1445:M1445)</f>
        <v/>
      </c>
      <c r="R1445" s="27">
        <f>IF(G1445,SUMPRODUCT(($G$76:$G$1505)*($N$76:$N$1505&gt;=N1445)*($O$76:$O$1505&lt;=O1445))=1,FALSE)</f>
        <v/>
      </c>
      <c r="S1445" s="16">
        <f>IF(R1445,ABS((O1445-$AC$76)/MAX(0.0001,$AC$77-$AC$76)-(N1445-$AC$78)/MAX(0.0001,$AC$79-$AC$78)),-1)</f>
        <v/>
      </c>
      <c r="T1445" s="14">
        <f>IF(G1445,O1445,NA())</f>
        <v/>
      </c>
      <c r="U1445" s="13">
        <f>IF(G1445,N1445,NA())</f>
        <v/>
      </c>
      <c r="V1445" s="14">
        <f>IF(R1445,O1445,NA())</f>
        <v/>
      </c>
      <c r="W1445" s="13">
        <f>IF(R1445,N1445,NA())</f>
        <v/>
      </c>
      <c r="X1445" s="27">
        <f>IF(G1445,P1445,"")</f>
        <v/>
      </c>
      <c r="Y1445" s="27">
        <f>IF(G1445,N1445,"")</f>
        <v/>
      </c>
      <c r="Z1445" s="27">
        <f>IF(R1445,O1445,"")</f>
        <v/>
      </c>
      <c r="AA1445" s="27">
        <f>IF(R1445,N1445,"")</f>
        <v/>
      </c>
    </row>
    <row r="1446">
      <c r="A1446" s="31" t="n">
        <v>0.7</v>
      </c>
      <c r="B1446" s="31" t="n">
        <v>0.2</v>
      </c>
      <c r="C1446" s="31" t="n">
        <v>0.1</v>
      </c>
      <c r="D1446" s="31" t="n">
        <v>0</v>
      </c>
      <c r="E1446" s="27" t="inlineStr">
        <is>
          <t>ON 70%/1M 20%/2M 10%</t>
        </is>
      </c>
      <c r="F1446" s="27" t="n">
        <v>0</v>
      </c>
      <c r="G1446" s="27">
        <f>A1446*$B$7&gt;=$B$9</f>
        <v/>
      </c>
      <c r="H1446" s="13">
        <f>$B$7*(A1446*E$71+B1446*F$71+C1446*G$71+D1446*H$71)+F1446/100*$B$7*J$71-$C$71</f>
        <v/>
      </c>
      <c r="I1446" s="13">
        <f>$B$7*(A1446*L$71+B1446*M$71+C1446*N$71+D1446*O$71)+F1446/100*$B$7*Q$71-$C$71</f>
        <v/>
      </c>
      <c r="J1446" s="13">
        <f>$B$7*(A1446*S$71+B1446*T$71+C1446*U$71+D1446*V$71)+F1446/100*$B$7*X$71-$C$71</f>
        <v/>
      </c>
      <c r="K1446" s="13">
        <f>$B$7*(A1446*Z$71+B1446*AA$71+C1446*AB$71+D1446*AC$71)+F1446/100*$B$7*AE$71-$C$71</f>
        <v/>
      </c>
      <c r="L1446" s="13">
        <f>$B$7*(A1446*AG$71+B1446*AH$71+C1446*AI$71+D1446*AJ$71)+F1446/100*$B$7*AL$71-$C$71</f>
        <v/>
      </c>
      <c r="M1446" s="13">
        <f>$B$7*(A1446*AN$71+B1446*AO$71+C1446*AP$71+D1446*AQ$71)+F1446/100*$B$7*AS$71-$C$71</f>
        <v/>
      </c>
      <c r="N1446" s="13">
        <f>SUMPRODUCT($H$24:$M$24,H1446:M1446)</f>
        <v/>
      </c>
      <c r="O1446" s="14">
        <f>SQRT(SUMPRODUCT($H$24:$M$24,(H1446:M1446-N1446)^2))</f>
        <v/>
      </c>
      <c r="P1446" s="13">
        <f>MIN(H1446:M1446)</f>
        <v/>
      </c>
      <c r="Q1446" s="13">
        <f>MAX(H1446:M1446)</f>
        <v/>
      </c>
      <c r="R1446" s="27">
        <f>IF(G1446,SUMPRODUCT(($G$76:$G$1505)*($N$76:$N$1505&gt;=N1446)*($O$76:$O$1505&lt;=O1446))=1,FALSE)</f>
        <v/>
      </c>
      <c r="S1446" s="16">
        <f>IF(R1446,ABS((O1446-$AC$76)/MAX(0.0001,$AC$77-$AC$76)-(N1446-$AC$78)/MAX(0.0001,$AC$79-$AC$78)),-1)</f>
        <v/>
      </c>
      <c r="T1446" s="14">
        <f>IF(G1446,O1446,NA())</f>
        <v/>
      </c>
      <c r="U1446" s="13">
        <f>IF(G1446,N1446,NA())</f>
        <v/>
      </c>
      <c r="V1446" s="14">
        <f>IF(R1446,O1446,NA())</f>
        <v/>
      </c>
      <c r="W1446" s="13">
        <f>IF(R1446,N1446,NA())</f>
        <v/>
      </c>
      <c r="X1446" s="27">
        <f>IF(G1446,P1446,"")</f>
        <v/>
      </c>
      <c r="Y1446" s="27">
        <f>IF(G1446,N1446,"")</f>
        <v/>
      </c>
      <c r="Z1446" s="27">
        <f>IF(R1446,O1446,"")</f>
        <v/>
      </c>
      <c r="AA1446" s="27">
        <f>IF(R1446,N1446,"")</f>
        <v/>
      </c>
    </row>
    <row r="1447">
      <c r="A1447" s="31" t="n">
        <v>0.7</v>
      </c>
      <c r="B1447" s="31" t="n">
        <v>0.2</v>
      </c>
      <c r="C1447" s="31" t="n">
        <v>0.1</v>
      </c>
      <c r="D1447" s="31" t="n">
        <v>0</v>
      </c>
      <c r="E1447" s="27" t="inlineStr">
        <is>
          <t>ON 70%/1M 20%/2M 10%</t>
        </is>
      </c>
      <c r="F1447" s="27" t="n">
        <v>25</v>
      </c>
      <c r="G1447" s="27">
        <f>A1447*$B$7&gt;=$B$9</f>
        <v/>
      </c>
      <c r="H1447" s="13">
        <f>$B$7*(A1447*E$71+B1447*F$71+C1447*G$71+D1447*H$71)+F1447/100*$B$7*J$71-$C$71</f>
        <v/>
      </c>
      <c r="I1447" s="13">
        <f>$B$7*(A1447*L$71+B1447*M$71+C1447*N$71+D1447*O$71)+F1447/100*$B$7*Q$71-$C$71</f>
        <v/>
      </c>
      <c r="J1447" s="13">
        <f>$B$7*(A1447*S$71+B1447*T$71+C1447*U$71+D1447*V$71)+F1447/100*$B$7*X$71-$C$71</f>
        <v/>
      </c>
      <c r="K1447" s="13">
        <f>$B$7*(A1447*Z$71+B1447*AA$71+C1447*AB$71+D1447*AC$71)+F1447/100*$B$7*AE$71-$C$71</f>
        <v/>
      </c>
      <c r="L1447" s="13">
        <f>$B$7*(A1447*AG$71+B1447*AH$71+C1447*AI$71+D1447*AJ$71)+F1447/100*$B$7*AL$71-$C$71</f>
        <v/>
      </c>
      <c r="M1447" s="13">
        <f>$B$7*(A1447*AN$71+B1447*AO$71+C1447*AP$71+D1447*AQ$71)+F1447/100*$B$7*AS$71-$C$71</f>
        <v/>
      </c>
      <c r="N1447" s="13">
        <f>SUMPRODUCT($H$24:$M$24,H1447:M1447)</f>
        <v/>
      </c>
      <c r="O1447" s="14">
        <f>SQRT(SUMPRODUCT($H$24:$M$24,(H1447:M1447-N1447)^2))</f>
        <v/>
      </c>
      <c r="P1447" s="13">
        <f>MIN(H1447:M1447)</f>
        <v/>
      </c>
      <c r="Q1447" s="13">
        <f>MAX(H1447:M1447)</f>
        <v/>
      </c>
      <c r="R1447" s="27">
        <f>IF(G1447,SUMPRODUCT(($G$76:$G$1505)*($N$76:$N$1505&gt;=N1447)*($O$76:$O$1505&lt;=O1447))=1,FALSE)</f>
        <v/>
      </c>
      <c r="S1447" s="16">
        <f>IF(R1447,ABS((O1447-$AC$76)/MAX(0.0001,$AC$77-$AC$76)-(N1447-$AC$78)/MAX(0.0001,$AC$79-$AC$78)),-1)</f>
        <v/>
      </c>
      <c r="T1447" s="14">
        <f>IF(G1447,O1447,NA())</f>
        <v/>
      </c>
      <c r="U1447" s="13">
        <f>IF(G1447,N1447,NA())</f>
        <v/>
      </c>
      <c r="V1447" s="14">
        <f>IF(R1447,O1447,NA())</f>
        <v/>
      </c>
      <c r="W1447" s="13">
        <f>IF(R1447,N1447,NA())</f>
        <v/>
      </c>
      <c r="X1447" s="27">
        <f>IF(G1447,P1447,"")</f>
        <v/>
      </c>
      <c r="Y1447" s="27">
        <f>IF(G1447,N1447,"")</f>
        <v/>
      </c>
      <c r="Z1447" s="27">
        <f>IF(R1447,O1447,"")</f>
        <v/>
      </c>
      <c r="AA1447" s="27">
        <f>IF(R1447,N1447,"")</f>
        <v/>
      </c>
    </row>
    <row r="1448">
      <c r="A1448" s="31" t="n">
        <v>0.7</v>
      </c>
      <c r="B1448" s="31" t="n">
        <v>0.2</v>
      </c>
      <c r="C1448" s="31" t="n">
        <v>0.1</v>
      </c>
      <c r="D1448" s="31" t="n">
        <v>0</v>
      </c>
      <c r="E1448" s="27" t="inlineStr">
        <is>
          <t>ON 70%/1M 20%/2M 10%</t>
        </is>
      </c>
      <c r="F1448" s="27" t="n">
        <v>50</v>
      </c>
      <c r="G1448" s="27">
        <f>A1448*$B$7&gt;=$B$9</f>
        <v/>
      </c>
      <c r="H1448" s="13">
        <f>$B$7*(A1448*E$71+B1448*F$71+C1448*G$71+D1448*H$71)+F1448/100*$B$7*J$71-$C$71</f>
        <v/>
      </c>
      <c r="I1448" s="13">
        <f>$B$7*(A1448*L$71+B1448*M$71+C1448*N$71+D1448*O$71)+F1448/100*$B$7*Q$71-$C$71</f>
        <v/>
      </c>
      <c r="J1448" s="13">
        <f>$B$7*(A1448*S$71+B1448*T$71+C1448*U$71+D1448*V$71)+F1448/100*$B$7*X$71-$C$71</f>
        <v/>
      </c>
      <c r="K1448" s="13">
        <f>$B$7*(A1448*Z$71+B1448*AA$71+C1448*AB$71+D1448*AC$71)+F1448/100*$B$7*AE$71-$C$71</f>
        <v/>
      </c>
      <c r="L1448" s="13">
        <f>$B$7*(A1448*AG$71+B1448*AH$71+C1448*AI$71+D1448*AJ$71)+F1448/100*$B$7*AL$71-$C$71</f>
        <v/>
      </c>
      <c r="M1448" s="13">
        <f>$B$7*(A1448*AN$71+B1448*AO$71+C1448*AP$71+D1448*AQ$71)+F1448/100*$B$7*AS$71-$C$71</f>
        <v/>
      </c>
      <c r="N1448" s="13">
        <f>SUMPRODUCT($H$24:$M$24,H1448:M1448)</f>
        <v/>
      </c>
      <c r="O1448" s="14">
        <f>SQRT(SUMPRODUCT($H$24:$M$24,(H1448:M1448-N1448)^2))</f>
        <v/>
      </c>
      <c r="P1448" s="13">
        <f>MIN(H1448:M1448)</f>
        <v/>
      </c>
      <c r="Q1448" s="13">
        <f>MAX(H1448:M1448)</f>
        <v/>
      </c>
      <c r="R1448" s="27">
        <f>IF(G1448,SUMPRODUCT(($G$76:$G$1505)*($N$76:$N$1505&gt;=N1448)*($O$76:$O$1505&lt;=O1448))=1,FALSE)</f>
        <v/>
      </c>
      <c r="S1448" s="16">
        <f>IF(R1448,ABS((O1448-$AC$76)/MAX(0.0001,$AC$77-$AC$76)-(N1448-$AC$78)/MAX(0.0001,$AC$79-$AC$78)),-1)</f>
        <v/>
      </c>
      <c r="T1448" s="14">
        <f>IF(G1448,O1448,NA())</f>
        <v/>
      </c>
      <c r="U1448" s="13">
        <f>IF(G1448,N1448,NA())</f>
        <v/>
      </c>
      <c r="V1448" s="14">
        <f>IF(R1448,O1448,NA())</f>
        <v/>
      </c>
      <c r="W1448" s="13">
        <f>IF(R1448,N1448,NA())</f>
        <v/>
      </c>
      <c r="X1448" s="27">
        <f>IF(G1448,P1448,"")</f>
        <v/>
      </c>
      <c r="Y1448" s="27">
        <f>IF(G1448,N1448,"")</f>
        <v/>
      </c>
      <c r="Z1448" s="27">
        <f>IF(R1448,O1448,"")</f>
        <v/>
      </c>
      <c r="AA1448" s="27">
        <f>IF(R1448,N1448,"")</f>
        <v/>
      </c>
    </row>
    <row r="1449">
      <c r="A1449" s="31" t="n">
        <v>0.7</v>
      </c>
      <c r="B1449" s="31" t="n">
        <v>0.2</v>
      </c>
      <c r="C1449" s="31" t="n">
        <v>0.1</v>
      </c>
      <c r="D1449" s="31" t="n">
        <v>0</v>
      </c>
      <c r="E1449" s="27" t="inlineStr">
        <is>
          <t>ON 70%/1M 20%/2M 10%</t>
        </is>
      </c>
      <c r="F1449" s="27" t="n">
        <v>75</v>
      </c>
      <c r="G1449" s="27">
        <f>A1449*$B$7&gt;=$B$9</f>
        <v/>
      </c>
      <c r="H1449" s="13">
        <f>$B$7*(A1449*E$71+B1449*F$71+C1449*G$71+D1449*H$71)+F1449/100*$B$7*J$71-$C$71</f>
        <v/>
      </c>
      <c r="I1449" s="13">
        <f>$B$7*(A1449*L$71+B1449*M$71+C1449*N$71+D1449*O$71)+F1449/100*$B$7*Q$71-$C$71</f>
        <v/>
      </c>
      <c r="J1449" s="13">
        <f>$B$7*(A1449*S$71+B1449*T$71+C1449*U$71+D1449*V$71)+F1449/100*$B$7*X$71-$C$71</f>
        <v/>
      </c>
      <c r="K1449" s="13">
        <f>$B$7*(A1449*Z$71+B1449*AA$71+C1449*AB$71+D1449*AC$71)+F1449/100*$B$7*AE$71-$C$71</f>
        <v/>
      </c>
      <c r="L1449" s="13">
        <f>$B$7*(A1449*AG$71+B1449*AH$71+C1449*AI$71+D1449*AJ$71)+F1449/100*$B$7*AL$71-$C$71</f>
        <v/>
      </c>
      <c r="M1449" s="13">
        <f>$B$7*(A1449*AN$71+B1449*AO$71+C1449*AP$71+D1449*AQ$71)+F1449/100*$B$7*AS$71-$C$71</f>
        <v/>
      </c>
      <c r="N1449" s="13">
        <f>SUMPRODUCT($H$24:$M$24,H1449:M1449)</f>
        <v/>
      </c>
      <c r="O1449" s="14">
        <f>SQRT(SUMPRODUCT($H$24:$M$24,(H1449:M1449-N1449)^2))</f>
        <v/>
      </c>
      <c r="P1449" s="13">
        <f>MIN(H1449:M1449)</f>
        <v/>
      </c>
      <c r="Q1449" s="13">
        <f>MAX(H1449:M1449)</f>
        <v/>
      </c>
      <c r="R1449" s="27">
        <f>IF(G1449,SUMPRODUCT(($G$76:$G$1505)*($N$76:$N$1505&gt;=N1449)*($O$76:$O$1505&lt;=O1449))=1,FALSE)</f>
        <v/>
      </c>
      <c r="S1449" s="16">
        <f>IF(R1449,ABS((O1449-$AC$76)/MAX(0.0001,$AC$77-$AC$76)-(N1449-$AC$78)/MAX(0.0001,$AC$79-$AC$78)),-1)</f>
        <v/>
      </c>
      <c r="T1449" s="14">
        <f>IF(G1449,O1449,NA())</f>
        <v/>
      </c>
      <c r="U1449" s="13">
        <f>IF(G1449,N1449,NA())</f>
        <v/>
      </c>
      <c r="V1449" s="14">
        <f>IF(R1449,O1449,NA())</f>
        <v/>
      </c>
      <c r="W1449" s="13">
        <f>IF(R1449,N1449,NA())</f>
        <v/>
      </c>
      <c r="X1449" s="27">
        <f>IF(G1449,P1449,"")</f>
        <v/>
      </c>
      <c r="Y1449" s="27">
        <f>IF(G1449,N1449,"")</f>
        <v/>
      </c>
      <c r="Z1449" s="27">
        <f>IF(R1449,O1449,"")</f>
        <v/>
      </c>
      <c r="AA1449" s="27">
        <f>IF(R1449,N1449,"")</f>
        <v/>
      </c>
    </row>
    <row r="1450">
      <c r="A1450" s="31" t="n">
        <v>0.7</v>
      </c>
      <c r="B1450" s="31" t="n">
        <v>0.2</v>
      </c>
      <c r="C1450" s="31" t="n">
        <v>0.1</v>
      </c>
      <c r="D1450" s="31" t="n">
        <v>0</v>
      </c>
      <c r="E1450" s="27" t="inlineStr">
        <is>
          <t>ON 70%/1M 20%/2M 10%</t>
        </is>
      </c>
      <c r="F1450" s="27" t="n">
        <v>100</v>
      </c>
      <c r="G1450" s="27">
        <f>A1450*$B$7&gt;=$B$9</f>
        <v/>
      </c>
      <c r="H1450" s="13">
        <f>$B$7*(A1450*E$71+B1450*F$71+C1450*G$71+D1450*H$71)+F1450/100*$B$7*J$71-$C$71</f>
        <v/>
      </c>
      <c r="I1450" s="13">
        <f>$B$7*(A1450*L$71+B1450*M$71+C1450*N$71+D1450*O$71)+F1450/100*$B$7*Q$71-$C$71</f>
        <v/>
      </c>
      <c r="J1450" s="13">
        <f>$B$7*(A1450*S$71+B1450*T$71+C1450*U$71+D1450*V$71)+F1450/100*$B$7*X$71-$C$71</f>
        <v/>
      </c>
      <c r="K1450" s="13">
        <f>$B$7*(A1450*Z$71+B1450*AA$71+C1450*AB$71+D1450*AC$71)+F1450/100*$B$7*AE$71-$C$71</f>
        <v/>
      </c>
      <c r="L1450" s="13">
        <f>$B$7*(A1450*AG$71+B1450*AH$71+C1450*AI$71+D1450*AJ$71)+F1450/100*$B$7*AL$71-$C$71</f>
        <v/>
      </c>
      <c r="M1450" s="13">
        <f>$B$7*(A1450*AN$71+B1450*AO$71+C1450*AP$71+D1450*AQ$71)+F1450/100*$B$7*AS$71-$C$71</f>
        <v/>
      </c>
      <c r="N1450" s="13">
        <f>SUMPRODUCT($H$24:$M$24,H1450:M1450)</f>
        <v/>
      </c>
      <c r="O1450" s="14">
        <f>SQRT(SUMPRODUCT($H$24:$M$24,(H1450:M1450-N1450)^2))</f>
        <v/>
      </c>
      <c r="P1450" s="13">
        <f>MIN(H1450:M1450)</f>
        <v/>
      </c>
      <c r="Q1450" s="13">
        <f>MAX(H1450:M1450)</f>
        <v/>
      </c>
      <c r="R1450" s="27">
        <f>IF(G1450,SUMPRODUCT(($G$76:$G$1505)*($N$76:$N$1505&gt;=N1450)*($O$76:$O$1505&lt;=O1450))=1,FALSE)</f>
        <v/>
      </c>
      <c r="S1450" s="16">
        <f>IF(R1450,ABS((O1450-$AC$76)/MAX(0.0001,$AC$77-$AC$76)-(N1450-$AC$78)/MAX(0.0001,$AC$79-$AC$78)),-1)</f>
        <v/>
      </c>
      <c r="T1450" s="14">
        <f>IF(G1450,O1450,NA())</f>
        <v/>
      </c>
      <c r="U1450" s="13">
        <f>IF(G1450,N1450,NA())</f>
        <v/>
      </c>
      <c r="V1450" s="14">
        <f>IF(R1450,O1450,NA())</f>
        <v/>
      </c>
      <c r="W1450" s="13">
        <f>IF(R1450,N1450,NA())</f>
        <v/>
      </c>
      <c r="X1450" s="27">
        <f>IF(G1450,P1450,"")</f>
        <v/>
      </c>
      <c r="Y1450" s="27">
        <f>IF(G1450,N1450,"")</f>
        <v/>
      </c>
      <c r="Z1450" s="27">
        <f>IF(R1450,O1450,"")</f>
        <v/>
      </c>
      <c r="AA1450" s="27">
        <f>IF(R1450,N1450,"")</f>
        <v/>
      </c>
    </row>
    <row r="1451">
      <c r="A1451" s="31" t="n">
        <v>0.7</v>
      </c>
      <c r="B1451" s="31" t="n">
        <v>0.3</v>
      </c>
      <c r="C1451" s="31" t="n">
        <v>0</v>
      </c>
      <c r="D1451" s="31" t="n">
        <v>0</v>
      </c>
      <c r="E1451" s="27" t="inlineStr">
        <is>
          <t>ON 70%/1M 30%</t>
        </is>
      </c>
      <c r="F1451" s="27" t="n">
        <v>0</v>
      </c>
      <c r="G1451" s="27">
        <f>A1451*$B$7&gt;=$B$9</f>
        <v/>
      </c>
      <c r="H1451" s="13">
        <f>$B$7*(A1451*E$71+B1451*F$71+C1451*G$71+D1451*H$71)+F1451/100*$B$7*J$71-$C$71</f>
        <v/>
      </c>
      <c r="I1451" s="13">
        <f>$B$7*(A1451*L$71+B1451*M$71+C1451*N$71+D1451*O$71)+F1451/100*$B$7*Q$71-$C$71</f>
        <v/>
      </c>
      <c r="J1451" s="13">
        <f>$B$7*(A1451*S$71+B1451*T$71+C1451*U$71+D1451*V$71)+F1451/100*$B$7*X$71-$C$71</f>
        <v/>
      </c>
      <c r="K1451" s="13">
        <f>$B$7*(A1451*Z$71+B1451*AA$71+C1451*AB$71+D1451*AC$71)+F1451/100*$B$7*AE$71-$C$71</f>
        <v/>
      </c>
      <c r="L1451" s="13">
        <f>$B$7*(A1451*AG$71+B1451*AH$71+C1451*AI$71+D1451*AJ$71)+F1451/100*$B$7*AL$71-$C$71</f>
        <v/>
      </c>
      <c r="M1451" s="13">
        <f>$B$7*(A1451*AN$71+B1451*AO$71+C1451*AP$71+D1451*AQ$71)+F1451/100*$B$7*AS$71-$C$71</f>
        <v/>
      </c>
      <c r="N1451" s="13">
        <f>SUMPRODUCT($H$24:$M$24,H1451:M1451)</f>
        <v/>
      </c>
      <c r="O1451" s="14">
        <f>SQRT(SUMPRODUCT($H$24:$M$24,(H1451:M1451-N1451)^2))</f>
        <v/>
      </c>
      <c r="P1451" s="13">
        <f>MIN(H1451:M1451)</f>
        <v/>
      </c>
      <c r="Q1451" s="13">
        <f>MAX(H1451:M1451)</f>
        <v/>
      </c>
      <c r="R1451" s="27">
        <f>IF(G1451,SUMPRODUCT(($G$76:$G$1505)*($N$76:$N$1505&gt;=N1451)*($O$76:$O$1505&lt;=O1451))=1,FALSE)</f>
        <v/>
      </c>
      <c r="S1451" s="16">
        <f>IF(R1451,ABS((O1451-$AC$76)/MAX(0.0001,$AC$77-$AC$76)-(N1451-$AC$78)/MAX(0.0001,$AC$79-$AC$78)),-1)</f>
        <v/>
      </c>
      <c r="T1451" s="14">
        <f>IF(G1451,O1451,NA())</f>
        <v/>
      </c>
      <c r="U1451" s="13">
        <f>IF(G1451,N1451,NA())</f>
        <v/>
      </c>
      <c r="V1451" s="14">
        <f>IF(R1451,O1451,NA())</f>
        <v/>
      </c>
      <c r="W1451" s="13">
        <f>IF(R1451,N1451,NA())</f>
        <v/>
      </c>
      <c r="X1451" s="27">
        <f>IF(G1451,P1451,"")</f>
        <v/>
      </c>
      <c r="Y1451" s="27">
        <f>IF(G1451,N1451,"")</f>
        <v/>
      </c>
      <c r="Z1451" s="27">
        <f>IF(R1451,O1451,"")</f>
        <v/>
      </c>
      <c r="AA1451" s="27">
        <f>IF(R1451,N1451,"")</f>
        <v/>
      </c>
    </row>
    <row r="1452">
      <c r="A1452" s="31" t="n">
        <v>0.7</v>
      </c>
      <c r="B1452" s="31" t="n">
        <v>0.3</v>
      </c>
      <c r="C1452" s="31" t="n">
        <v>0</v>
      </c>
      <c r="D1452" s="31" t="n">
        <v>0</v>
      </c>
      <c r="E1452" s="27" t="inlineStr">
        <is>
          <t>ON 70%/1M 30%</t>
        </is>
      </c>
      <c r="F1452" s="27" t="n">
        <v>25</v>
      </c>
      <c r="G1452" s="27">
        <f>A1452*$B$7&gt;=$B$9</f>
        <v/>
      </c>
      <c r="H1452" s="13">
        <f>$B$7*(A1452*E$71+B1452*F$71+C1452*G$71+D1452*H$71)+F1452/100*$B$7*J$71-$C$71</f>
        <v/>
      </c>
      <c r="I1452" s="13">
        <f>$B$7*(A1452*L$71+B1452*M$71+C1452*N$71+D1452*O$71)+F1452/100*$B$7*Q$71-$C$71</f>
        <v/>
      </c>
      <c r="J1452" s="13">
        <f>$B$7*(A1452*S$71+B1452*T$71+C1452*U$71+D1452*V$71)+F1452/100*$B$7*X$71-$C$71</f>
        <v/>
      </c>
      <c r="K1452" s="13">
        <f>$B$7*(A1452*Z$71+B1452*AA$71+C1452*AB$71+D1452*AC$71)+F1452/100*$B$7*AE$71-$C$71</f>
        <v/>
      </c>
      <c r="L1452" s="13">
        <f>$B$7*(A1452*AG$71+B1452*AH$71+C1452*AI$71+D1452*AJ$71)+F1452/100*$B$7*AL$71-$C$71</f>
        <v/>
      </c>
      <c r="M1452" s="13">
        <f>$B$7*(A1452*AN$71+B1452*AO$71+C1452*AP$71+D1452*AQ$71)+F1452/100*$B$7*AS$71-$C$71</f>
        <v/>
      </c>
      <c r="N1452" s="13">
        <f>SUMPRODUCT($H$24:$M$24,H1452:M1452)</f>
        <v/>
      </c>
      <c r="O1452" s="14">
        <f>SQRT(SUMPRODUCT($H$24:$M$24,(H1452:M1452-N1452)^2))</f>
        <v/>
      </c>
      <c r="P1452" s="13">
        <f>MIN(H1452:M1452)</f>
        <v/>
      </c>
      <c r="Q1452" s="13">
        <f>MAX(H1452:M1452)</f>
        <v/>
      </c>
      <c r="R1452" s="27">
        <f>IF(G1452,SUMPRODUCT(($G$76:$G$1505)*($N$76:$N$1505&gt;=N1452)*($O$76:$O$1505&lt;=O1452))=1,FALSE)</f>
        <v/>
      </c>
      <c r="S1452" s="16">
        <f>IF(R1452,ABS((O1452-$AC$76)/MAX(0.0001,$AC$77-$AC$76)-(N1452-$AC$78)/MAX(0.0001,$AC$79-$AC$78)),-1)</f>
        <v/>
      </c>
      <c r="T1452" s="14">
        <f>IF(G1452,O1452,NA())</f>
        <v/>
      </c>
      <c r="U1452" s="13">
        <f>IF(G1452,N1452,NA())</f>
        <v/>
      </c>
      <c r="V1452" s="14">
        <f>IF(R1452,O1452,NA())</f>
        <v/>
      </c>
      <c r="W1452" s="13">
        <f>IF(R1452,N1452,NA())</f>
        <v/>
      </c>
      <c r="X1452" s="27">
        <f>IF(G1452,P1452,"")</f>
        <v/>
      </c>
      <c r="Y1452" s="27">
        <f>IF(G1452,N1452,"")</f>
        <v/>
      </c>
      <c r="Z1452" s="27">
        <f>IF(R1452,O1452,"")</f>
        <v/>
      </c>
      <c r="AA1452" s="27">
        <f>IF(R1452,N1452,"")</f>
        <v/>
      </c>
    </row>
    <row r="1453">
      <c r="A1453" s="31" t="n">
        <v>0.7</v>
      </c>
      <c r="B1453" s="31" t="n">
        <v>0.3</v>
      </c>
      <c r="C1453" s="31" t="n">
        <v>0</v>
      </c>
      <c r="D1453" s="31" t="n">
        <v>0</v>
      </c>
      <c r="E1453" s="27" t="inlineStr">
        <is>
          <t>ON 70%/1M 30%</t>
        </is>
      </c>
      <c r="F1453" s="27" t="n">
        <v>50</v>
      </c>
      <c r="G1453" s="27">
        <f>A1453*$B$7&gt;=$B$9</f>
        <v/>
      </c>
      <c r="H1453" s="13">
        <f>$B$7*(A1453*E$71+B1453*F$71+C1453*G$71+D1453*H$71)+F1453/100*$B$7*J$71-$C$71</f>
        <v/>
      </c>
      <c r="I1453" s="13">
        <f>$B$7*(A1453*L$71+B1453*M$71+C1453*N$71+D1453*O$71)+F1453/100*$B$7*Q$71-$C$71</f>
        <v/>
      </c>
      <c r="J1453" s="13">
        <f>$B$7*(A1453*S$71+B1453*T$71+C1453*U$71+D1453*V$71)+F1453/100*$B$7*X$71-$C$71</f>
        <v/>
      </c>
      <c r="K1453" s="13">
        <f>$B$7*(A1453*Z$71+B1453*AA$71+C1453*AB$71+D1453*AC$71)+F1453/100*$B$7*AE$71-$C$71</f>
        <v/>
      </c>
      <c r="L1453" s="13">
        <f>$B$7*(A1453*AG$71+B1453*AH$71+C1453*AI$71+D1453*AJ$71)+F1453/100*$B$7*AL$71-$C$71</f>
        <v/>
      </c>
      <c r="M1453" s="13">
        <f>$B$7*(A1453*AN$71+B1453*AO$71+C1453*AP$71+D1453*AQ$71)+F1453/100*$B$7*AS$71-$C$71</f>
        <v/>
      </c>
      <c r="N1453" s="13">
        <f>SUMPRODUCT($H$24:$M$24,H1453:M1453)</f>
        <v/>
      </c>
      <c r="O1453" s="14">
        <f>SQRT(SUMPRODUCT($H$24:$M$24,(H1453:M1453-N1453)^2))</f>
        <v/>
      </c>
      <c r="P1453" s="13">
        <f>MIN(H1453:M1453)</f>
        <v/>
      </c>
      <c r="Q1453" s="13">
        <f>MAX(H1453:M1453)</f>
        <v/>
      </c>
      <c r="R1453" s="27">
        <f>IF(G1453,SUMPRODUCT(($G$76:$G$1505)*($N$76:$N$1505&gt;=N1453)*($O$76:$O$1505&lt;=O1453))=1,FALSE)</f>
        <v/>
      </c>
      <c r="S1453" s="16">
        <f>IF(R1453,ABS((O1453-$AC$76)/MAX(0.0001,$AC$77-$AC$76)-(N1453-$AC$78)/MAX(0.0001,$AC$79-$AC$78)),-1)</f>
        <v/>
      </c>
      <c r="T1453" s="14">
        <f>IF(G1453,O1453,NA())</f>
        <v/>
      </c>
      <c r="U1453" s="13">
        <f>IF(G1453,N1453,NA())</f>
        <v/>
      </c>
      <c r="V1453" s="14">
        <f>IF(R1453,O1453,NA())</f>
        <v/>
      </c>
      <c r="W1453" s="13">
        <f>IF(R1453,N1453,NA())</f>
        <v/>
      </c>
      <c r="X1453" s="27">
        <f>IF(G1453,P1453,"")</f>
        <v/>
      </c>
      <c r="Y1453" s="27">
        <f>IF(G1453,N1453,"")</f>
        <v/>
      </c>
      <c r="Z1453" s="27">
        <f>IF(R1453,O1453,"")</f>
        <v/>
      </c>
      <c r="AA1453" s="27">
        <f>IF(R1453,N1453,"")</f>
        <v/>
      </c>
    </row>
    <row r="1454">
      <c r="A1454" s="31" t="n">
        <v>0.7</v>
      </c>
      <c r="B1454" s="31" t="n">
        <v>0.3</v>
      </c>
      <c r="C1454" s="31" t="n">
        <v>0</v>
      </c>
      <c r="D1454" s="31" t="n">
        <v>0</v>
      </c>
      <c r="E1454" s="27" t="inlineStr">
        <is>
          <t>ON 70%/1M 30%</t>
        </is>
      </c>
      <c r="F1454" s="27" t="n">
        <v>75</v>
      </c>
      <c r="G1454" s="27">
        <f>A1454*$B$7&gt;=$B$9</f>
        <v/>
      </c>
      <c r="H1454" s="13">
        <f>$B$7*(A1454*E$71+B1454*F$71+C1454*G$71+D1454*H$71)+F1454/100*$B$7*J$71-$C$71</f>
        <v/>
      </c>
      <c r="I1454" s="13">
        <f>$B$7*(A1454*L$71+B1454*M$71+C1454*N$71+D1454*O$71)+F1454/100*$B$7*Q$71-$C$71</f>
        <v/>
      </c>
      <c r="J1454" s="13">
        <f>$B$7*(A1454*S$71+B1454*T$71+C1454*U$71+D1454*V$71)+F1454/100*$B$7*X$71-$C$71</f>
        <v/>
      </c>
      <c r="K1454" s="13">
        <f>$B$7*(A1454*Z$71+B1454*AA$71+C1454*AB$71+D1454*AC$71)+F1454/100*$B$7*AE$71-$C$71</f>
        <v/>
      </c>
      <c r="L1454" s="13">
        <f>$B$7*(A1454*AG$71+B1454*AH$71+C1454*AI$71+D1454*AJ$71)+F1454/100*$B$7*AL$71-$C$71</f>
        <v/>
      </c>
      <c r="M1454" s="13">
        <f>$B$7*(A1454*AN$71+B1454*AO$71+C1454*AP$71+D1454*AQ$71)+F1454/100*$B$7*AS$71-$C$71</f>
        <v/>
      </c>
      <c r="N1454" s="13">
        <f>SUMPRODUCT($H$24:$M$24,H1454:M1454)</f>
        <v/>
      </c>
      <c r="O1454" s="14">
        <f>SQRT(SUMPRODUCT($H$24:$M$24,(H1454:M1454-N1454)^2))</f>
        <v/>
      </c>
      <c r="P1454" s="13">
        <f>MIN(H1454:M1454)</f>
        <v/>
      </c>
      <c r="Q1454" s="13">
        <f>MAX(H1454:M1454)</f>
        <v/>
      </c>
      <c r="R1454" s="27">
        <f>IF(G1454,SUMPRODUCT(($G$76:$G$1505)*($N$76:$N$1505&gt;=N1454)*($O$76:$O$1505&lt;=O1454))=1,FALSE)</f>
        <v/>
      </c>
      <c r="S1454" s="16">
        <f>IF(R1454,ABS((O1454-$AC$76)/MAX(0.0001,$AC$77-$AC$76)-(N1454-$AC$78)/MAX(0.0001,$AC$79-$AC$78)),-1)</f>
        <v/>
      </c>
      <c r="T1454" s="14">
        <f>IF(G1454,O1454,NA())</f>
        <v/>
      </c>
      <c r="U1454" s="13">
        <f>IF(G1454,N1454,NA())</f>
        <v/>
      </c>
      <c r="V1454" s="14">
        <f>IF(R1454,O1454,NA())</f>
        <v/>
      </c>
      <c r="W1454" s="13">
        <f>IF(R1454,N1454,NA())</f>
        <v/>
      </c>
      <c r="X1454" s="27">
        <f>IF(G1454,P1454,"")</f>
        <v/>
      </c>
      <c r="Y1454" s="27">
        <f>IF(G1454,N1454,"")</f>
        <v/>
      </c>
      <c r="Z1454" s="27">
        <f>IF(R1454,O1454,"")</f>
        <v/>
      </c>
      <c r="AA1454" s="27">
        <f>IF(R1454,N1454,"")</f>
        <v/>
      </c>
    </row>
    <row r="1455">
      <c r="A1455" s="31" t="n">
        <v>0.7</v>
      </c>
      <c r="B1455" s="31" t="n">
        <v>0.3</v>
      </c>
      <c r="C1455" s="31" t="n">
        <v>0</v>
      </c>
      <c r="D1455" s="31" t="n">
        <v>0</v>
      </c>
      <c r="E1455" s="27" t="inlineStr">
        <is>
          <t>ON 70%/1M 30%</t>
        </is>
      </c>
      <c r="F1455" s="27" t="n">
        <v>100</v>
      </c>
      <c r="G1455" s="27">
        <f>A1455*$B$7&gt;=$B$9</f>
        <v/>
      </c>
      <c r="H1455" s="13">
        <f>$B$7*(A1455*E$71+B1455*F$71+C1455*G$71+D1455*H$71)+F1455/100*$B$7*J$71-$C$71</f>
        <v/>
      </c>
      <c r="I1455" s="13">
        <f>$B$7*(A1455*L$71+B1455*M$71+C1455*N$71+D1455*O$71)+F1455/100*$B$7*Q$71-$C$71</f>
        <v/>
      </c>
      <c r="J1455" s="13">
        <f>$B$7*(A1455*S$71+B1455*T$71+C1455*U$71+D1455*V$71)+F1455/100*$B$7*X$71-$C$71</f>
        <v/>
      </c>
      <c r="K1455" s="13">
        <f>$B$7*(A1455*Z$71+B1455*AA$71+C1455*AB$71+D1455*AC$71)+F1455/100*$B$7*AE$71-$C$71</f>
        <v/>
      </c>
      <c r="L1455" s="13">
        <f>$B$7*(A1455*AG$71+B1455*AH$71+C1455*AI$71+D1455*AJ$71)+F1455/100*$B$7*AL$71-$C$71</f>
        <v/>
      </c>
      <c r="M1455" s="13">
        <f>$B$7*(A1455*AN$71+B1455*AO$71+C1455*AP$71+D1455*AQ$71)+F1455/100*$B$7*AS$71-$C$71</f>
        <v/>
      </c>
      <c r="N1455" s="13">
        <f>SUMPRODUCT($H$24:$M$24,H1455:M1455)</f>
        <v/>
      </c>
      <c r="O1455" s="14">
        <f>SQRT(SUMPRODUCT($H$24:$M$24,(H1455:M1455-N1455)^2))</f>
        <v/>
      </c>
      <c r="P1455" s="13">
        <f>MIN(H1455:M1455)</f>
        <v/>
      </c>
      <c r="Q1455" s="13">
        <f>MAX(H1455:M1455)</f>
        <v/>
      </c>
      <c r="R1455" s="27">
        <f>IF(G1455,SUMPRODUCT(($G$76:$G$1505)*($N$76:$N$1505&gt;=N1455)*($O$76:$O$1505&lt;=O1455))=1,FALSE)</f>
        <v/>
      </c>
      <c r="S1455" s="16">
        <f>IF(R1455,ABS((O1455-$AC$76)/MAX(0.0001,$AC$77-$AC$76)-(N1455-$AC$78)/MAX(0.0001,$AC$79-$AC$78)),-1)</f>
        <v/>
      </c>
      <c r="T1455" s="14">
        <f>IF(G1455,O1455,NA())</f>
        <v/>
      </c>
      <c r="U1455" s="13">
        <f>IF(G1455,N1455,NA())</f>
        <v/>
      </c>
      <c r="V1455" s="14">
        <f>IF(R1455,O1455,NA())</f>
        <v/>
      </c>
      <c r="W1455" s="13">
        <f>IF(R1455,N1455,NA())</f>
        <v/>
      </c>
      <c r="X1455" s="27">
        <f>IF(G1455,P1455,"")</f>
        <v/>
      </c>
      <c r="Y1455" s="27">
        <f>IF(G1455,N1455,"")</f>
        <v/>
      </c>
      <c r="Z1455" s="27">
        <f>IF(R1455,O1455,"")</f>
        <v/>
      </c>
      <c r="AA1455" s="27">
        <f>IF(R1455,N1455,"")</f>
        <v/>
      </c>
    </row>
    <row r="1456">
      <c r="A1456" s="31" t="n">
        <v>0.8</v>
      </c>
      <c r="B1456" s="31" t="n">
        <v>0</v>
      </c>
      <c r="C1456" s="31" t="n">
        <v>0</v>
      </c>
      <c r="D1456" s="31" t="n">
        <v>0.2</v>
      </c>
      <c r="E1456" s="27" t="inlineStr">
        <is>
          <t>ON 80%/3M 20%</t>
        </is>
      </c>
      <c r="F1456" s="27" t="n">
        <v>0</v>
      </c>
      <c r="G1456" s="27">
        <f>A1456*$B$7&gt;=$B$9</f>
        <v/>
      </c>
      <c r="H1456" s="13">
        <f>$B$7*(A1456*E$71+B1456*F$71+C1456*G$71+D1456*H$71)+F1456/100*$B$7*J$71-$C$71</f>
        <v/>
      </c>
      <c r="I1456" s="13">
        <f>$B$7*(A1456*L$71+B1456*M$71+C1456*N$71+D1456*O$71)+F1456/100*$B$7*Q$71-$C$71</f>
        <v/>
      </c>
      <c r="J1456" s="13">
        <f>$B$7*(A1456*S$71+B1456*T$71+C1456*U$71+D1456*V$71)+F1456/100*$B$7*X$71-$C$71</f>
        <v/>
      </c>
      <c r="K1456" s="13">
        <f>$B$7*(A1456*Z$71+B1456*AA$71+C1456*AB$71+D1456*AC$71)+F1456/100*$B$7*AE$71-$C$71</f>
        <v/>
      </c>
      <c r="L1456" s="13">
        <f>$B$7*(A1456*AG$71+B1456*AH$71+C1456*AI$71+D1456*AJ$71)+F1456/100*$B$7*AL$71-$C$71</f>
        <v/>
      </c>
      <c r="M1456" s="13">
        <f>$B$7*(A1456*AN$71+B1456*AO$71+C1456*AP$71+D1456*AQ$71)+F1456/100*$B$7*AS$71-$C$71</f>
        <v/>
      </c>
      <c r="N1456" s="13">
        <f>SUMPRODUCT($H$24:$M$24,H1456:M1456)</f>
        <v/>
      </c>
      <c r="O1456" s="14">
        <f>SQRT(SUMPRODUCT($H$24:$M$24,(H1456:M1456-N1456)^2))</f>
        <v/>
      </c>
      <c r="P1456" s="13">
        <f>MIN(H1456:M1456)</f>
        <v/>
      </c>
      <c r="Q1456" s="13">
        <f>MAX(H1456:M1456)</f>
        <v/>
      </c>
      <c r="R1456" s="27">
        <f>IF(G1456,SUMPRODUCT(($G$76:$G$1505)*($N$76:$N$1505&gt;=N1456)*($O$76:$O$1505&lt;=O1456))=1,FALSE)</f>
        <v/>
      </c>
      <c r="S1456" s="16">
        <f>IF(R1456,ABS((O1456-$AC$76)/MAX(0.0001,$AC$77-$AC$76)-(N1456-$AC$78)/MAX(0.0001,$AC$79-$AC$78)),-1)</f>
        <v/>
      </c>
      <c r="T1456" s="14">
        <f>IF(G1456,O1456,NA())</f>
        <v/>
      </c>
      <c r="U1456" s="13">
        <f>IF(G1456,N1456,NA())</f>
        <v/>
      </c>
      <c r="V1456" s="14">
        <f>IF(R1456,O1456,NA())</f>
        <v/>
      </c>
      <c r="W1456" s="13">
        <f>IF(R1456,N1456,NA())</f>
        <v/>
      </c>
      <c r="X1456" s="27">
        <f>IF(G1456,P1456,"")</f>
        <v/>
      </c>
      <c r="Y1456" s="27">
        <f>IF(G1456,N1456,"")</f>
        <v/>
      </c>
      <c r="Z1456" s="27">
        <f>IF(R1456,O1456,"")</f>
        <v/>
      </c>
      <c r="AA1456" s="27">
        <f>IF(R1456,N1456,"")</f>
        <v/>
      </c>
    </row>
    <row r="1457">
      <c r="A1457" s="31" t="n">
        <v>0.8</v>
      </c>
      <c r="B1457" s="31" t="n">
        <v>0</v>
      </c>
      <c r="C1457" s="31" t="n">
        <v>0</v>
      </c>
      <c r="D1457" s="31" t="n">
        <v>0.2</v>
      </c>
      <c r="E1457" s="27" t="inlineStr">
        <is>
          <t>ON 80%/3M 20%</t>
        </is>
      </c>
      <c r="F1457" s="27" t="n">
        <v>25</v>
      </c>
      <c r="G1457" s="27">
        <f>A1457*$B$7&gt;=$B$9</f>
        <v/>
      </c>
      <c r="H1457" s="13">
        <f>$B$7*(A1457*E$71+B1457*F$71+C1457*G$71+D1457*H$71)+F1457/100*$B$7*J$71-$C$71</f>
        <v/>
      </c>
      <c r="I1457" s="13">
        <f>$B$7*(A1457*L$71+B1457*M$71+C1457*N$71+D1457*O$71)+F1457/100*$B$7*Q$71-$C$71</f>
        <v/>
      </c>
      <c r="J1457" s="13">
        <f>$B$7*(A1457*S$71+B1457*T$71+C1457*U$71+D1457*V$71)+F1457/100*$B$7*X$71-$C$71</f>
        <v/>
      </c>
      <c r="K1457" s="13">
        <f>$B$7*(A1457*Z$71+B1457*AA$71+C1457*AB$71+D1457*AC$71)+F1457/100*$B$7*AE$71-$C$71</f>
        <v/>
      </c>
      <c r="L1457" s="13">
        <f>$B$7*(A1457*AG$71+B1457*AH$71+C1457*AI$71+D1457*AJ$71)+F1457/100*$B$7*AL$71-$C$71</f>
        <v/>
      </c>
      <c r="M1457" s="13">
        <f>$B$7*(A1457*AN$71+B1457*AO$71+C1457*AP$71+D1457*AQ$71)+F1457/100*$B$7*AS$71-$C$71</f>
        <v/>
      </c>
      <c r="N1457" s="13">
        <f>SUMPRODUCT($H$24:$M$24,H1457:M1457)</f>
        <v/>
      </c>
      <c r="O1457" s="14">
        <f>SQRT(SUMPRODUCT($H$24:$M$24,(H1457:M1457-N1457)^2))</f>
        <v/>
      </c>
      <c r="P1457" s="13">
        <f>MIN(H1457:M1457)</f>
        <v/>
      </c>
      <c r="Q1457" s="13">
        <f>MAX(H1457:M1457)</f>
        <v/>
      </c>
      <c r="R1457" s="27">
        <f>IF(G1457,SUMPRODUCT(($G$76:$G$1505)*($N$76:$N$1505&gt;=N1457)*($O$76:$O$1505&lt;=O1457))=1,FALSE)</f>
        <v/>
      </c>
      <c r="S1457" s="16">
        <f>IF(R1457,ABS((O1457-$AC$76)/MAX(0.0001,$AC$77-$AC$76)-(N1457-$AC$78)/MAX(0.0001,$AC$79-$AC$78)),-1)</f>
        <v/>
      </c>
      <c r="T1457" s="14">
        <f>IF(G1457,O1457,NA())</f>
        <v/>
      </c>
      <c r="U1457" s="13">
        <f>IF(G1457,N1457,NA())</f>
        <v/>
      </c>
      <c r="V1457" s="14">
        <f>IF(R1457,O1457,NA())</f>
        <v/>
      </c>
      <c r="W1457" s="13">
        <f>IF(R1457,N1457,NA())</f>
        <v/>
      </c>
      <c r="X1457" s="27">
        <f>IF(G1457,P1457,"")</f>
        <v/>
      </c>
      <c r="Y1457" s="27">
        <f>IF(G1457,N1457,"")</f>
        <v/>
      </c>
      <c r="Z1457" s="27">
        <f>IF(R1457,O1457,"")</f>
        <v/>
      </c>
      <c r="AA1457" s="27">
        <f>IF(R1457,N1457,"")</f>
        <v/>
      </c>
    </row>
    <row r="1458">
      <c r="A1458" s="31" t="n">
        <v>0.8</v>
      </c>
      <c r="B1458" s="31" t="n">
        <v>0</v>
      </c>
      <c r="C1458" s="31" t="n">
        <v>0</v>
      </c>
      <c r="D1458" s="31" t="n">
        <v>0.2</v>
      </c>
      <c r="E1458" s="27" t="inlineStr">
        <is>
          <t>ON 80%/3M 20%</t>
        </is>
      </c>
      <c r="F1458" s="27" t="n">
        <v>50</v>
      </c>
      <c r="G1458" s="27">
        <f>A1458*$B$7&gt;=$B$9</f>
        <v/>
      </c>
      <c r="H1458" s="13">
        <f>$B$7*(A1458*E$71+B1458*F$71+C1458*G$71+D1458*H$71)+F1458/100*$B$7*J$71-$C$71</f>
        <v/>
      </c>
      <c r="I1458" s="13">
        <f>$B$7*(A1458*L$71+B1458*M$71+C1458*N$71+D1458*O$71)+F1458/100*$B$7*Q$71-$C$71</f>
        <v/>
      </c>
      <c r="J1458" s="13">
        <f>$B$7*(A1458*S$71+B1458*T$71+C1458*U$71+D1458*V$71)+F1458/100*$B$7*X$71-$C$71</f>
        <v/>
      </c>
      <c r="K1458" s="13">
        <f>$B$7*(A1458*Z$71+B1458*AA$71+C1458*AB$71+D1458*AC$71)+F1458/100*$B$7*AE$71-$C$71</f>
        <v/>
      </c>
      <c r="L1458" s="13">
        <f>$B$7*(A1458*AG$71+B1458*AH$71+C1458*AI$71+D1458*AJ$71)+F1458/100*$B$7*AL$71-$C$71</f>
        <v/>
      </c>
      <c r="M1458" s="13">
        <f>$B$7*(A1458*AN$71+B1458*AO$71+C1458*AP$71+D1458*AQ$71)+F1458/100*$B$7*AS$71-$C$71</f>
        <v/>
      </c>
      <c r="N1458" s="13">
        <f>SUMPRODUCT($H$24:$M$24,H1458:M1458)</f>
        <v/>
      </c>
      <c r="O1458" s="14">
        <f>SQRT(SUMPRODUCT($H$24:$M$24,(H1458:M1458-N1458)^2))</f>
        <v/>
      </c>
      <c r="P1458" s="13">
        <f>MIN(H1458:M1458)</f>
        <v/>
      </c>
      <c r="Q1458" s="13">
        <f>MAX(H1458:M1458)</f>
        <v/>
      </c>
      <c r="R1458" s="27">
        <f>IF(G1458,SUMPRODUCT(($G$76:$G$1505)*($N$76:$N$1505&gt;=N1458)*($O$76:$O$1505&lt;=O1458))=1,FALSE)</f>
        <v/>
      </c>
      <c r="S1458" s="16">
        <f>IF(R1458,ABS((O1458-$AC$76)/MAX(0.0001,$AC$77-$AC$76)-(N1458-$AC$78)/MAX(0.0001,$AC$79-$AC$78)),-1)</f>
        <v/>
      </c>
      <c r="T1458" s="14">
        <f>IF(G1458,O1458,NA())</f>
        <v/>
      </c>
      <c r="U1458" s="13">
        <f>IF(G1458,N1458,NA())</f>
        <v/>
      </c>
      <c r="V1458" s="14">
        <f>IF(R1458,O1458,NA())</f>
        <v/>
      </c>
      <c r="W1458" s="13">
        <f>IF(R1458,N1458,NA())</f>
        <v/>
      </c>
      <c r="X1458" s="27">
        <f>IF(G1458,P1458,"")</f>
        <v/>
      </c>
      <c r="Y1458" s="27">
        <f>IF(G1458,N1458,"")</f>
        <v/>
      </c>
      <c r="Z1458" s="27">
        <f>IF(R1458,O1458,"")</f>
        <v/>
      </c>
      <c r="AA1458" s="27">
        <f>IF(R1458,N1458,"")</f>
        <v/>
      </c>
    </row>
    <row r="1459">
      <c r="A1459" s="31" t="n">
        <v>0.8</v>
      </c>
      <c r="B1459" s="31" t="n">
        <v>0</v>
      </c>
      <c r="C1459" s="31" t="n">
        <v>0</v>
      </c>
      <c r="D1459" s="31" t="n">
        <v>0.2</v>
      </c>
      <c r="E1459" s="27" t="inlineStr">
        <is>
          <t>ON 80%/3M 20%</t>
        </is>
      </c>
      <c r="F1459" s="27" t="n">
        <v>75</v>
      </c>
      <c r="G1459" s="27">
        <f>A1459*$B$7&gt;=$B$9</f>
        <v/>
      </c>
      <c r="H1459" s="13">
        <f>$B$7*(A1459*E$71+B1459*F$71+C1459*G$71+D1459*H$71)+F1459/100*$B$7*J$71-$C$71</f>
        <v/>
      </c>
      <c r="I1459" s="13">
        <f>$B$7*(A1459*L$71+B1459*M$71+C1459*N$71+D1459*O$71)+F1459/100*$B$7*Q$71-$C$71</f>
        <v/>
      </c>
      <c r="J1459" s="13">
        <f>$B$7*(A1459*S$71+B1459*T$71+C1459*U$71+D1459*V$71)+F1459/100*$B$7*X$71-$C$71</f>
        <v/>
      </c>
      <c r="K1459" s="13">
        <f>$B$7*(A1459*Z$71+B1459*AA$71+C1459*AB$71+D1459*AC$71)+F1459/100*$B$7*AE$71-$C$71</f>
        <v/>
      </c>
      <c r="L1459" s="13">
        <f>$B$7*(A1459*AG$71+B1459*AH$71+C1459*AI$71+D1459*AJ$71)+F1459/100*$B$7*AL$71-$C$71</f>
        <v/>
      </c>
      <c r="M1459" s="13">
        <f>$B$7*(A1459*AN$71+B1459*AO$71+C1459*AP$71+D1459*AQ$71)+F1459/100*$B$7*AS$71-$C$71</f>
        <v/>
      </c>
      <c r="N1459" s="13">
        <f>SUMPRODUCT($H$24:$M$24,H1459:M1459)</f>
        <v/>
      </c>
      <c r="O1459" s="14">
        <f>SQRT(SUMPRODUCT($H$24:$M$24,(H1459:M1459-N1459)^2))</f>
        <v/>
      </c>
      <c r="P1459" s="13">
        <f>MIN(H1459:M1459)</f>
        <v/>
      </c>
      <c r="Q1459" s="13">
        <f>MAX(H1459:M1459)</f>
        <v/>
      </c>
      <c r="R1459" s="27">
        <f>IF(G1459,SUMPRODUCT(($G$76:$G$1505)*($N$76:$N$1505&gt;=N1459)*($O$76:$O$1505&lt;=O1459))=1,FALSE)</f>
        <v/>
      </c>
      <c r="S1459" s="16">
        <f>IF(R1459,ABS((O1459-$AC$76)/MAX(0.0001,$AC$77-$AC$76)-(N1459-$AC$78)/MAX(0.0001,$AC$79-$AC$78)),-1)</f>
        <v/>
      </c>
      <c r="T1459" s="14">
        <f>IF(G1459,O1459,NA())</f>
        <v/>
      </c>
      <c r="U1459" s="13">
        <f>IF(G1459,N1459,NA())</f>
        <v/>
      </c>
      <c r="V1459" s="14">
        <f>IF(R1459,O1459,NA())</f>
        <v/>
      </c>
      <c r="W1459" s="13">
        <f>IF(R1459,N1459,NA())</f>
        <v/>
      </c>
      <c r="X1459" s="27">
        <f>IF(G1459,P1459,"")</f>
        <v/>
      </c>
      <c r="Y1459" s="27">
        <f>IF(G1459,N1459,"")</f>
        <v/>
      </c>
      <c r="Z1459" s="27">
        <f>IF(R1459,O1459,"")</f>
        <v/>
      </c>
      <c r="AA1459" s="27">
        <f>IF(R1459,N1459,"")</f>
        <v/>
      </c>
    </row>
    <row r="1460">
      <c r="A1460" s="31" t="n">
        <v>0.8</v>
      </c>
      <c r="B1460" s="31" t="n">
        <v>0</v>
      </c>
      <c r="C1460" s="31" t="n">
        <v>0</v>
      </c>
      <c r="D1460" s="31" t="n">
        <v>0.2</v>
      </c>
      <c r="E1460" s="27" t="inlineStr">
        <is>
          <t>ON 80%/3M 20%</t>
        </is>
      </c>
      <c r="F1460" s="27" t="n">
        <v>100</v>
      </c>
      <c r="G1460" s="27">
        <f>A1460*$B$7&gt;=$B$9</f>
        <v/>
      </c>
      <c r="H1460" s="13">
        <f>$B$7*(A1460*E$71+B1460*F$71+C1460*G$71+D1460*H$71)+F1460/100*$B$7*J$71-$C$71</f>
        <v/>
      </c>
      <c r="I1460" s="13">
        <f>$B$7*(A1460*L$71+B1460*M$71+C1460*N$71+D1460*O$71)+F1460/100*$B$7*Q$71-$C$71</f>
        <v/>
      </c>
      <c r="J1460" s="13">
        <f>$B$7*(A1460*S$71+B1460*T$71+C1460*U$71+D1460*V$71)+F1460/100*$B$7*X$71-$C$71</f>
        <v/>
      </c>
      <c r="K1460" s="13">
        <f>$B$7*(A1460*Z$71+B1460*AA$71+C1460*AB$71+D1460*AC$71)+F1460/100*$B$7*AE$71-$C$71</f>
        <v/>
      </c>
      <c r="L1460" s="13">
        <f>$B$7*(A1460*AG$71+B1460*AH$71+C1460*AI$71+D1460*AJ$71)+F1460/100*$B$7*AL$71-$C$71</f>
        <v/>
      </c>
      <c r="M1460" s="13">
        <f>$B$7*(A1460*AN$71+B1460*AO$71+C1460*AP$71+D1460*AQ$71)+F1460/100*$B$7*AS$71-$C$71</f>
        <v/>
      </c>
      <c r="N1460" s="13">
        <f>SUMPRODUCT($H$24:$M$24,H1460:M1460)</f>
        <v/>
      </c>
      <c r="O1460" s="14">
        <f>SQRT(SUMPRODUCT($H$24:$M$24,(H1460:M1460-N1460)^2))</f>
        <v/>
      </c>
      <c r="P1460" s="13">
        <f>MIN(H1460:M1460)</f>
        <v/>
      </c>
      <c r="Q1460" s="13">
        <f>MAX(H1460:M1460)</f>
        <v/>
      </c>
      <c r="R1460" s="27">
        <f>IF(G1460,SUMPRODUCT(($G$76:$G$1505)*($N$76:$N$1505&gt;=N1460)*($O$76:$O$1505&lt;=O1460))=1,FALSE)</f>
        <v/>
      </c>
      <c r="S1460" s="16">
        <f>IF(R1460,ABS((O1460-$AC$76)/MAX(0.0001,$AC$77-$AC$76)-(N1460-$AC$78)/MAX(0.0001,$AC$79-$AC$78)),-1)</f>
        <v/>
      </c>
      <c r="T1460" s="14">
        <f>IF(G1460,O1460,NA())</f>
        <v/>
      </c>
      <c r="U1460" s="13">
        <f>IF(G1460,N1460,NA())</f>
        <v/>
      </c>
      <c r="V1460" s="14">
        <f>IF(R1460,O1460,NA())</f>
        <v/>
      </c>
      <c r="W1460" s="13">
        <f>IF(R1460,N1460,NA())</f>
        <v/>
      </c>
      <c r="X1460" s="27">
        <f>IF(G1460,P1460,"")</f>
        <v/>
      </c>
      <c r="Y1460" s="27">
        <f>IF(G1460,N1460,"")</f>
        <v/>
      </c>
      <c r="Z1460" s="27">
        <f>IF(R1460,O1460,"")</f>
        <v/>
      </c>
      <c r="AA1460" s="27">
        <f>IF(R1460,N1460,"")</f>
        <v/>
      </c>
    </row>
    <row r="1461">
      <c r="A1461" s="31" t="n">
        <v>0.8</v>
      </c>
      <c r="B1461" s="31" t="n">
        <v>0</v>
      </c>
      <c r="C1461" s="31" t="n">
        <v>0.1</v>
      </c>
      <c r="D1461" s="31" t="n">
        <v>0.1</v>
      </c>
      <c r="E1461" s="27" t="inlineStr">
        <is>
          <t>ON 80%/2M 10%/3M 10%</t>
        </is>
      </c>
      <c r="F1461" s="27" t="n">
        <v>0</v>
      </c>
      <c r="G1461" s="27">
        <f>A1461*$B$7&gt;=$B$9</f>
        <v/>
      </c>
      <c r="H1461" s="13">
        <f>$B$7*(A1461*E$71+B1461*F$71+C1461*G$71+D1461*H$71)+F1461/100*$B$7*J$71-$C$71</f>
        <v/>
      </c>
      <c r="I1461" s="13">
        <f>$B$7*(A1461*L$71+B1461*M$71+C1461*N$71+D1461*O$71)+F1461/100*$B$7*Q$71-$C$71</f>
        <v/>
      </c>
      <c r="J1461" s="13">
        <f>$B$7*(A1461*S$71+B1461*T$71+C1461*U$71+D1461*V$71)+F1461/100*$B$7*X$71-$C$71</f>
        <v/>
      </c>
      <c r="K1461" s="13">
        <f>$B$7*(A1461*Z$71+B1461*AA$71+C1461*AB$71+D1461*AC$71)+F1461/100*$B$7*AE$71-$C$71</f>
        <v/>
      </c>
      <c r="L1461" s="13">
        <f>$B$7*(A1461*AG$71+B1461*AH$71+C1461*AI$71+D1461*AJ$71)+F1461/100*$B$7*AL$71-$C$71</f>
        <v/>
      </c>
      <c r="M1461" s="13">
        <f>$B$7*(A1461*AN$71+B1461*AO$71+C1461*AP$71+D1461*AQ$71)+F1461/100*$B$7*AS$71-$C$71</f>
        <v/>
      </c>
      <c r="N1461" s="13">
        <f>SUMPRODUCT($H$24:$M$24,H1461:M1461)</f>
        <v/>
      </c>
      <c r="O1461" s="14">
        <f>SQRT(SUMPRODUCT($H$24:$M$24,(H1461:M1461-N1461)^2))</f>
        <v/>
      </c>
      <c r="P1461" s="13">
        <f>MIN(H1461:M1461)</f>
        <v/>
      </c>
      <c r="Q1461" s="13">
        <f>MAX(H1461:M1461)</f>
        <v/>
      </c>
      <c r="R1461" s="27">
        <f>IF(G1461,SUMPRODUCT(($G$76:$G$1505)*($N$76:$N$1505&gt;=N1461)*($O$76:$O$1505&lt;=O1461))=1,FALSE)</f>
        <v/>
      </c>
      <c r="S1461" s="16">
        <f>IF(R1461,ABS((O1461-$AC$76)/MAX(0.0001,$AC$77-$AC$76)-(N1461-$AC$78)/MAX(0.0001,$AC$79-$AC$78)),-1)</f>
        <v/>
      </c>
      <c r="T1461" s="14">
        <f>IF(G1461,O1461,NA())</f>
        <v/>
      </c>
      <c r="U1461" s="13">
        <f>IF(G1461,N1461,NA())</f>
        <v/>
      </c>
      <c r="V1461" s="14">
        <f>IF(R1461,O1461,NA())</f>
        <v/>
      </c>
      <c r="W1461" s="13">
        <f>IF(R1461,N1461,NA())</f>
        <v/>
      </c>
      <c r="X1461" s="27">
        <f>IF(G1461,P1461,"")</f>
        <v/>
      </c>
      <c r="Y1461" s="27">
        <f>IF(G1461,N1461,"")</f>
        <v/>
      </c>
      <c r="Z1461" s="27">
        <f>IF(R1461,O1461,"")</f>
        <v/>
      </c>
      <c r="AA1461" s="27">
        <f>IF(R1461,N1461,"")</f>
        <v/>
      </c>
    </row>
    <row r="1462">
      <c r="A1462" s="31" t="n">
        <v>0.8</v>
      </c>
      <c r="B1462" s="31" t="n">
        <v>0</v>
      </c>
      <c r="C1462" s="31" t="n">
        <v>0.1</v>
      </c>
      <c r="D1462" s="31" t="n">
        <v>0.1</v>
      </c>
      <c r="E1462" s="27" t="inlineStr">
        <is>
          <t>ON 80%/2M 10%/3M 10%</t>
        </is>
      </c>
      <c r="F1462" s="27" t="n">
        <v>25</v>
      </c>
      <c r="G1462" s="27">
        <f>A1462*$B$7&gt;=$B$9</f>
        <v/>
      </c>
      <c r="H1462" s="13">
        <f>$B$7*(A1462*E$71+B1462*F$71+C1462*G$71+D1462*H$71)+F1462/100*$B$7*J$71-$C$71</f>
        <v/>
      </c>
      <c r="I1462" s="13">
        <f>$B$7*(A1462*L$71+B1462*M$71+C1462*N$71+D1462*O$71)+F1462/100*$B$7*Q$71-$C$71</f>
        <v/>
      </c>
      <c r="J1462" s="13">
        <f>$B$7*(A1462*S$71+B1462*T$71+C1462*U$71+D1462*V$71)+F1462/100*$B$7*X$71-$C$71</f>
        <v/>
      </c>
      <c r="K1462" s="13">
        <f>$B$7*(A1462*Z$71+B1462*AA$71+C1462*AB$71+D1462*AC$71)+F1462/100*$B$7*AE$71-$C$71</f>
        <v/>
      </c>
      <c r="L1462" s="13">
        <f>$B$7*(A1462*AG$71+B1462*AH$71+C1462*AI$71+D1462*AJ$71)+F1462/100*$B$7*AL$71-$C$71</f>
        <v/>
      </c>
      <c r="M1462" s="13">
        <f>$B$7*(A1462*AN$71+B1462*AO$71+C1462*AP$71+D1462*AQ$71)+F1462/100*$B$7*AS$71-$C$71</f>
        <v/>
      </c>
      <c r="N1462" s="13">
        <f>SUMPRODUCT($H$24:$M$24,H1462:M1462)</f>
        <v/>
      </c>
      <c r="O1462" s="14">
        <f>SQRT(SUMPRODUCT($H$24:$M$24,(H1462:M1462-N1462)^2))</f>
        <v/>
      </c>
      <c r="P1462" s="13">
        <f>MIN(H1462:M1462)</f>
        <v/>
      </c>
      <c r="Q1462" s="13">
        <f>MAX(H1462:M1462)</f>
        <v/>
      </c>
      <c r="R1462" s="27">
        <f>IF(G1462,SUMPRODUCT(($G$76:$G$1505)*($N$76:$N$1505&gt;=N1462)*($O$76:$O$1505&lt;=O1462))=1,FALSE)</f>
        <v/>
      </c>
      <c r="S1462" s="16">
        <f>IF(R1462,ABS((O1462-$AC$76)/MAX(0.0001,$AC$77-$AC$76)-(N1462-$AC$78)/MAX(0.0001,$AC$79-$AC$78)),-1)</f>
        <v/>
      </c>
      <c r="T1462" s="14">
        <f>IF(G1462,O1462,NA())</f>
        <v/>
      </c>
      <c r="U1462" s="13">
        <f>IF(G1462,N1462,NA())</f>
        <v/>
      </c>
      <c r="V1462" s="14">
        <f>IF(R1462,O1462,NA())</f>
        <v/>
      </c>
      <c r="W1462" s="13">
        <f>IF(R1462,N1462,NA())</f>
        <v/>
      </c>
      <c r="X1462" s="27">
        <f>IF(G1462,P1462,"")</f>
        <v/>
      </c>
      <c r="Y1462" s="27">
        <f>IF(G1462,N1462,"")</f>
        <v/>
      </c>
      <c r="Z1462" s="27">
        <f>IF(R1462,O1462,"")</f>
        <v/>
      </c>
      <c r="AA1462" s="27">
        <f>IF(R1462,N1462,"")</f>
        <v/>
      </c>
    </row>
    <row r="1463">
      <c r="A1463" s="31" t="n">
        <v>0.8</v>
      </c>
      <c r="B1463" s="31" t="n">
        <v>0</v>
      </c>
      <c r="C1463" s="31" t="n">
        <v>0.1</v>
      </c>
      <c r="D1463" s="31" t="n">
        <v>0.1</v>
      </c>
      <c r="E1463" s="27" t="inlineStr">
        <is>
          <t>ON 80%/2M 10%/3M 10%</t>
        </is>
      </c>
      <c r="F1463" s="27" t="n">
        <v>50</v>
      </c>
      <c r="G1463" s="27">
        <f>A1463*$B$7&gt;=$B$9</f>
        <v/>
      </c>
      <c r="H1463" s="13">
        <f>$B$7*(A1463*E$71+B1463*F$71+C1463*G$71+D1463*H$71)+F1463/100*$B$7*J$71-$C$71</f>
        <v/>
      </c>
      <c r="I1463" s="13">
        <f>$B$7*(A1463*L$71+B1463*M$71+C1463*N$71+D1463*O$71)+F1463/100*$B$7*Q$71-$C$71</f>
        <v/>
      </c>
      <c r="J1463" s="13">
        <f>$B$7*(A1463*S$71+B1463*T$71+C1463*U$71+D1463*V$71)+F1463/100*$B$7*X$71-$C$71</f>
        <v/>
      </c>
      <c r="K1463" s="13">
        <f>$B$7*(A1463*Z$71+B1463*AA$71+C1463*AB$71+D1463*AC$71)+F1463/100*$B$7*AE$71-$C$71</f>
        <v/>
      </c>
      <c r="L1463" s="13">
        <f>$B$7*(A1463*AG$71+B1463*AH$71+C1463*AI$71+D1463*AJ$71)+F1463/100*$B$7*AL$71-$C$71</f>
        <v/>
      </c>
      <c r="M1463" s="13">
        <f>$B$7*(A1463*AN$71+B1463*AO$71+C1463*AP$71+D1463*AQ$71)+F1463/100*$B$7*AS$71-$C$71</f>
        <v/>
      </c>
      <c r="N1463" s="13">
        <f>SUMPRODUCT($H$24:$M$24,H1463:M1463)</f>
        <v/>
      </c>
      <c r="O1463" s="14">
        <f>SQRT(SUMPRODUCT($H$24:$M$24,(H1463:M1463-N1463)^2))</f>
        <v/>
      </c>
      <c r="P1463" s="13">
        <f>MIN(H1463:M1463)</f>
        <v/>
      </c>
      <c r="Q1463" s="13">
        <f>MAX(H1463:M1463)</f>
        <v/>
      </c>
      <c r="R1463" s="27">
        <f>IF(G1463,SUMPRODUCT(($G$76:$G$1505)*($N$76:$N$1505&gt;=N1463)*($O$76:$O$1505&lt;=O1463))=1,FALSE)</f>
        <v/>
      </c>
      <c r="S1463" s="16">
        <f>IF(R1463,ABS((O1463-$AC$76)/MAX(0.0001,$AC$77-$AC$76)-(N1463-$AC$78)/MAX(0.0001,$AC$79-$AC$78)),-1)</f>
        <v/>
      </c>
      <c r="T1463" s="14">
        <f>IF(G1463,O1463,NA())</f>
        <v/>
      </c>
      <c r="U1463" s="13">
        <f>IF(G1463,N1463,NA())</f>
        <v/>
      </c>
      <c r="V1463" s="14">
        <f>IF(R1463,O1463,NA())</f>
        <v/>
      </c>
      <c r="W1463" s="13">
        <f>IF(R1463,N1463,NA())</f>
        <v/>
      </c>
      <c r="X1463" s="27">
        <f>IF(G1463,P1463,"")</f>
        <v/>
      </c>
      <c r="Y1463" s="27">
        <f>IF(G1463,N1463,"")</f>
        <v/>
      </c>
      <c r="Z1463" s="27">
        <f>IF(R1463,O1463,"")</f>
        <v/>
      </c>
      <c r="AA1463" s="27">
        <f>IF(R1463,N1463,"")</f>
        <v/>
      </c>
    </row>
    <row r="1464">
      <c r="A1464" s="31" t="n">
        <v>0.8</v>
      </c>
      <c r="B1464" s="31" t="n">
        <v>0</v>
      </c>
      <c r="C1464" s="31" t="n">
        <v>0.1</v>
      </c>
      <c r="D1464" s="31" t="n">
        <v>0.1</v>
      </c>
      <c r="E1464" s="27" t="inlineStr">
        <is>
          <t>ON 80%/2M 10%/3M 10%</t>
        </is>
      </c>
      <c r="F1464" s="27" t="n">
        <v>75</v>
      </c>
      <c r="G1464" s="27">
        <f>A1464*$B$7&gt;=$B$9</f>
        <v/>
      </c>
      <c r="H1464" s="13">
        <f>$B$7*(A1464*E$71+B1464*F$71+C1464*G$71+D1464*H$71)+F1464/100*$B$7*J$71-$C$71</f>
        <v/>
      </c>
      <c r="I1464" s="13">
        <f>$B$7*(A1464*L$71+B1464*M$71+C1464*N$71+D1464*O$71)+F1464/100*$B$7*Q$71-$C$71</f>
        <v/>
      </c>
      <c r="J1464" s="13">
        <f>$B$7*(A1464*S$71+B1464*T$71+C1464*U$71+D1464*V$71)+F1464/100*$B$7*X$71-$C$71</f>
        <v/>
      </c>
      <c r="K1464" s="13">
        <f>$B$7*(A1464*Z$71+B1464*AA$71+C1464*AB$71+D1464*AC$71)+F1464/100*$B$7*AE$71-$C$71</f>
        <v/>
      </c>
      <c r="L1464" s="13">
        <f>$B$7*(A1464*AG$71+B1464*AH$71+C1464*AI$71+D1464*AJ$71)+F1464/100*$B$7*AL$71-$C$71</f>
        <v/>
      </c>
      <c r="M1464" s="13">
        <f>$B$7*(A1464*AN$71+B1464*AO$71+C1464*AP$71+D1464*AQ$71)+F1464/100*$B$7*AS$71-$C$71</f>
        <v/>
      </c>
      <c r="N1464" s="13">
        <f>SUMPRODUCT($H$24:$M$24,H1464:M1464)</f>
        <v/>
      </c>
      <c r="O1464" s="14">
        <f>SQRT(SUMPRODUCT($H$24:$M$24,(H1464:M1464-N1464)^2))</f>
        <v/>
      </c>
      <c r="P1464" s="13">
        <f>MIN(H1464:M1464)</f>
        <v/>
      </c>
      <c r="Q1464" s="13">
        <f>MAX(H1464:M1464)</f>
        <v/>
      </c>
      <c r="R1464" s="27">
        <f>IF(G1464,SUMPRODUCT(($G$76:$G$1505)*($N$76:$N$1505&gt;=N1464)*($O$76:$O$1505&lt;=O1464))=1,FALSE)</f>
        <v/>
      </c>
      <c r="S1464" s="16">
        <f>IF(R1464,ABS((O1464-$AC$76)/MAX(0.0001,$AC$77-$AC$76)-(N1464-$AC$78)/MAX(0.0001,$AC$79-$AC$78)),-1)</f>
        <v/>
      </c>
      <c r="T1464" s="14">
        <f>IF(G1464,O1464,NA())</f>
        <v/>
      </c>
      <c r="U1464" s="13">
        <f>IF(G1464,N1464,NA())</f>
        <v/>
      </c>
      <c r="V1464" s="14">
        <f>IF(R1464,O1464,NA())</f>
        <v/>
      </c>
      <c r="W1464" s="13">
        <f>IF(R1464,N1464,NA())</f>
        <v/>
      </c>
      <c r="X1464" s="27">
        <f>IF(G1464,P1464,"")</f>
        <v/>
      </c>
      <c r="Y1464" s="27">
        <f>IF(G1464,N1464,"")</f>
        <v/>
      </c>
      <c r="Z1464" s="27">
        <f>IF(R1464,O1464,"")</f>
        <v/>
      </c>
      <c r="AA1464" s="27">
        <f>IF(R1464,N1464,"")</f>
        <v/>
      </c>
    </row>
    <row r="1465">
      <c r="A1465" s="31" t="n">
        <v>0.8</v>
      </c>
      <c r="B1465" s="31" t="n">
        <v>0</v>
      </c>
      <c r="C1465" s="31" t="n">
        <v>0.1</v>
      </c>
      <c r="D1465" s="31" t="n">
        <v>0.1</v>
      </c>
      <c r="E1465" s="27" t="inlineStr">
        <is>
          <t>ON 80%/2M 10%/3M 10%</t>
        </is>
      </c>
      <c r="F1465" s="27" t="n">
        <v>100</v>
      </c>
      <c r="G1465" s="27">
        <f>A1465*$B$7&gt;=$B$9</f>
        <v/>
      </c>
      <c r="H1465" s="13">
        <f>$B$7*(A1465*E$71+B1465*F$71+C1465*G$71+D1465*H$71)+F1465/100*$B$7*J$71-$C$71</f>
        <v/>
      </c>
      <c r="I1465" s="13">
        <f>$B$7*(A1465*L$71+B1465*M$71+C1465*N$71+D1465*O$71)+F1465/100*$B$7*Q$71-$C$71</f>
        <v/>
      </c>
      <c r="J1465" s="13">
        <f>$B$7*(A1465*S$71+B1465*T$71+C1465*U$71+D1465*V$71)+F1465/100*$B$7*X$71-$C$71</f>
        <v/>
      </c>
      <c r="K1465" s="13">
        <f>$B$7*(A1465*Z$71+B1465*AA$71+C1465*AB$71+D1465*AC$71)+F1465/100*$B$7*AE$71-$C$71</f>
        <v/>
      </c>
      <c r="L1465" s="13">
        <f>$B$7*(A1465*AG$71+B1465*AH$71+C1465*AI$71+D1465*AJ$71)+F1465/100*$B$7*AL$71-$C$71</f>
        <v/>
      </c>
      <c r="M1465" s="13">
        <f>$B$7*(A1465*AN$71+B1465*AO$71+C1465*AP$71+D1465*AQ$71)+F1465/100*$B$7*AS$71-$C$71</f>
        <v/>
      </c>
      <c r="N1465" s="13">
        <f>SUMPRODUCT($H$24:$M$24,H1465:M1465)</f>
        <v/>
      </c>
      <c r="O1465" s="14">
        <f>SQRT(SUMPRODUCT($H$24:$M$24,(H1465:M1465-N1465)^2))</f>
        <v/>
      </c>
      <c r="P1465" s="13">
        <f>MIN(H1465:M1465)</f>
        <v/>
      </c>
      <c r="Q1465" s="13">
        <f>MAX(H1465:M1465)</f>
        <v/>
      </c>
      <c r="R1465" s="27">
        <f>IF(G1465,SUMPRODUCT(($G$76:$G$1505)*($N$76:$N$1505&gt;=N1465)*($O$76:$O$1505&lt;=O1465))=1,FALSE)</f>
        <v/>
      </c>
      <c r="S1465" s="16">
        <f>IF(R1465,ABS((O1465-$AC$76)/MAX(0.0001,$AC$77-$AC$76)-(N1465-$AC$78)/MAX(0.0001,$AC$79-$AC$78)),-1)</f>
        <v/>
      </c>
      <c r="T1465" s="14">
        <f>IF(G1465,O1465,NA())</f>
        <v/>
      </c>
      <c r="U1465" s="13">
        <f>IF(G1465,N1465,NA())</f>
        <v/>
      </c>
      <c r="V1465" s="14">
        <f>IF(R1465,O1465,NA())</f>
        <v/>
      </c>
      <c r="W1465" s="13">
        <f>IF(R1465,N1465,NA())</f>
        <v/>
      </c>
      <c r="X1465" s="27">
        <f>IF(G1465,P1465,"")</f>
        <v/>
      </c>
      <c r="Y1465" s="27">
        <f>IF(G1465,N1465,"")</f>
        <v/>
      </c>
      <c r="Z1465" s="27">
        <f>IF(R1465,O1465,"")</f>
        <v/>
      </c>
      <c r="AA1465" s="27">
        <f>IF(R1465,N1465,"")</f>
        <v/>
      </c>
    </row>
    <row r="1466">
      <c r="A1466" s="31" t="n">
        <v>0.8</v>
      </c>
      <c r="B1466" s="31" t="n">
        <v>0</v>
      </c>
      <c r="C1466" s="31" t="n">
        <v>0.2</v>
      </c>
      <c r="D1466" s="31" t="n">
        <v>0</v>
      </c>
      <c r="E1466" s="27" t="inlineStr">
        <is>
          <t>ON 80%/2M 20%</t>
        </is>
      </c>
      <c r="F1466" s="27" t="n">
        <v>0</v>
      </c>
      <c r="G1466" s="27">
        <f>A1466*$B$7&gt;=$B$9</f>
        <v/>
      </c>
      <c r="H1466" s="13">
        <f>$B$7*(A1466*E$71+B1466*F$71+C1466*G$71+D1466*H$71)+F1466/100*$B$7*J$71-$C$71</f>
        <v/>
      </c>
      <c r="I1466" s="13">
        <f>$B$7*(A1466*L$71+B1466*M$71+C1466*N$71+D1466*O$71)+F1466/100*$B$7*Q$71-$C$71</f>
        <v/>
      </c>
      <c r="J1466" s="13">
        <f>$B$7*(A1466*S$71+B1466*T$71+C1466*U$71+D1466*V$71)+F1466/100*$B$7*X$71-$C$71</f>
        <v/>
      </c>
      <c r="K1466" s="13">
        <f>$B$7*(A1466*Z$71+B1466*AA$71+C1466*AB$71+D1466*AC$71)+F1466/100*$B$7*AE$71-$C$71</f>
        <v/>
      </c>
      <c r="L1466" s="13">
        <f>$B$7*(A1466*AG$71+B1466*AH$71+C1466*AI$71+D1466*AJ$71)+F1466/100*$B$7*AL$71-$C$71</f>
        <v/>
      </c>
      <c r="M1466" s="13">
        <f>$B$7*(A1466*AN$71+B1466*AO$71+C1466*AP$71+D1466*AQ$71)+F1466/100*$B$7*AS$71-$C$71</f>
        <v/>
      </c>
      <c r="N1466" s="13">
        <f>SUMPRODUCT($H$24:$M$24,H1466:M1466)</f>
        <v/>
      </c>
      <c r="O1466" s="14">
        <f>SQRT(SUMPRODUCT($H$24:$M$24,(H1466:M1466-N1466)^2))</f>
        <v/>
      </c>
      <c r="P1466" s="13">
        <f>MIN(H1466:M1466)</f>
        <v/>
      </c>
      <c r="Q1466" s="13">
        <f>MAX(H1466:M1466)</f>
        <v/>
      </c>
      <c r="R1466" s="27">
        <f>IF(G1466,SUMPRODUCT(($G$76:$G$1505)*($N$76:$N$1505&gt;=N1466)*($O$76:$O$1505&lt;=O1466))=1,FALSE)</f>
        <v/>
      </c>
      <c r="S1466" s="16">
        <f>IF(R1466,ABS((O1466-$AC$76)/MAX(0.0001,$AC$77-$AC$76)-(N1466-$AC$78)/MAX(0.0001,$AC$79-$AC$78)),-1)</f>
        <v/>
      </c>
      <c r="T1466" s="14">
        <f>IF(G1466,O1466,NA())</f>
        <v/>
      </c>
      <c r="U1466" s="13">
        <f>IF(G1466,N1466,NA())</f>
        <v/>
      </c>
      <c r="V1466" s="14">
        <f>IF(R1466,O1466,NA())</f>
        <v/>
      </c>
      <c r="W1466" s="13">
        <f>IF(R1466,N1466,NA())</f>
        <v/>
      </c>
      <c r="X1466" s="27">
        <f>IF(G1466,P1466,"")</f>
        <v/>
      </c>
      <c r="Y1466" s="27">
        <f>IF(G1466,N1466,"")</f>
        <v/>
      </c>
      <c r="Z1466" s="27">
        <f>IF(R1466,O1466,"")</f>
        <v/>
      </c>
      <c r="AA1466" s="27">
        <f>IF(R1466,N1466,"")</f>
        <v/>
      </c>
    </row>
    <row r="1467">
      <c r="A1467" s="31" t="n">
        <v>0.8</v>
      </c>
      <c r="B1467" s="31" t="n">
        <v>0</v>
      </c>
      <c r="C1467" s="31" t="n">
        <v>0.2</v>
      </c>
      <c r="D1467" s="31" t="n">
        <v>0</v>
      </c>
      <c r="E1467" s="27" t="inlineStr">
        <is>
          <t>ON 80%/2M 20%</t>
        </is>
      </c>
      <c r="F1467" s="27" t="n">
        <v>25</v>
      </c>
      <c r="G1467" s="27">
        <f>A1467*$B$7&gt;=$B$9</f>
        <v/>
      </c>
      <c r="H1467" s="13">
        <f>$B$7*(A1467*E$71+B1467*F$71+C1467*G$71+D1467*H$71)+F1467/100*$B$7*J$71-$C$71</f>
        <v/>
      </c>
      <c r="I1467" s="13">
        <f>$B$7*(A1467*L$71+B1467*M$71+C1467*N$71+D1467*O$71)+F1467/100*$B$7*Q$71-$C$71</f>
        <v/>
      </c>
      <c r="J1467" s="13">
        <f>$B$7*(A1467*S$71+B1467*T$71+C1467*U$71+D1467*V$71)+F1467/100*$B$7*X$71-$C$71</f>
        <v/>
      </c>
      <c r="K1467" s="13">
        <f>$B$7*(A1467*Z$71+B1467*AA$71+C1467*AB$71+D1467*AC$71)+F1467/100*$B$7*AE$71-$C$71</f>
        <v/>
      </c>
      <c r="L1467" s="13">
        <f>$B$7*(A1467*AG$71+B1467*AH$71+C1467*AI$71+D1467*AJ$71)+F1467/100*$B$7*AL$71-$C$71</f>
        <v/>
      </c>
      <c r="M1467" s="13">
        <f>$B$7*(A1467*AN$71+B1467*AO$71+C1467*AP$71+D1467*AQ$71)+F1467/100*$B$7*AS$71-$C$71</f>
        <v/>
      </c>
      <c r="N1467" s="13">
        <f>SUMPRODUCT($H$24:$M$24,H1467:M1467)</f>
        <v/>
      </c>
      <c r="O1467" s="14">
        <f>SQRT(SUMPRODUCT($H$24:$M$24,(H1467:M1467-N1467)^2))</f>
        <v/>
      </c>
      <c r="P1467" s="13">
        <f>MIN(H1467:M1467)</f>
        <v/>
      </c>
      <c r="Q1467" s="13">
        <f>MAX(H1467:M1467)</f>
        <v/>
      </c>
      <c r="R1467" s="27">
        <f>IF(G1467,SUMPRODUCT(($G$76:$G$1505)*($N$76:$N$1505&gt;=N1467)*($O$76:$O$1505&lt;=O1467))=1,FALSE)</f>
        <v/>
      </c>
      <c r="S1467" s="16">
        <f>IF(R1467,ABS((O1467-$AC$76)/MAX(0.0001,$AC$77-$AC$76)-(N1467-$AC$78)/MAX(0.0001,$AC$79-$AC$78)),-1)</f>
        <v/>
      </c>
      <c r="T1467" s="14">
        <f>IF(G1467,O1467,NA())</f>
        <v/>
      </c>
      <c r="U1467" s="13">
        <f>IF(G1467,N1467,NA())</f>
        <v/>
      </c>
      <c r="V1467" s="14">
        <f>IF(R1467,O1467,NA())</f>
        <v/>
      </c>
      <c r="W1467" s="13">
        <f>IF(R1467,N1467,NA())</f>
        <v/>
      </c>
      <c r="X1467" s="27">
        <f>IF(G1467,P1467,"")</f>
        <v/>
      </c>
      <c r="Y1467" s="27">
        <f>IF(G1467,N1467,"")</f>
        <v/>
      </c>
      <c r="Z1467" s="27">
        <f>IF(R1467,O1467,"")</f>
        <v/>
      </c>
      <c r="AA1467" s="27">
        <f>IF(R1467,N1467,"")</f>
        <v/>
      </c>
    </row>
    <row r="1468">
      <c r="A1468" s="31" t="n">
        <v>0.8</v>
      </c>
      <c r="B1468" s="31" t="n">
        <v>0</v>
      </c>
      <c r="C1468" s="31" t="n">
        <v>0.2</v>
      </c>
      <c r="D1468" s="31" t="n">
        <v>0</v>
      </c>
      <c r="E1468" s="27" t="inlineStr">
        <is>
          <t>ON 80%/2M 20%</t>
        </is>
      </c>
      <c r="F1468" s="27" t="n">
        <v>50</v>
      </c>
      <c r="G1468" s="27">
        <f>A1468*$B$7&gt;=$B$9</f>
        <v/>
      </c>
      <c r="H1468" s="13">
        <f>$B$7*(A1468*E$71+B1468*F$71+C1468*G$71+D1468*H$71)+F1468/100*$B$7*J$71-$C$71</f>
        <v/>
      </c>
      <c r="I1468" s="13">
        <f>$B$7*(A1468*L$71+B1468*M$71+C1468*N$71+D1468*O$71)+F1468/100*$B$7*Q$71-$C$71</f>
        <v/>
      </c>
      <c r="J1468" s="13">
        <f>$B$7*(A1468*S$71+B1468*T$71+C1468*U$71+D1468*V$71)+F1468/100*$B$7*X$71-$C$71</f>
        <v/>
      </c>
      <c r="K1468" s="13">
        <f>$B$7*(A1468*Z$71+B1468*AA$71+C1468*AB$71+D1468*AC$71)+F1468/100*$B$7*AE$71-$C$71</f>
        <v/>
      </c>
      <c r="L1468" s="13">
        <f>$B$7*(A1468*AG$71+B1468*AH$71+C1468*AI$71+D1468*AJ$71)+F1468/100*$B$7*AL$71-$C$71</f>
        <v/>
      </c>
      <c r="M1468" s="13">
        <f>$B$7*(A1468*AN$71+B1468*AO$71+C1468*AP$71+D1468*AQ$71)+F1468/100*$B$7*AS$71-$C$71</f>
        <v/>
      </c>
      <c r="N1468" s="13">
        <f>SUMPRODUCT($H$24:$M$24,H1468:M1468)</f>
        <v/>
      </c>
      <c r="O1468" s="14">
        <f>SQRT(SUMPRODUCT($H$24:$M$24,(H1468:M1468-N1468)^2))</f>
        <v/>
      </c>
      <c r="P1468" s="13">
        <f>MIN(H1468:M1468)</f>
        <v/>
      </c>
      <c r="Q1468" s="13">
        <f>MAX(H1468:M1468)</f>
        <v/>
      </c>
      <c r="R1468" s="27">
        <f>IF(G1468,SUMPRODUCT(($G$76:$G$1505)*($N$76:$N$1505&gt;=N1468)*($O$76:$O$1505&lt;=O1468))=1,FALSE)</f>
        <v/>
      </c>
      <c r="S1468" s="16">
        <f>IF(R1468,ABS((O1468-$AC$76)/MAX(0.0001,$AC$77-$AC$76)-(N1468-$AC$78)/MAX(0.0001,$AC$79-$AC$78)),-1)</f>
        <v/>
      </c>
      <c r="T1468" s="14">
        <f>IF(G1468,O1468,NA())</f>
        <v/>
      </c>
      <c r="U1468" s="13">
        <f>IF(G1468,N1468,NA())</f>
        <v/>
      </c>
      <c r="V1468" s="14">
        <f>IF(R1468,O1468,NA())</f>
        <v/>
      </c>
      <c r="W1468" s="13">
        <f>IF(R1468,N1468,NA())</f>
        <v/>
      </c>
      <c r="X1468" s="27">
        <f>IF(G1468,P1468,"")</f>
        <v/>
      </c>
      <c r="Y1468" s="27">
        <f>IF(G1468,N1468,"")</f>
        <v/>
      </c>
      <c r="Z1468" s="27">
        <f>IF(R1468,O1468,"")</f>
        <v/>
      </c>
      <c r="AA1468" s="27">
        <f>IF(R1468,N1468,"")</f>
        <v/>
      </c>
    </row>
    <row r="1469">
      <c r="A1469" s="31" t="n">
        <v>0.8</v>
      </c>
      <c r="B1469" s="31" t="n">
        <v>0</v>
      </c>
      <c r="C1469" s="31" t="n">
        <v>0.2</v>
      </c>
      <c r="D1469" s="31" t="n">
        <v>0</v>
      </c>
      <c r="E1469" s="27" t="inlineStr">
        <is>
          <t>ON 80%/2M 20%</t>
        </is>
      </c>
      <c r="F1469" s="27" t="n">
        <v>75</v>
      </c>
      <c r="G1469" s="27">
        <f>A1469*$B$7&gt;=$B$9</f>
        <v/>
      </c>
      <c r="H1469" s="13">
        <f>$B$7*(A1469*E$71+B1469*F$71+C1469*G$71+D1469*H$71)+F1469/100*$B$7*J$71-$C$71</f>
        <v/>
      </c>
      <c r="I1469" s="13">
        <f>$B$7*(A1469*L$71+B1469*M$71+C1469*N$71+D1469*O$71)+F1469/100*$B$7*Q$71-$C$71</f>
        <v/>
      </c>
      <c r="J1469" s="13">
        <f>$B$7*(A1469*S$71+B1469*T$71+C1469*U$71+D1469*V$71)+F1469/100*$B$7*X$71-$C$71</f>
        <v/>
      </c>
      <c r="K1469" s="13">
        <f>$B$7*(A1469*Z$71+B1469*AA$71+C1469*AB$71+D1469*AC$71)+F1469/100*$B$7*AE$71-$C$71</f>
        <v/>
      </c>
      <c r="L1469" s="13">
        <f>$B$7*(A1469*AG$71+B1469*AH$71+C1469*AI$71+D1469*AJ$71)+F1469/100*$B$7*AL$71-$C$71</f>
        <v/>
      </c>
      <c r="M1469" s="13">
        <f>$B$7*(A1469*AN$71+B1469*AO$71+C1469*AP$71+D1469*AQ$71)+F1469/100*$B$7*AS$71-$C$71</f>
        <v/>
      </c>
      <c r="N1469" s="13">
        <f>SUMPRODUCT($H$24:$M$24,H1469:M1469)</f>
        <v/>
      </c>
      <c r="O1469" s="14">
        <f>SQRT(SUMPRODUCT($H$24:$M$24,(H1469:M1469-N1469)^2))</f>
        <v/>
      </c>
      <c r="P1469" s="13">
        <f>MIN(H1469:M1469)</f>
        <v/>
      </c>
      <c r="Q1469" s="13">
        <f>MAX(H1469:M1469)</f>
        <v/>
      </c>
      <c r="R1469" s="27">
        <f>IF(G1469,SUMPRODUCT(($G$76:$G$1505)*($N$76:$N$1505&gt;=N1469)*($O$76:$O$1505&lt;=O1469))=1,FALSE)</f>
        <v/>
      </c>
      <c r="S1469" s="16">
        <f>IF(R1469,ABS((O1469-$AC$76)/MAX(0.0001,$AC$77-$AC$76)-(N1469-$AC$78)/MAX(0.0001,$AC$79-$AC$78)),-1)</f>
        <v/>
      </c>
      <c r="T1469" s="14">
        <f>IF(G1469,O1469,NA())</f>
        <v/>
      </c>
      <c r="U1469" s="13">
        <f>IF(G1469,N1469,NA())</f>
        <v/>
      </c>
      <c r="V1469" s="14">
        <f>IF(R1469,O1469,NA())</f>
        <v/>
      </c>
      <c r="W1469" s="13">
        <f>IF(R1469,N1469,NA())</f>
        <v/>
      </c>
      <c r="X1469" s="27">
        <f>IF(G1469,P1469,"")</f>
        <v/>
      </c>
      <c r="Y1469" s="27">
        <f>IF(G1469,N1469,"")</f>
        <v/>
      </c>
      <c r="Z1469" s="27">
        <f>IF(R1469,O1469,"")</f>
        <v/>
      </c>
      <c r="AA1469" s="27">
        <f>IF(R1469,N1469,"")</f>
        <v/>
      </c>
    </row>
    <row r="1470">
      <c r="A1470" s="31" t="n">
        <v>0.8</v>
      </c>
      <c r="B1470" s="31" t="n">
        <v>0</v>
      </c>
      <c r="C1470" s="31" t="n">
        <v>0.2</v>
      </c>
      <c r="D1470" s="31" t="n">
        <v>0</v>
      </c>
      <c r="E1470" s="27" t="inlineStr">
        <is>
          <t>ON 80%/2M 20%</t>
        </is>
      </c>
      <c r="F1470" s="27" t="n">
        <v>100</v>
      </c>
      <c r="G1470" s="27">
        <f>A1470*$B$7&gt;=$B$9</f>
        <v/>
      </c>
      <c r="H1470" s="13">
        <f>$B$7*(A1470*E$71+B1470*F$71+C1470*G$71+D1470*H$71)+F1470/100*$B$7*J$71-$C$71</f>
        <v/>
      </c>
      <c r="I1470" s="13">
        <f>$B$7*(A1470*L$71+B1470*M$71+C1470*N$71+D1470*O$71)+F1470/100*$B$7*Q$71-$C$71</f>
        <v/>
      </c>
      <c r="J1470" s="13">
        <f>$B$7*(A1470*S$71+B1470*T$71+C1470*U$71+D1470*V$71)+F1470/100*$B$7*X$71-$C$71</f>
        <v/>
      </c>
      <c r="K1470" s="13">
        <f>$B$7*(A1470*Z$71+B1470*AA$71+C1470*AB$71+D1470*AC$71)+F1470/100*$B$7*AE$71-$C$71</f>
        <v/>
      </c>
      <c r="L1470" s="13">
        <f>$B$7*(A1470*AG$71+B1470*AH$71+C1470*AI$71+D1470*AJ$71)+F1470/100*$B$7*AL$71-$C$71</f>
        <v/>
      </c>
      <c r="M1470" s="13">
        <f>$B$7*(A1470*AN$71+B1470*AO$71+C1470*AP$71+D1470*AQ$71)+F1470/100*$B$7*AS$71-$C$71</f>
        <v/>
      </c>
      <c r="N1470" s="13">
        <f>SUMPRODUCT($H$24:$M$24,H1470:M1470)</f>
        <v/>
      </c>
      <c r="O1470" s="14">
        <f>SQRT(SUMPRODUCT($H$24:$M$24,(H1470:M1470-N1470)^2))</f>
        <v/>
      </c>
      <c r="P1470" s="13">
        <f>MIN(H1470:M1470)</f>
        <v/>
      </c>
      <c r="Q1470" s="13">
        <f>MAX(H1470:M1470)</f>
        <v/>
      </c>
      <c r="R1470" s="27">
        <f>IF(G1470,SUMPRODUCT(($G$76:$G$1505)*($N$76:$N$1505&gt;=N1470)*($O$76:$O$1505&lt;=O1470))=1,FALSE)</f>
        <v/>
      </c>
      <c r="S1470" s="16">
        <f>IF(R1470,ABS((O1470-$AC$76)/MAX(0.0001,$AC$77-$AC$76)-(N1470-$AC$78)/MAX(0.0001,$AC$79-$AC$78)),-1)</f>
        <v/>
      </c>
      <c r="T1470" s="14">
        <f>IF(G1470,O1470,NA())</f>
        <v/>
      </c>
      <c r="U1470" s="13">
        <f>IF(G1470,N1470,NA())</f>
        <v/>
      </c>
      <c r="V1470" s="14">
        <f>IF(R1470,O1470,NA())</f>
        <v/>
      </c>
      <c r="W1470" s="13">
        <f>IF(R1470,N1470,NA())</f>
        <v/>
      </c>
      <c r="X1470" s="27">
        <f>IF(G1470,P1470,"")</f>
        <v/>
      </c>
      <c r="Y1470" s="27">
        <f>IF(G1470,N1470,"")</f>
        <v/>
      </c>
      <c r="Z1470" s="27">
        <f>IF(R1470,O1470,"")</f>
        <v/>
      </c>
      <c r="AA1470" s="27">
        <f>IF(R1470,N1470,"")</f>
        <v/>
      </c>
    </row>
    <row r="1471">
      <c r="A1471" s="31" t="n">
        <v>0.8</v>
      </c>
      <c r="B1471" s="31" t="n">
        <v>0.1</v>
      </c>
      <c r="C1471" s="31" t="n">
        <v>0</v>
      </c>
      <c r="D1471" s="31" t="n">
        <v>0.1</v>
      </c>
      <c r="E1471" s="27" t="inlineStr">
        <is>
          <t>ON 80%/1M 10%/3M 10%</t>
        </is>
      </c>
      <c r="F1471" s="27" t="n">
        <v>0</v>
      </c>
      <c r="G1471" s="27">
        <f>A1471*$B$7&gt;=$B$9</f>
        <v/>
      </c>
      <c r="H1471" s="13">
        <f>$B$7*(A1471*E$71+B1471*F$71+C1471*G$71+D1471*H$71)+F1471/100*$B$7*J$71-$C$71</f>
        <v/>
      </c>
      <c r="I1471" s="13">
        <f>$B$7*(A1471*L$71+B1471*M$71+C1471*N$71+D1471*O$71)+F1471/100*$B$7*Q$71-$C$71</f>
        <v/>
      </c>
      <c r="J1471" s="13">
        <f>$B$7*(A1471*S$71+B1471*T$71+C1471*U$71+D1471*V$71)+F1471/100*$B$7*X$71-$C$71</f>
        <v/>
      </c>
      <c r="K1471" s="13">
        <f>$B$7*(A1471*Z$71+B1471*AA$71+C1471*AB$71+D1471*AC$71)+F1471/100*$B$7*AE$71-$C$71</f>
        <v/>
      </c>
      <c r="L1471" s="13">
        <f>$B$7*(A1471*AG$71+B1471*AH$71+C1471*AI$71+D1471*AJ$71)+F1471/100*$B$7*AL$71-$C$71</f>
        <v/>
      </c>
      <c r="M1471" s="13">
        <f>$B$7*(A1471*AN$71+B1471*AO$71+C1471*AP$71+D1471*AQ$71)+F1471/100*$B$7*AS$71-$C$71</f>
        <v/>
      </c>
      <c r="N1471" s="13">
        <f>SUMPRODUCT($H$24:$M$24,H1471:M1471)</f>
        <v/>
      </c>
      <c r="O1471" s="14">
        <f>SQRT(SUMPRODUCT($H$24:$M$24,(H1471:M1471-N1471)^2))</f>
        <v/>
      </c>
      <c r="P1471" s="13">
        <f>MIN(H1471:M1471)</f>
        <v/>
      </c>
      <c r="Q1471" s="13">
        <f>MAX(H1471:M1471)</f>
        <v/>
      </c>
      <c r="R1471" s="27">
        <f>IF(G1471,SUMPRODUCT(($G$76:$G$1505)*($N$76:$N$1505&gt;=N1471)*($O$76:$O$1505&lt;=O1471))=1,FALSE)</f>
        <v/>
      </c>
      <c r="S1471" s="16">
        <f>IF(R1471,ABS((O1471-$AC$76)/MAX(0.0001,$AC$77-$AC$76)-(N1471-$AC$78)/MAX(0.0001,$AC$79-$AC$78)),-1)</f>
        <v/>
      </c>
      <c r="T1471" s="14">
        <f>IF(G1471,O1471,NA())</f>
        <v/>
      </c>
      <c r="U1471" s="13">
        <f>IF(G1471,N1471,NA())</f>
        <v/>
      </c>
      <c r="V1471" s="14">
        <f>IF(R1471,O1471,NA())</f>
        <v/>
      </c>
      <c r="W1471" s="13">
        <f>IF(R1471,N1471,NA())</f>
        <v/>
      </c>
      <c r="X1471" s="27">
        <f>IF(G1471,P1471,"")</f>
        <v/>
      </c>
      <c r="Y1471" s="27">
        <f>IF(G1471,N1471,"")</f>
        <v/>
      </c>
      <c r="Z1471" s="27">
        <f>IF(R1471,O1471,"")</f>
        <v/>
      </c>
      <c r="AA1471" s="27">
        <f>IF(R1471,N1471,"")</f>
        <v/>
      </c>
    </row>
    <row r="1472">
      <c r="A1472" s="31" t="n">
        <v>0.8</v>
      </c>
      <c r="B1472" s="31" t="n">
        <v>0.1</v>
      </c>
      <c r="C1472" s="31" t="n">
        <v>0</v>
      </c>
      <c r="D1472" s="31" t="n">
        <v>0.1</v>
      </c>
      <c r="E1472" s="27" t="inlineStr">
        <is>
          <t>ON 80%/1M 10%/3M 10%</t>
        </is>
      </c>
      <c r="F1472" s="27" t="n">
        <v>25</v>
      </c>
      <c r="G1472" s="27">
        <f>A1472*$B$7&gt;=$B$9</f>
        <v/>
      </c>
      <c r="H1472" s="13">
        <f>$B$7*(A1472*E$71+B1472*F$71+C1472*G$71+D1472*H$71)+F1472/100*$B$7*J$71-$C$71</f>
        <v/>
      </c>
      <c r="I1472" s="13">
        <f>$B$7*(A1472*L$71+B1472*M$71+C1472*N$71+D1472*O$71)+F1472/100*$B$7*Q$71-$C$71</f>
        <v/>
      </c>
      <c r="J1472" s="13">
        <f>$B$7*(A1472*S$71+B1472*T$71+C1472*U$71+D1472*V$71)+F1472/100*$B$7*X$71-$C$71</f>
        <v/>
      </c>
      <c r="K1472" s="13">
        <f>$B$7*(A1472*Z$71+B1472*AA$71+C1472*AB$71+D1472*AC$71)+F1472/100*$B$7*AE$71-$C$71</f>
        <v/>
      </c>
      <c r="L1472" s="13">
        <f>$B$7*(A1472*AG$71+B1472*AH$71+C1472*AI$71+D1472*AJ$71)+F1472/100*$B$7*AL$71-$C$71</f>
        <v/>
      </c>
      <c r="M1472" s="13">
        <f>$B$7*(A1472*AN$71+B1472*AO$71+C1472*AP$71+D1472*AQ$71)+F1472/100*$B$7*AS$71-$C$71</f>
        <v/>
      </c>
      <c r="N1472" s="13">
        <f>SUMPRODUCT($H$24:$M$24,H1472:M1472)</f>
        <v/>
      </c>
      <c r="O1472" s="14">
        <f>SQRT(SUMPRODUCT($H$24:$M$24,(H1472:M1472-N1472)^2))</f>
        <v/>
      </c>
      <c r="P1472" s="13">
        <f>MIN(H1472:M1472)</f>
        <v/>
      </c>
      <c r="Q1472" s="13">
        <f>MAX(H1472:M1472)</f>
        <v/>
      </c>
      <c r="R1472" s="27">
        <f>IF(G1472,SUMPRODUCT(($G$76:$G$1505)*($N$76:$N$1505&gt;=N1472)*($O$76:$O$1505&lt;=O1472))=1,FALSE)</f>
        <v/>
      </c>
      <c r="S1472" s="16">
        <f>IF(R1472,ABS((O1472-$AC$76)/MAX(0.0001,$AC$77-$AC$76)-(N1472-$AC$78)/MAX(0.0001,$AC$79-$AC$78)),-1)</f>
        <v/>
      </c>
      <c r="T1472" s="14">
        <f>IF(G1472,O1472,NA())</f>
        <v/>
      </c>
      <c r="U1472" s="13">
        <f>IF(G1472,N1472,NA())</f>
        <v/>
      </c>
      <c r="V1472" s="14">
        <f>IF(R1472,O1472,NA())</f>
        <v/>
      </c>
      <c r="W1472" s="13">
        <f>IF(R1472,N1472,NA())</f>
        <v/>
      </c>
      <c r="X1472" s="27">
        <f>IF(G1472,P1472,"")</f>
        <v/>
      </c>
      <c r="Y1472" s="27">
        <f>IF(G1472,N1472,"")</f>
        <v/>
      </c>
      <c r="Z1472" s="27">
        <f>IF(R1472,O1472,"")</f>
        <v/>
      </c>
      <c r="AA1472" s="27">
        <f>IF(R1472,N1472,"")</f>
        <v/>
      </c>
    </row>
    <row r="1473">
      <c r="A1473" s="31" t="n">
        <v>0.8</v>
      </c>
      <c r="B1473" s="31" t="n">
        <v>0.1</v>
      </c>
      <c r="C1473" s="31" t="n">
        <v>0</v>
      </c>
      <c r="D1473" s="31" t="n">
        <v>0.1</v>
      </c>
      <c r="E1473" s="27" t="inlineStr">
        <is>
          <t>ON 80%/1M 10%/3M 10%</t>
        </is>
      </c>
      <c r="F1473" s="27" t="n">
        <v>50</v>
      </c>
      <c r="G1473" s="27">
        <f>A1473*$B$7&gt;=$B$9</f>
        <v/>
      </c>
      <c r="H1473" s="13">
        <f>$B$7*(A1473*E$71+B1473*F$71+C1473*G$71+D1473*H$71)+F1473/100*$B$7*J$71-$C$71</f>
        <v/>
      </c>
      <c r="I1473" s="13">
        <f>$B$7*(A1473*L$71+B1473*M$71+C1473*N$71+D1473*O$71)+F1473/100*$B$7*Q$71-$C$71</f>
        <v/>
      </c>
      <c r="J1473" s="13">
        <f>$B$7*(A1473*S$71+B1473*T$71+C1473*U$71+D1473*V$71)+F1473/100*$B$7*X$71-$C$71</f>
        <v/>
      </c>
      <c r="K1473" s="13">
        <f>$B$7*(A1473*Z$71+B1473*AA$71+C1473*AB$71+D1473*AC$71)+F1473/100*$B$7*AE$71-$C$71</f>
        <v/>
      </c>
      <c r="L1473" s="13">
        <f>$B$7*(A1473*AG$71+B1473*AH$71+C1473*AI$71+D1473*AJ$71)+F1473/100*$B$7*AL$71-$C$71</f>
        <v/>
      </c>
      <c r="M1473" s="13">
        <f>$B$7*(A1473*AN$71+B1473*AO$71+C1473*AP$71+D1473*AQ$71)+F1473/100*$B$7*AS$71-$C$71</f>
        <v/>
      </c>
      <c r="N1473" s="13">
        <f>SUMPRODUCT($H$24:$M$24,H1473:M1473)</f>
        <v/>
      </c>
      <c r="O1473" s="14">
        <f>SQRT(SUMPRODUCT($H$24:$M$24,(H1473:M1473-N1473)^2))</f>
        <v/>
      </c>
      <c r="P1473" s="13">
        <f>MIN(H1473:M1473)</f>
        <v/>
      </c>
      <c r="Q1473" s="13">
        <f>MAX(H1473:M1473)</f>
        <v/>
      </c>
      <c r="R1473" s="27">
        <f>IF(G1473,SUMPRODUCT(($G$76:$G$1505)*($N$76:$N$1505&gt;=N1473)*($O$76:$O$1505&lt;=O1473))=1,FALSE)</f>
        <v/>
      </c>
      <c r="S1473" s="16">
        <f>IF(R1473,ABS((O1473-$AC$76)/MAX(0.0001,$AC$77-$AC$76)-(N1473-$AC$78)/MAX(0.0001,$AC$79-$AC$78)),-1)</f>
        <v/>
      </c>
      <c r="T1473" s="14">
        <f>IF(G1473,O1473,NA())</f>
        <v/>
      </c>
      <c r="U1473" s="13">
        <f>IF(G1473,N1473,NA())</f>
        <v/>
      </c>
      <c r="V1473" s="14">
        <f>IF(R1473,O1473,NA())</f>
        <v/>
      </c>
      <c r="W1473" s="13">
        <f>IF(R1473,N1473,NA())</f>
        <v/>
      </c>
      <c r="X1473" s="27">
        <f>IF(G1473,P1473,"")</f>
        <v/>
      </c>
      <c r="Y1473" s="27">
        <f>IF(G1473,N1473,"")</f>
        <v/>
      </c>
      <c r="Z1473" s="27">
        <f>IF(R1473,O1473,"")</f>
        <v/>
      </c>
      <c r="AA1473" s="27">
        <f>IF(R1473,N1473,"")</f>
        <v/>
      </c>
    </row>
    <row r="1474">
      <c r="A1474" s="31" t="n">
        <v>0.8</v>
      </c>
      <c r="B1474" s="31" t="n">
        <v>0.1</v>
      </c>
      <c r="C1474" s="31" t="n">
        <v>0</v>
      </c>
      <c r="D1474" s="31" t="n">
        <v>0.1</v>
      </c>
      <c r="E1474" s="27" t="inlineStr">
        <is>
          <t>ON 80%/1M 10%/3M 10%</t>
        </is>
      </c>
      <c r="F1474" s="27" t="n">
        <v>75</v>
      </c>
      <c r="G1474" s="27">
        <f>A1474*$B$7&gt;=$B$9</f>
        <v/>
      </c>
      <c r="H1474" s="13">
        <f>$B$7*(A1474*E$71+B1474*F$71+C1474*G$71+D1474*H$71)+F1474/100*$B$7*J$71-$C$71</f>
        <v/>
      </c>
      <c r="I1474" s="13">
        <f>$B$7*(A1474*L$71+B1474*M$71+C1474*N$71+D1474*O$71)+F1474/100*$B$7*Q$71-$C$71</f>
        <v/>
      </c>
      <c r="J1474" s="13">
        <f>$B$7*(A1474*S$71+B1474*T$71+C1474*U$71+D1474*V$71)+F1474/100*$B$7*X$71-$C$71</f>
        <v/>
      </c>
      <c r="K1474" s="13">
        <f>$B$7*(A1474*Z$71+B1474*AA$71+C1474*AB$71+D1474*AC$71)+F1474/100*$B$7*AE$71-$C$71</f>
        <v/>
      </c>
      <c r="L1474" s="13">
        <f>$B$7*(A1474*AG$71+B1474*AH$71+C1474*AI$71+D1474*AJ$71)+F1474/100*$B$7*AL$71-$C$71</f>
        <v/>
      </c>
      <c r="M1474" s="13">
        <f>$B$7*(A1474*AN$71+B1474*AO$71+C1474*AP$71+D1474*AQ$71)+F1474/100*$B$7*AS$71-$C$71</f>
        <v/>
      </c>
      <c r="N1474" s="13">
        <f>SUMPRODUCT($H$24:$M$24,H1474:M1474)</f>
        <v/>
      </c>
      <c r="O1474" s="14">
        <f>SQRT(SUMPRODUCT($H$24:$M$24,(H1474:M1474-N1474)^2))</f>
        <v/>
      </c>
      <c r="P1474" s="13">
        <f>MIN(H1474:M1474)</f>
        <v/>
      </c>
      <c r="Q1474" s="13">
        <f>MAX(H1474:M1474)</f>
        <v/>
      </c>
      <c r="R1474" s="27">
        <f>IF(G1474,SUMPRODUCT(($G$76:$G$1505)*($N$76:$N$1505&gt;=N1474)*($O$76:$O$1505&lt;=O1474))=1,FALSE)</f>
        <v/>
      </c>
      <c r="S1474" s="16">
        <f>IF(R1474,ABS((O1474-$AC$76)/MAX(0.0001,$AC$77-$AC$76)-(N1474-$AC$78)/MAX(0.0001,$AC$79-$AC$78)),-1)</f>
        <v/>
      </c>
      <c r="T1474" s="14">
        <f>IF(G1474,O1474,NA())</f>
        <v/>
      </c>
      <c r="U1474" s="13">
        <f>IF(G1474,N1474,NA())</f>
        <v/>
      </c>
      <c r="V1474" s="14">
        <f>IF(R1474,O1474,NA())</f>
        <v/>
      </c>
      <c r="W1474" s="13">
        <f>IF(R1474,N1474,NA())</f>
        <v/>
      </c>
      <c r="X1474" s="27">
        <f>IF(G1474,P1474,"")</f>
        <v/>
      </c>
      <c r="Y1474" s="27">
        <f>IF(G1474,N1474,"")</f>
        <v/>
      </c>
      <c r="Z1474" s="27">
        <f>IF(R1474,O1474,"")</f>
        <v/>
      </c>
      <c r="AA1474" s="27">
        <f>IF(R1474,N1474,"")</f>
        <v/>
      </c>
    </row>
    <row r="1475">
      <c r="A1475" s="31" t="n">
        <v>0.8</v>
      </c>
      <c r="B1475" s="31" t="n">
        <v>0.1</v>
      </c>
      <c r="C1475" s="31" t="n">
        <v>0</v>
      </c>
      <c r="D1475" s="31" t="n">
        <v>0.1</v>
      </c>
      <c r="E1475" s="27" t="inlineStr">
        <is>
          <t>ON 80%/1M 10%/3M 10%</t>
        </is>
      </c>
      <c r="F1475" s="27" t="n">
        <v>100</v>
      </c>
      <c r="G1475" s="27">
        <f>A1475*$B$7&gt;=$B$9</f>
        <v/>
      </c>
      <c r="H1475" s="13">
        <f>$B$7*(A1475*E$71+B1475*F$71+C1475*G$71+D1475*H$71)+F1475/100*$B$7*J$71-$C$71</f>
        <v/>
      </c>
      <c r="I1475" s="13">
        <f>$B$7*(A1475*L$71+B1475*M$71+C1475*N$71+D1475*O$71)+F1475/100*$B$7*Q$71-$C$71</f>
        <v/>
      </c>
      <c r="J1475" s="13">
        <f>$B$7*(A1475*S$71+B1475*T$71+C1475*U$71+D1475*V$71)+F1475/100*$B$7*X$71-$C$71</f>
        <v/>
      </c>
      <c r="K1475" s="13">
        <f>$B$7*(A1475*Z$71+B1475*AA$71+C1475*AB$71+D1475*AC$71)+F1475/100*$B$7*AE$71-$C$71</f>
        <v/>
      </c>
      <c r="L1475" s="13">
        <f>$B$7*(A1475*AG$71+B1475*AH$71+C1475*AI$71+D1475*AJ$71)+F1475/100*$B$7*AL$71-$C$71</f>
        <v/>
      </c>
      <c r="M1475" s="13">
        <f>$B$7*(A1475*AN$71+B1475*AO$71+C1475*AP$71+D1475*AQ$71)+F1475/100*$B$7*AS$71-$C$71</f>
        <v/>
      </c>
      <c r="N1475" s="13">
        <f>SUMPRODUCT($H$24:$M$24,H1475:M1475)</f>
        <v/>
      </c>
      <c r="O1475" s="14">
        <f>SQRT(SUMPRODUCT($H$24:$M$24,(H1475:M1475-N1475)^2))</f>
        <v/>
      </c>
      <c r="P1475" s="13">
        <f>MIN(H1475:M1475)</f>
        <v/>
      </c>
      <c r="Q1475" s="13">
        <f>MAX(H1475:M1475)</f>
        <v/>
      </c>
      <c r="R1475" s="27">
        <f>IF(G1475,SUMPRODUCT(($G$76:$G$1505)*($N$76:$N$1505&gt;=N1475)*($O$76:$O$1505&lt;=O1475))=1,FALSE)</f>
        <v/>
      </c>
      <c r="S1475" s="16">
        <f>IF(R1475,ABS((O1475-$AC$76)/MAX(0.0001,$AC$77-$AC$76)-(N1475-$AC$78)/MAX(0.0001,$AC$79-$AC$78)),-1)</f>
        <v/>
      </c>
      <c r="T1475" s="14">
        <f>IF(G1475,O1475,NA())</f>
        <v/>
      </c>
      <c r="U1475" s="13">
        <f>IF(G1475,N1475,NA())</f>
        <v/>
      </c>
      <c r="V1475" s="14">
        <f>IF(R1475,O1475,NA())</f>
        <v/>
      </c>
      <c r="W1475" s="13">
        <f>IF(R1475,N1475,NA())</f>
        <v/>
      </c>
      <c r="X1475" s="27">
        <f>IF(G1475,P1475,"")</f>
        <v/>
      </c>
      <c r="Y1475" s="27">
        <f>IF(G1475,N1475,"")</f>
        <v/>
      </c>
      <c r="Z1475" s="27">
        <f>IF(R1475,O1475,"")</f>
        <v/>
      </c>
      <c r="AA1475" s="27">
        <f>IF(R1475,N1475,"")</f>
        <v/>
      </c>
    </row>
    <row r="1476">
      <c r="A1476" s="31" t="n">
        <v>0.8</v>
      </c>
      <c r="B1476" s="31" t="n">
        <v>0.1</v>
      </c>
      <c r="C1476" s="31" t="n">
        <v>0.1</v>
      </c>
      <c r="D1476" s="31" t="n">
        <v>0</v>
      </c>
      <c r="E1476" s="27" t="inlineStr">
        <is>
          <t>ON 80%/1M 10%/2M 10%</t>
        </is>
      </c>
      <c r="F1476" s="27" t="n">
        <v>0</v>
      </c>
      <c r="G1476" s="27">
        <f>A1476*$B$7&gt;=$B$9</f>
        <v/>
      </c>
      <c r="H1476" s="13">
        <f>$B$7*(A1476*E$71+B1476*F$71+C1476*G$71+D1476*H$71)+F1476/100*$B$7*J$71-$C$71</f>
        <v/>
      </c>
      <c r="I1476" s="13">
        <f>$B$7*(A1476*L$71+B1476*M$71+C1476*N$71+D1476*O$71)+F1476/100*$B$7*Q$71-$C$71</f>
        <v/>
      </c>
      <c r="J1476" s="13">
        <f>$B$7*(A1476*S$71+B1476*T$71+C1476*U$71+D1476*V$71)+F1476/100*$B$7*X$71-$C$71</f>
        <v/>
      </c>
      <c r="K1476" s="13">
        <f>$B$7*(A1476*Z$71+B1476*AA$71+C1476*AB$71+D1476*AC$71)+F1476/100*$B$7*AE$71-$C$71</f>
        <v/>
      </c>
      <c r="L1476" s="13">
        <f>$B$7*(A1476*AG$71+B1476*AH$71+C1476*AI$71+D1476*AJ$71)+F1476/100*$B$7*AL$71-$C$71</f>
        <v/>
      </c>
      <c r="M1476" s="13">
        <f>$B$7*(A1476*AN$71+B1476*AO$71+C1476*AP$71+D1476*AQ$71)+F1476/100*$B$7*AS$71-$C$71</f>
        <v/>
      </c>
      <c r="N1476" s="13">
        <f>SUMPRODUCT($H$24:$M$24,H1476:M1476)</f>
        <v/>
      </c>
      <c r="O1476" s="14">
        <f>SQRT(SUMPRODUCT($H$24:$M$24,(H1476:M1476-N1476)^2))</f>
        <v/>
      </c>
      <c r="P1476" s="13">
        <f>MIN(H1476:M1476)</f>
        <v/>
      </c>
      <c r="Q1476" s="13">
        <f>MAX(H1476:M1476)</f>
        <v/>
      </c>
      <c r="R1476" s="27">
        <f>IF(G1476,SUMPRODUCT(($G$76:$G$1505)*($N$76:$N$1505&gt;=N1476)*($O$76:$O$1505&lt;=O1476))=1,FALSE)</f>
        <v/>
      </c>
      <c r="S1476" s="16">
        <f>IF(R1476,ABS((O1476-$AC$76)/MAX(0.0001,$AC$77-$AC$76)-(N1476-$AC$78)/MAX(0.0001,$AC$79-$AC$78)),-1)</f>
        <v/>
      </c>
      <c r="T1476" s="14">
        <f>IF(G1476,O1476,NA())</f>
        <v/>
      </c>
      <c r="U1476" s="13">
        <f>IF(G1476,N1476,NA())</f>
        <v/>
      </c>
      <c r="V1476" s="14">
        <f>IF(R1476,O1476,NA())</f>
        <v/>
      </c>
      <c r="W1476" s="13">
        <f>IF(R1476,N1476,NA())</f>
        <v/>
      </c>
      <c r="X1476" s="27">
        <f>IF(G1476,P1476,"")</f>
        <v/>
      </c>
      <c r="Y1476" s="27">
        <f>IF(G1476,N1476,"")</f>
        <v/>
      </c>
      <c r="Z1476" s="27">
        <f>IF(R1476,O1476,"")</f>
        <v/>
      </c>
      <c r="AA1476" s="27">
        <f>IF(R1476,N1476,"")</f>
        <v/>
      </c>
    </row>
    <row r="1477">
      <c r="A1477" s="31" t="n">
        <v>0.8</v>
      </c>
      <c r="B1477" s="31" t="n">
        <v>0.1</v>
      </c>
      <c r="C1477" s="31" t="n">
        <v>0.1</v>
      </c>
      <c r="D1477" s="31" t="n">
        <v>0</v>
      </c>
      <c r="E1477" s="27" t="inlineStr">
        <is>
          <t>ON 80%/1M 10%/2M 10%</t>
        </is>
      </c>
      <c r="F1477" s="27" t="n">
        <v>25</v>
      </c>
      <c r="G1477" s="27">
        <f>A1477*$B$7&gt;=$B$9</f>
        <v/>
      </c>
      <c r="H1477" s="13">
        <f>$B$7*(A1477*E$71+B1477*F$71+C1477*G$71+D1477*H$71)+F1477/100*$B$7*J$71-$C$71</f>
        <v/>
      </c>
      <c r="I1477" s="13">
        <f>$B$7*(A1477*L$71+B1477*M$71+C1477*N$71+D1477*O$71)+F1477/100*$B$7*Q$71-$C$71</f>
        <v/>
      </c>
      <c r="J1477" s="13">
        <f>$B$7*(A1477*S$71+B1477*T$71+C1477*U$71+D1477*V$71)+F1477/100*$B$7*X$71-$C$71</f>
        <v/>
      </c>
      <c r="K1477" s="13">
        <f>$B$7*(A1477*Z$71+B1477*AA$71+C1477*AB$71+D1477*AC$71)+F1477/100*$B$7*AE$71-$C$71</f>
        <v/>
      </c>
      <c r="L1477" s="13">
        <f>$B$7*(A1477*AG$71+B1477*AH$71+C1477*AI$71+D1477*AJ$71)+F1477/100*$B$7*AL$71-$C$71</f>
        <v/>
      </c>
      <c r="M1477" s="13">
        <f>$B$7*(A1477*AN$71+B1477*AO$71+C1477*AP$71+D1477*AQ$71)+F1477/100*$B$7*AS$71-$C$71</f>
        <v/>
      </c>
      <c r="N1477" s="13">
        <f>SUMPRODUCT($H$24:$M$24,H1477:M1477)</f>
        <v/>
      </c>
      <c r="O1477" s="14">
        <f>SQRT(SUMPRODUCT($H$24:$M$24,(H1477:M1477-N1477)^2))</f>
        <v/>
      </c>
      <c r="P1477" s="13">
        <f>MIN(H1477:M1477)</f>
        <v/>
      </c>
      <c r="Q1477" s="13">
        <f>MAX(H1477:M1477)</f>
        <v/>
      </c>
      <c r="R1477" s="27">
        <f>IF(G1477,SUMPRODUCT(($G$76:$G$1505)*($N$76:$N$1505&gt;=N1477)*($O$76:$O$1505&lt;=O1477))=1,FALSE)</f>
        <v/>
      </c>
      <c r="S1477" s="16">
        <f>IF(R1477,ABS((O1477-$AC$76)/MAX(0.0001,$AC$77-$AC$76)-(N1477-$AC$78)/MAX(0.0001,$AC$79-$AC$78)),-1)</f>
        <v/>
      </c>
      <c r="T1477" s="14">
        <f>IF(G1477,O1477,NA())</f>
        <v/>
      </c>
      <c r="U1477" s="13">
        <f>IF(G1477,N1477,NA())</f>
        <v/>
      </c>
      <c r="V1477" s="14">
        <f>IF(R1477,O1477,NA())</f>
        <v/>
      </c>
      <c r="W1477" s="13">
        <f>IF(R1477,N1477,NA())</f>
        <v/>
      </c>
      <c r="X1477" s="27">
        <f>IF(G1477,P1477,"")</f>
        <v/>
      </c>
      <c r="Y1477" s="27">
        <f>IF(G1477,N1477,"")</f>
        <v/>
      </c>
      <c r="Z1477" s="27">
        <f>IF(R1477,O1477,"")</f>
        <v/>
      </c>
      <c r="AA1477" s="27">
        <f>IF(R1477,N1477,"")</f>
        <v/>
      </c>
    </row>
    <row r="1478">
      <c r="A1478" s="31" t="n">
        <v>0.8</v>
      </c>
      <c r="B1478" s="31" t="n">
        <v>0.1</v>
      </c>
      <c r="C1478" s="31" t="n">
        <v>0.1</v>
      </c>
      <c r="D1478" s="31" t="n">
        <v>0</v>
      </c>
      <c r="E1478" s="27" t="inlineStr">
        <is>
          <t>ON 80%/1M 10%/2M 10%</t>
        </is>
      </c>
      <c r="F1478" s="27" t="n">
        <v>50</v>
      </c>
      <c r="G1478" s="27">
        <f>A1478*$B$7&gt;=$B$9</f>
        <v/>
      </c>
      <c r="H1478" s="13">
        <f>$B$7*(A1478*E$71+B1478*F$71+C1478*G$71+D1478*H$71)+F1478/100*$B$7*J$71-$C$71</f>
        <v/>
      </c>
      <c r="I1478" s="13">
        <f>$B$7*(A1478*L$71+B1478*M$71+C1478*N$71+D1478*O$71)+F1478/100*$B$7*Q$71-$C$71</f>
        <v/>
      </c>
      <c r="J1478" s="13">
        <f>$B$7*(A1478*S$71+B1478*T$71+C1478*U$71+D1478*V$71)+F1478/100*$B$7*X$71-$C$71</f>
        <v/>
      </c>
      <c r="K1478" s="13">
        <f>$B$7*(A1478*Z$71+B1478*AA$71+C1478*AB$71+D1478*AC$71)+F1478/100*$B$7*AE$71-$C$71</f>
        <v/>
      </c>
      <c r="L1478" s="13">
        <f>$B$7*(A1478*AG$71+B1478*AH$71+C1478*AI$71+D1478*AJ$71)+F1478/100*$B$7*AL$71-$C$71</f>
        <v/>
      </c>
      <c r="M1478" s="13">
        <f>$B$7*(A1478*AN$71+B1478*AO$71+C1478*AP$71+D1478*AQ$71)+F1478/100*$B$7*AS$71-$C$71</f>
        <v/>
      </c>
      <c r="N1478" s="13">
        <f>SUMPRODUCT($H$24:$M$24,H1478:M1478)</f>
        <v/>
      </c>
      <c r="O1478" s="14">
        <f>SQRT(SUMPRODUCT($H$24:$M$24,(H1478:M1478-N1478)^2))</f>
        <v/>
      </c>
      <c r="P1478" s="13">
        <f>MIN(H1478:M1478)</f>
        <v/>
      </c>
      <c r="Q1478" s="13">
        <f>MAX(H1478:M1478)</f>
        <v/>
      </c>
      <c r="R1478" s="27">
        <f>IF(G1478,SUMPRODUCT(($G$76:$G$1505)*($N$76:$N$1505&gt;=N1478)*($O$76:$O$1505&lt;=O1478))=1,FALSE)</f>
        <v/>
      </c>
      <c r="S1478" s="16">
        <f>IF(R1478,ABS((O1478-$AC$76)/MAX(0.0001,$AC$77-$AC$76)-(N1478-$AC$78)/MAX(0.0001,$AC$79-$AC$78)),-1)</f>
        <v/>
      </c>
      <c r="T1478" s="14">
        <f>IF(G1478,O1478,NA())</f>
        <v/>
      </c>
      <c r="U1478" s="13">
        <f>IF(G1478,N1478,NA())</f>
        <v/>
      </c>
      <c r="V1478" s="14">
        <f>IF(R1478,O1478,NA())</f>
        <v/>
      </c>
      <c r="W1478" s="13">
        <f>IF(R1478,N1478,NA())</f>
        <v/>
      </c>
      <c r="X1478" s="27">
        <f>IF(G1478,P1478,"")</f>
        <v/>
      </c>
      <c r="Y1478" s="27">
        <f>IF(G1478,N1478,"")</f>
        <v/>
      </c>
      <c r="Z1478" s="27">
        <f>IF(R1478,O1478,"")</f>
        <v/>
      </c>
      <c r="AA1478" s="27">
        <f>IF(R1478,N1478,"")</f>
        <v/>
      </c>
    </row>
    <row r="1479">
      <c r="A1479" s="31" t="n">
        <v>0.8</v>
      </c>
      <c r="B1479" s="31" t="n">
        <v>0.1</v>
      </c>
      <c r="C1479" s="31" t="n">
        <v>0.1</v>
      </c>
      <c r="D1479" s="31" t="n">
        <v>0</v>
      </c>
      <c r="E1479" s="27" t="inlineStr">
        <is>
          <t>ON 80%/1M 10%/2M 10%</t>
        </is>
      </c>
      <c r="F1479" s="27" t="n">
        <v>75</v>
      </c>
      <c r="G1479" s="27">
        <f>A1479*$B$7&gt;=$B$9</f>
        <v/>
      </c>
      <c r="H1479" s="13">
        <f>$B$7*(A1479*E$71+B1479*F$71+C1479*G$71+D1479*H$71)+F1479/100*$B$7*J$71-$C$71</f>
        <v/>
      </c>
      <c r="I1479" s="13">
        <f>$B$7*(A1479*L$71+B1479*M$71+C1479*N$71+D1479*O$71)+F1479/100*$B$7*Q$71-$C$71</f>
        <v/>
      </c>
      <c r="J1479" s="13">
        <f>$B$7*(A1479*S$71+B1479*T$71+C1479*U$71+D1479*V$71)+F1479/100*$B$7*X$71-$C$71</f>
        <v/>
      </c>
      <c r="K1479" s="13">
        <f>$B$7*(A1479*Z$71+B1479*AA$71+C1479*AB$71+D1479*AC$71)+F1479/100*$B$7*AE$71-$C$71</f>
        <v/>
      </c>
      <c r="L1479" s="13">
        <f>$B$7*(A1479*AG$71+B1479*AH$71+C1479*AI$71+D1479*AJ$71)+F1479/100*$B$7*AL$71-$C$71</f>
        <v/>
      </c>
      <c r="M1479" s="13">
        <f>$B$7*(A1479*AN$71+B1479*AO$71+C1479*AP$71+D1479*AQ$71)+F1479/100*$B$7*AS$71-$C$71</f>
        <v/>
      </c>
      <c r="N1479" s="13">
        <f>SUMPRODUCT($H$24:$M$24,H1479:M1479)</f>
        <v/>
      </c>
      <c r="O1479" s="14">
        <f>SQRT(SUMPRODUCT($H$24:$M$24,(H1479:M1479-N1479)^2))</f>
        <v/>
      </c>
      <c r="P1479" s="13">
        <f>MIN(H1479:M1479)</f>
        <v/>
      </c>
      <c r="Q1479" s="13">
        <f>MAX(H1479:M1479)</f>
        <v/>
      </c>
      <c r="R1479" s="27">
        <f>IF(G1479,SUMPRODUCT(($G$76:$G$1505)*($N$76:$N$1505&gt;=N1479)*($O$76:$O$1505&lt;=O1479))=1,FALSE)</f>
        <v/>
      </c>
      <c r="S1479" s="16">
        <f>IF(R1479,ABS((O1479-$AC$76)/MAX(0.0001,$AC$77-$AC$76)-(N1479-$AC$78)/MAX(0.0001,$AC$79-$AC$78)),-1)</f>
        <v/>
      </c>
      <c r="T1479" s="14">
        <f>IF(G1479,O1479,NA())</f>
        <v/>
      </c>
      <c r="U1479" s="13">
        <f>IF(G1479,N1479,NA())</f>
        <v/>
      </c>
      <c r="V1479" s="14">
        <f>IF(R1479,O1479,NA())</f>
        <v/>
      </c>
      <c r="W1479" s="13">
        <f>IF(R1479,N1479,NA())</f>
        <v/>
      </c>
      <c r="X1479" s="27">
        <f>IF(G1479,P1479,"")</f>
        <v/>
      </c>
      <c r="Y1479" s="27">
        <f>IF(G1479,N1479,"")</f>
        <v/>
      </c>
      <c r="Z1479" s="27">
        <f>IF(R1479,O1479,"")</f>
        <v/>
      </c>
      <c r="AA1479" s="27">
        <f>IF(R1479,N1479,"")</f>
        <v/>
      </c>
    </row>
    <row r="1480">
      <c r="A1480" s="31" t="n">
        <v>0.8</v>
      </c>
      <c r="B1480" s="31" t="n">
        <v>0.1</v>
      </c>
      <c r="C1480" s="31" t="n">
        <v>0.1</v>
      </c>
      <c r="D1480" s="31" t="n">
        <v>0</v>
      </c>
      <c r="E1480" s="27" t="inlineStr">
        <is>
          <t>ON 80%/1M 10%/2M 10%</t>
        </is>
      </c>
      <c r="F1480" s="27" t="n">
        <v>100</v>
      </c>
      <c r="G1480" s="27">
        <f>A1480*$B$7&gt;=$B$9</f>
        <v/>
      </c>
      <c r="H1480" s="13">
        <f>$B$7*(A1480*E$71+B1480*F$71+C1480*G$71+D1480*H$71)+F1480/100*$B$7*J$71-$C$71</f>
        <v/>
      </c>
      <c r="I1480" s="13">
        <f>$B$7*(A1480*L$71+B1480*M$71+C1480*N$71+D1480*O$71)+F1480/100*$B$7*Q$71-$C$71</f>
        <v/>
      </c>
      <c r="J1480" s="13">
        <f>$B$7*(A1480*S$71+B1480*T$71+C1480*U$71+D1480*V$71)+F1480/100*$B$7*X$71-$C$71</f>
        <v/>
      </c>
      <c r="K1480" s="13">
        <f>$B$7*(A1480*Z$71+B1480*AA$71+C1480*AB$71+D1480*AC$71)+F1480/100*$B$7*AE$71-$C$71</f>
        <v/>
      </c>
      <c r="L1480" s="13">
        <f>$B$7*(A1480*AG$71+B1480*AH$71+C1480*AI$71+D1480*AJ$71)+F1480/100*$B$7*AL$71-$C$71</f>
        <v/>
      </c>
      <c r="M1480" s="13">
        <f>$B$7*(A1480*AN$71+B1480*AO$71+C1480*AP$71+D1480*AQ$71)+F1480/100*$B$7*AS$71-$C$71</f>
        <v/>
      </c>
      <c r="N1480" s="13">
        <f>SUMPRODUCT($H$24:$M$24,H1480:M1480)</f>
        <v/>
      </c>
      <c r="O1480" s="14">
        <f>SQRT(SUMPRODUCT($H$24:$M$24,(H1480:M1480-N1480)^2))</f>
        <v/>
      </c>
      <c r="P1480" s="13">
        <f>MIN(H1480:M1480)</f>
        <v/>
      </c>
      <c r="Q1480" s="13">
        <f>MAX(H1480:M1480)</f>
        <v/>
      </c>
      <c r="R1480" s="27">
        <f>IF(G1480,SUMPRODUCT(($G$76:$G$1505)*($N$76:$N$1505&gt;=N1480)*($O$76:$O$1505&lt;=O1480))=1,FALSE)</f>
        <v/>
      </c>
      <c r="S1480" s="16">
        <f>IF(R1480,ABS((O1480-$AC$76)/MAX(0.0001,$AC$77-$AC$76)-(N1480-$AC$78)/MAX(0.0001,$AC$79-$AC$78)),-1)</f>
        <v/>
      </c>
      <c r="T1480" s="14">
        <f>IF(G1480,O1480,NA())</f>
        <v/>
      </c>
      <c r="U1480" s="13">
        <f>IF(G1480,N1480,NA())</f>
        <v/>
      </c>
      <c r="V1480" s="14">
        <f>IF(R1480,O1480,NA())</f>
        <v/>
      </c>
      <c r="W1480" s="13">
        <f>IF(R1480,N1480,NA())</f>
        <v/>
      </c>
      <c r="X1480" s="27">
        <f>IF(G1480,P1480,"")</f>
        <v/>
      </c>
      <c r="Y1480" s="27">
        <f>IF(G1480,N1480,"")</f>
        <v/>
      </c>
      <c r="Z1480" s="27">
        <f>IF(R1480,O1480,"")</f>
        <v/>
      </c>
      <c r="AA1480" s="27">
        <f>IF(R1480,N1480,"")</f>
        <v/>
      </c>
    </row>
    <row r="1481">
      <c r="A1481" s="31" t="n">
        <v>0.8</v>
      </c>
      <c r="B1481" s="31" t="n">
        <v>0.2</v>
      </c>
      <c r="C1481" s="31" t="n">
        <v>0</v>
      </c>
      <c r="D1481" s="31" t="n">
        <v>0</v>
      </c>
      <c r="E1481" s="27" t="inlineStr">
        <is>
          <t>ON 80%/1M 20%</t>
        </is>
      </c>
      <c r="F1481" s="27" t="n">
        <v>0</v>
      </c>
      <c r="G1481" s="27">
        <f>A1481*$B$7&gt;=$B$9</f>
        <v/>
      </c>
      <c r="H1481" s="13">
        <f>$B$7*(A1481*E$71+B1481*F$71+C1481*G$71+D1481*H$71)+F1481/100*$B$7*J$71-$C$71</f>
        <v/>
      </c>
      <c r="I1481" s="13">
        <f>$B$7*(A1481*L$71+B1481*M$71+C1481*N$71+D1481*O$71)+F1481/100*$B$7*Q$71-$C$71</f>
        <v/>
      </c>
      <c r="J1481" s="13">
        <f>$B$7*(A1481*S$71+B1481*T$71+C1481*U$71+D1481*V$71)+F1481/100*$B$7*X$71-$C$71</f>
        <v/>
      </c>
      <c r="K1481" s="13">
        <f>$B$7*(A1481*Z$71+B1481*AA$71+C1481*AB$71+D1481*AC$71)+F1481/100*$B$7*AE$71-$C$71</f>
        <v/>
      </c>
      <c r="L1481" s="13">
        <f>$B$7*(A1481*AG$71+B1481*AH$71+C1481*AI$71+D1481*AJ$71)+F1481/100*$B$7*AL$71-$C$71</f>
        <v/>
      </c>
      <c r="M1481" s="13">
        <f>$B$7*(A1481*AN$71+B1481*AO$71+C1481*AP$71+D1481*AQ$71)+F1481/100*$B$7*AS$71-$C$71</f>
        <v/>
      </c>
      <c r="N1481" s="13">
        <f>SUMPRODUCT($H$24:$M$24,H1481:M1481)</f>
        <v/>
      </c>
      <c r="O1481" s="14">
        <f>SQRT(SUMPRODUCT($H$24:$M$24,(H1481:M1481-N1481)^2))</f>
        <v/>
      </c>
      <c r="P1481" s="13">
        <f>MIN(H1481:M1481)</f>
        <v/>
      </c>
      <c r="Q1481" s="13">
        <f>MAX(H1481:M1481)</f>
        <v/>
      </c>
      <c r="R1481" s="27">
        <f>IF(G1481,SUMPRODUCT(($G$76:$G$1505)*($N$76:$N$1505&gt;=N1481)*($O$76:$O$1505&lt;=O1481))=1,FALSE)</f>
        <v/>
      </c>
      <c r="S1481" s="16">
        <f>IF(R1481,ABS((O1481-$AC$76)/MAX(0.0001,$AC$77-$AC$76)-(N1481-$AC$78)/MAX(0.0001,$AC$79-$AC$78)),-1)</f>
        <v/>
      </c>
      <c r="T1481" s="14">
        <f>IF(G1481,O1481,NA())</f>
        <v/>
      </c>
      <c r="U1481" s="13">
        <f>IF(G1481,N1481,NA())</f>
        <v/>
      </c>
      <c r="V1481" s="14">
        <f>IF(R1481,O1481,NA())</f>
        <v/>
      </c>
      <c r="W1481" s="13">
        <f>IF(R1481,N1481,NA())</f>
        <v/>
      </c>
      <c r="X1481" s="27">
        <f>IF(G1481,P1481,"")</f>
        <v/>
      </c>
      <c r="Y1481" s="27">
        <f>IF(G1481,N1481,"")</f>
        <v/>
      </c>
      <c r="Z1481" s="27">
        <f>IF(R1481,O1481,"")</f>
        <v/>
      </c>
      <c r="AA1481" s="27">
        <f>IF(R1481,N1481,"")</f>
        <v/>
      </c>
    </row>
    <row r="1482">
      <c r="A1482" s="31" t="n">
        <v>0.8</v>
      </c>
      <c r="B1482" s="31" t="n">
        <v>0.2</v>
      </c>
      <c r="C1482" s="31" t="n">
        <v>0</v>
      </c>
      <c r="D1482" s="31" t="n">
        <v>0</v>
      </c>
      <c r="E1482" s="27" t="inlineStr">
        <is>
          <t>ON 80%/1M 20%</t>
        </is>
      </c>
      <c r="F1482" s="27" t="n">
        <v>25</v>
      </c>
      <c r="G1482" s="27">
        <f>A1482*$B$7&gt;=$B$9</f>
        <v/>
      </c>
      <c r="H1482" s="13">
        <f>$B$7*(A1482*E$71+B1482*F$71+C1482*G$71+D1482*H$71)+F1482/100*$B$7*J$71-$C$71</f>
        <v/>
      </c>
      <c r="I1482" s="13">
        <f>$B$7*(A1482*L$71+B1482*M$71+C1482*N$71+D1482*O$71)+F1482/100*$B$7*Q$71-$C$71</f>
        <v/>
      </c>
      <c r="J1482" s="13">
        <f>$B$7*(A1482*S$71+B1482*T$71+C1482*U$71+D1482*V$71)+F1482/100*$B$7*X$71-$C$71</f>
        <v/>
      </c>
      <c r="K1482" s="13">
        <f>$B$7*(A1482*Z$71+B1482*AA$71+C1482*AB$71+D1482*AC$71)+F1482/100*$B$7*AE$71-$C$71</f>
        <v/>
      </c>
      <c r="L1482" s="13">
        <f>$B$7*(A1482*AG$71+B1482*AH$71+C1482*AI$71+D1482*AJ$71)+F1482/100*$B$7*AL$71-$C$71</f>
        <v/>
      </c>
      <c r="M1482" s="13">
        <f>$B$7*(A1482*AN$71+B1482*AO$71+C1482*AP$71+D1482*AQ$71)+F1482/100*$B$7*AS$71-$C$71</f>
        <v/>
      </c>
      <c r="N1482" s="13">
        <f>SUMPRODUCT($H$24:$M$24,H1482:M1482)</f>
        <v/>
      </c>
      <c r="O1482" s="14">
        <f>SQRT(SUMPRODUCT($H$24:$M$24,(H1482:M1482-N1482)^2))</f>
        <v/>
      </c>
      <c r="P1482" s="13">
        <f>MIN(H1482:M1482)</f>
        <v/>
      </c>
      <c r="Q1482" s="13">
        <f>MAX(H1482:M1482)</f>
        <v/>
      </c>
      <c r="R1482" s="27">
        <f>IF(G1482,SUMPRODUCT(($G$76:$G$1505)*($N$76:$N$1505&gt;=N1482)*($O$76:$O$1505&lt;=O1482))=1,FALSE)</f>
        <v/>
      </c>
      <c r="S1482" s="16">
        <f>IF(R1482,ABS((O1482-$AC$76)/MAX(0.0001,$AC$77-$AC$76)-(N1482-$AC$78)/MAX(0.0001,$AC$79-$AC$78)),-1)</f>
        <v/>
      </c>
      <c r="T1482" s="14">
        <f>IF(G1482,O1482,NA())</f>
        <v/>
      </c>
      <c r="U1482" s="13">
        <f>IF(G1482,N1482,NA())</f>
        <v/>
      </c>
      <c r="V1482" s="14">
        <f>IF(R1482,O1482,NA())</f>
        <v/>
      </c>
      <c r="W1482" s="13">
        <f>IF(R1482,N1482,NA())</f>
        <v/>
      </c>
      <c r="X1482" s="27">
        <f>IF(G1482,P1482,"")</f>
        <v/>
      </c>
      <c r="Y1482" s="27">
        <f>IF(G1482,N1482,"")</f>
        <v/>
      </c>
      <c r="Z1482" s="27">
        <f>IF(R1482,O1482,"")</f>
        <v/>
      </c>
      <c r="AA1482" s="27">
        <f>IF(R1482,N1482,"")</f>
        <v/>
      </c>
    </row>
    <row r="1483">
      <c r="A1483" s="31" t="n">
        <v>0.8</v>
      </c>
      <c r="B1483" s="31" t="n">
        <v>0.2</v>
      </c>
      <c r="C1483" s="31" t="n">
        <v>0</v>
      </c>
      <c r="D1483" s="31" t="n">
        <v>0</v>
      </c>
      <c r="E1483" s="27" t="inlineStr">
        <is>
          <t>ON 80%/1M 20%</t>
        </is>
      </c>
      <c r="F1483" s="27" t="n">
        <v>50</v>
      </c>
      <c r="G1483" s="27">
        <f>A1483*$B$7&gt;=$B$9</f>
        <v/>
      </c>
      <c r="H1483" s="13">
        <f>$B$7*(A1483*E$71+B1483*F$71+C1483*G$71+D1483*H$71)+F1483/100*$B$7*J$71-$C$71</f>
        <v/>
      </c>
      <c r="I1483" s="13">
        <f>$B$7*(A1483*L$71+B1483*M$71+C1483*N$71+D1483*O$71)+F1483/100*$B$7*Q$71-$C$71</f>
        <v/>
      </c>
      <c r="J1483" s="13">
        <f>$B$7*(A1483*S$71+B1483*T$71+C1483*U$71+D1483*V$71)+F1483/100*$B$7*X$71-$C$71</f>
        <v/>
      </c>
      <c r="K1483" s="13">
        <f>$B$7*(A1483*Z$71+B1483*AA$71+C1483*AB$71+D1483*AC$71)+F1483/100*$B$7*AE$71-$C$71</f>
        <v/>
      </c>
      <c r="L1483" s="13">
        <f>$B$7*(A1483*AG$71+B1483*AH$71+C1483*AI$71+D1483*AJ$71)+F1483/100*$B$7*AL$71-$C$71</f>
        <v/>
      </c>
      <c r="M1483" s="13">
        <f>$B$7*(A1483*AN$71+B1483*AO$71+C1483*AP$71+D1483*AQ$71)+F1483/100*$B$7*AS$71-$C$71</f>
        <v/>
      </c>
      <c r="N1483" s="13">
        <f>SUMPRODUCT($H$24:$M$24,H1483:M1483)</f>
        <v/>
      </c>
      <c r="O1483" s="14">
        <f>SQRT(SUMPRODUCT($H$24:$M$24,(H1483:M1483-N1483)^2))</f>
        <v/>
      </c>
      <c r="P1483" s="13">
        <f>MIN(H1483:M1483)</f>
        <v/>
      </c>
      <c r="Q1483" s="13">
        <f>MAX(H1483:M1483)</f>
        <v/>
      </c>
      <c r="R1483" s="27">
        <f>IF(G1483,SUMPRODUCT(($G$76:$G$1505)*($N$76:$N$1505&gt;=N1483)*($O$76:$O$1505&lt;=O1483))=1,FALSE)</f>
        <v/>
      </c>
      <c r="S1483" s="16">
        <f>IF(R1483,ABS((O1483-$AC$76)/MAX(0.0001,$AC$77-$AC$76)-(N1483-$AC$78)/MAX(0.0001,$AC$79-$AC$78)),-1)</f>
        <v/>
      </c>
      <c r="T1483" s="14">
        <f>IF(G1483,O1483,NA())</f>
        <v/>
      </c>
      <c r="U1483" s="13">
        <f>IF(G1483,N1483,NA())</f>
        <v/>
      </c>
      <c r="V1483" s="14">
        <f>IF(R1483,O1483,NA())</f>
        <v/>
      </c>
      <c r="W1483" s="13">
        <f>IF(R1483,N1483,NA())</f>
        <v/>
      </c>
      <c r="X1483" s="27">
        <f>IF(G1483,P1483,"")</f>
        <v/>
      </c>
      <c r="Y1483" s="27">
        <f>IF(G1483,N1483,"")</f>
        <v/>
      </c>
      <c r="Z1483" s="27">
        <f>IF(R1483,O1483,"")</f>
        <v/>
      </c>
      <c r="AA1483" s="27">
        <f>IF(R1483,N1483,"")</f>
        <v/>
      </c>
    </row>
    <row r="1484">
      <c r="A1484" s="31" t="n">
        <v>0.8</v>
      </c>
      <c r="B1484" s="31" t="n">
        <v>0.2</v>
      </c>
      <c r="C1484" s="31" t="n">
        <v>0</v>
      </c>
      <c r="D1484" s="31" t="n">
        <v>0</v>
      </c>
      <c r="E1484" s="27" t="inlineStr">
        <is>
          <t>ON 80%/1M 20%</t>
        </is>
      </c>
      <c r="F1484" s="27" t="n">
        <v>75</v>
      </c>
      <c r="G1484" s="27">
        <f>A1484*$B$7&gt;=$B$9</f>
        <v/>
      </c>
      <c r="H1484" s="13">
        <f>$B$7*(A1484*E$71+B1484*F$71+C1484*G$71+D1484*H$71)+F1484/100*$B$7*J$71-$C$71</f>
        <v/>
      </c>
      <c r="I1484" s="13">
        <f>$B$7*(A1484*L$71+B1484*M$71+C1484*N$71+D1484*O$71)+F1484/100*$B$7*Q$71-$C$71</f>
        <v/>
      </c>
      <c r="J1484" s="13">
        <f>$B$7*(A1484*S$71+B1484*T$71+C1484*U$71+D1484*V$71)+F1484/100*$B$7*X$71-$C$71</f>
        <v/>
      </c>
      <c r="K1484" s="13">
        <f>$B$7*(A1484*Z$71+B1484*AA$71+C1484*AB$71+D1484*AC$71)+F1484/100*$B$7*AE$71-$C$71</f>
        <v/>
      </c>
      <c r="L1484" s="13">
        <f>$B$7*(A1484*AG$71+B1484*AH$71+C1484*AI$71+D1484*AJ$71)+F1484/100*$B$7*AL$71-$C$71</f>
        <v/>
      </c>
      <c r="M1484" s="13">
        <f>$B$7*(A1484*AN$71+B1484*AO$71+C1484*AP$71+D1484*AQ$71)+F1484/100*$B$7*AS$71-$C$71</f>
        <v/>
      </c>
      <c r="N1484" s="13">
        <f>SUMPRODUCT($H$24:$M$24,H1484:M1484)</f>
        <v/>
      </c>
      <c r="O1484" s="14">
        <f>SQRT(SUMPRODUCT($H$24:$M$24,(H1484:M1484-N1484)^2))</f>
        <v/>
      </c>
      <c r="P1484" s="13">
        <f>MIN(H1484:M1484)</f>
        <v/>
      </c>
      <c r="Q1484" s="13">
        <f>MAX(H1484:M1484)</f>
        <v/>
      </c>
      <c r="R1484" s="27">
        <f>IF(G1484,SUMPRODUCT(($G$76:$G$1505)*($N$76:$N$1505&gt;=N1484)*($O$76:$O$1505&lt;=O1484))=1,FALSE)</f>
        <v/>
      </c>
      <c r="S1484" s="16">
        <f>IF(R1484,ABS((O1484-$AC$76)/MAX(0.0001,$AC$77-$AC$76)-(N1484-$AC$78)/MAX(0.0001,$AC$79-$AC$78)),-1)</f>
        <v/>
      </c>
      <c r="T1484" s="14">
        <f>IF(G1484,O1484,NA())</f>
        <v/>
      </c>
      <c r="U1484" s="13">
        <f>IF(G1484,N1484,NA())</f>
        <v/>
      </c>
      <c r="V1484" s="14">
        <f>IF(R1484,O1484,NA())</f>
        <v/>
      </c>
      <c r="W1484" s="13">
        <f>IF(R1484,N1484,NA())</f>
        <v/>
      </c>
      <c r="X1484" s="27">
        <f>IF(G1484,P1484,"")</f>
        <v/>
      </c>
      <c r="Y1484" s="27">
        <f>IF(G1484,N1484,"")</f>
        <v/>
      </c>
      <c r="Z1484" s="27">
        <f>IF(R1484,O1484,"")</f>
        <v/>
      </c>
      <c r="AA1484" s="27">
        <f>IF(R1484,N1484,"")</f>
        <v/>
      </c>
    </row>
    <row r="1485">
      <c r="A1485" s="31" t="n">
        <v>0.8</v>
      </c>
      <c r="B1485" s="31" t="n">
        <v>0.2</v>
      </c>
      <c r="C1485" s="31" t="n">
        <v>0</v>
      </c>
      <c r="D1485" s="31" t="n">
        <v>0</v>
      </c>
      <c r="E1485" s="27" t="inlineStr">
        <is>
          <t>ON 80%/1M 20%</t>
        </is>
      </c>
      <c r="F1485" s="27" t="n">
        <v>100</v>
      </c>
      <c r="G1485" s="27">
        <f>A1485*$B$7&gt;=$B$9</f>
        <v/>
      </c>
      <c r="H1485" s="13">
        <f>$B$7*(A1485*E$71+B1485*F$71+C1485*G$71+D1485*H$71)+F1485/100*$B$7*J$71-$C$71</f>
        <v/>
      </c>
      <c r="I1485" s="13">
        <f>$B$7*(A1485*L$71+B1485*M$71+C1485*N$71+D1485*O$71)+F1485/100*$B$7*Q$71-$C$71</f>
        <v/>
      </c>
      <c r="J1485" s="13">
        <f>$B$7*(A1485*S$71+B1485*T$71+C1485*U$71+D1485*V$71)+F1485/100*$B$7*X$71-$C$71</f>
        <v/>
      </c>
      <c r="K1485" s="13">
        <f>$B$7*(A1485*Z$71+B1485*AA$71+C1485*AB$71+D1485*AC$71)+F1485/100*$B$7*AE$71-$C$71</f>
        <v/>
      </c>
      <c r="L1485" s="13">
        <f>$B$7*(A1485*AG$71+B1485*AH$71+C1485*AI$71+D1485*AJ$71)+F1485/100*$B$7*AL$71-$C$71</f>
        <v/>
      </c>
      <c r="M1485" s="13">
        <f>$B$7*(A1485*AN$71+B1485*AO$71+C1485*AP$71+D1485*AQ$71)+F1485/100*$B$7*AS$71-$C$71</f>
        <v/>
      </c>
      <c r="N1485" s="13">
        <f>SUMPRODUCT($H$24:$M$24,H1485:M1485)</f>
        <v/>
      </c>
      <c r="O1485" s="14">
        <f>SQRT(SUMPRODUCT($H$24:$M$24,(H1485:M1485-N1485)^2))</f>
        <v/>
      </c>
      <c r="P1485" s="13">
        <f>MIN(H1485:M1485)</f>
        <v/>
      </c>
      <c r="Q1485" s="13">
        <f>MAX(H1485:M1485)</f>
        <v/>
      </c>
      <c r="R1485" s="27">
        <f>IF(G1485,SUMPRODUCT(($G$76:$G$1505)*($N$76:$N$1505&gt;=N1485)*($O$76:$O$1505&lt;=O1485))=1,FALSE)</f>
        <v/>
      </c>
      <c r="S1485" s="16">
        <f>IF(R1485,ABS((O1485-$AC$76)/MAX(0.0001,$AC$77-$AC$76)-(N1485-$AC$78)/MAX(0.0001,$AC$79-$AC$78)),-1)</f>
        <v/>
      </c>
      <c r="T1485" s="14">
        <f>IF(G1485,O1485,NA())</f>
        <v/>
      </c>
      <c r="U1485" s="13">
        <f>IF(G1485,N1485,NA())</f>
        <v/>
      </c>
      <c r="V1485" s="14">
        <f>IF(R1485,O1485,NA())</f>
        <v/>
      </c>
      <c r="W1485" s="13">
        <f>IF(R1485,N1485,NA())</f>
        <v/>
      </c>
      <c r="X1485" s="27">
        <f>IF(G1485,P1485,"")</f>
        <v/>
      </c>
      <c r="Y1485" s="27">
        <f>IF(G1485,N1485,"")</f>
        <v/>
      </c>
      <c r="Z1485" s="27">
        <f>IF(R1485,O1485,"")</f>
        <v/>
      </c>
      <c r="AA1485" s="27">
        <f>IF(R1485,N1485,"")</f>
        <v/>
      </c>
    </row>
    <row r="1486">
      <c r="A1486" s="31" t="n">
        <v>0.9</v>
      </c>
      <c r="B1486" s="31" t="n">
        <v>0</v>
      </c>
      <c r="C1486" s="31" t="n">
        <v>0</v>
      </c>
      <c r="D1486" s="31" t="n">
        <v>0.1</v>
      </c>
      <c r="E1486" s="27" t="inlineStr">
        <is>
          <t>ON 90%/3M 10%</t>
        </is>
      </c>
      <c r="F1486" s="27" t="n">
        <v>0</v>
      </c>
      <c r="G1486" s="27">
        <f>A1486*$B$7&gt;=$B$9</f>
        <v/>
      </c>
      <c r="H1486" s="13">
        <f>$B$7*(A1486*E$71+B1486*F$71+C1486*G$71+D1486*H$71)+F1486/100*$B$7*J$71-$C$71</f>
        <v/>
      </c>
      <c r="I1486" s="13">
        <f>$B$7*(A1486*L$71+B1486*M$71+C1486*N$71+D1486*O$71)+F1486/100*$B$7*Q$71-$C$71</f>
        <v/>
      </c>
      <c r="J1486" s="13">
        <f>$B$7*(A1486*S$71+B1486*T$71+C1486*U$71+D1486*V$71)+F1486/100*$B$7*X$71-$C$71</f>
        <v/>
      </c>
      <c r="K1486" s="13">
        <f>$B$7*(A1486*Z$71+B1486*AA$71+C1486*AB$71+D1486*AC$71)+F1486/100*$B$7*AE$71-$C$71</f>
        <v/>
      </c>
      <c r="L1486" s="13">
        <f>$B$7*(A1486*AG$71+B1486*AH$71+C1486*AI$71+D1486*AJ$71)+F1486/100*$B$7*AL$71-$C$71</f>
        <v/>
      </c>
      <c r="M1486" s="13">
        <f>$B$7*(A1486*AN$71+B1486*AO$71+C1486*AP$71+D1486*AQ$71)+F1486/100*$B$7*AS$71-$C$71</f>
        <v/>
      </c>
      <c r="N1486" s="13">
        <f>SUMPRODUCT($H$24:$M$24,H1486:M1486)</f>
        <v/>
      </c>
      <c r="O1486" s="14">
        <f>SQRT(SUMPRODUCT($H$24:$M$24,(H1486:M1486-N1486)^2))</f>
        <v/>
      </c>
      <c r="P1486" s="13">
        <f>MIN(H1486:M1486)</f>
        <v/>
      </c>
      <c r="Q1486" s="13">
        <f>MAX(H1486:M1486)</f>
        <v/>
      </c>
      <c r="R1486" s="27">
        <f>IF(G1486,SUMPRODUCT(($G$76:$G$1505)*($N$76:$N$1505&gt;=N1486)*($O$76:$O$1505&lt;=O1486))=1,FALSE)</f>
        <v/>
      </c>
      <c r="S1486" s="16">
        <f>IF(R1486,ABS((O1486-$AC$76)/MAX(0.0001,$AC$77-$AC$76)-(N1486-$AC$78)/MAX(0.0001,$AC$79-$AC$78)),-1)</f>
        <v/>
      </c>
      <c r="T1486" s="14">
        <f>IF(G1486,O1486,NA())</f>
        <v/>
      </c>
      <c r="U1486" s="13">
        <f>IF(G1486,N1486,NA())</f>
        <v/>
      </c>
      <c r="V1486" s="14">
        <f>IF(R1486,O1486,NA())</f>
        <v/>
      </c>
      <c r="W1486" s="13">
        <f>IF(R1486,N1486,NA())</f>
        <v/>
      </c>
      <c r="X1486" s="27">
        <f>IF(G1486,P1486,"")</f>
        <v/>
      </c>
      <c r="Y1486" s="27">
        <f>IF(G1486,N1486,"")</f>
        <v/>
      </c>
      <c r="Z1486" s="27">
        <f>IF(R1486,O1486,"")</f>
        <v/>
      </c>
      <c r="AA1486" s="27">
        <f>IF(R1486,N1486,"")</f>
        <v/>
      </c>
    </row>
    <row r="1487">
      <c r="A1487" s="31" t="n">
        <v>0.9</v>
      </c>
      <c r="B1487" s="31" t="n">
        <v>0</v>
      </c>
      <c r="C1487" s="31" t="n">
        <v>0</v>
      </c>
      <c r="D1487" s="31" t="n">
        <v>0.1</v>
      </c>
      <c r="E1487" s="27" t="inlineStr">
        <is>
          <t>ON 90%/3M 10%</t>
        </is>
      </c>
      <c r="F1487" s="27" t="n">
        <v>25</v>
      </c>
      <c r="G1487" s="27">
        <f>A1487*$B$7&gt;=$B$9</f>
        <v/>
      </c>
      <c r="H1487" s="13">
        <f>$B$7*(A1487*E$71+B1487*F$71+C1487*G$71+D1487*H$71)+F1487/100*$B$7*J$71-$C$71</f>
        <v/>
      </c>
      <c r="I1487" s="13">
        <f>$B$7*(A1487*L$71+B1487*M$71+C1487*N$71+D1487*O$71)+F1487/100*$B$7*Q$71-$C$71</f>
        <v/>
      </c>
      <c r="J1487" s="13">
        <f>$B$7*(A1487*S$71+B1487*T$71+C1487*U$71+D1487*V$71)+F1487/100*$B$7*X$71-$C$71</f>
        <v/>
      </c>
      <c r="K1487" s="13">
        <f>$B$7*(A1487*Z$71+B1487*AA$71+C1487*AB$71+D1487*AC$71)+F1487/100*$B$7*AE$71-$C$71</f>
        <v/>
      </c>
      <c r="L1487" s="13">
        <f>$B$7*(A1487*AG$71+B1487*AH$71+C1487*AI$71+D1487*AJ$71)+F1487/100*$B$7*AL$71-$C$71</f>
        <v/>
      </c>
      <c r="M1487" s="13">
        <f>$B$7*(A1487*AN$71+B1487*AO$71+C1487*AP$71+D1487*AQ$71)+F1487/100*$B$7*AS$71-$C$71</f>
        <v/>
      </c>
      <c r="N1487" s="13">
        <f>SUMPRODUCT($H$24:$M$24,H1487:M1487)</f>
        <v/>
      </c>
      <c r="O1487" s="14">
        <f>SQRT(SUMPRODUCT($H$24:$M$24,(H1487:M1487-N1487)^2))</f>
        <v/>
      </c>
      <c r="P1487" s="13">
        <f>MIN(H1487:M1487)</f>
        <v/>
      </c>
      <c r="Q1487" s="13">
        <f>MAX(H1487:M1487)</f>
        <v/>
      </c>
      <c r="R1487" s="27">
        <f>IF(G1487,SUMPRODUCT(($G$76:$G$1505)*($N$76:$N$1505&gt;=N1487)*($O$76:$O$1505&lt;=O1487))=1,FALSE)</f>
        <v/>
      </c>
      <c r="S1487" s="16">
        <f>IF(R1487,ABS((O1487-$AC$76)/MAX(0.0001,$AC$77-$AC$76)-(N1487-$AC$78)/MAX(0.0001,$AC$79-$AC$78)),-1)</f>
        <v/>
      </c>
      <c r="T1487" s="14">
        <f>IF(G1487,O1487,NA())</f>
        <v/>
      </c>
      <c r="U1487" s="13">
        <f>IF(G1487,N1487,NA())</f>
        <v/>
      </c>
      <c r="V1487" s="14">
        <f>IF(R1487,O1487,NA())</f>
        <v/>
      </c>
      <c r="W1487" s="13">
        <f>IF(R1487,N1487,NA())</f>
        <v/>
      </c>
      <c r="X1487" s="27">
        <f>IF(G1487,P1487,"")</f>
        <v/>
      </c>
      <c r="Y1487" s="27">
        <f>IF(G1487,N1487,"")</f>
        <v/>
      </c>
      <c r="Z1487" s="27">
        <f>IF(R1487,O1487,"")</f>
        <v/>
      </c>
      <c r="AA1487" s="27">
        <f>IF(R1487,N1487,"")</f>
        <v/>
      </c>
    </row>
    <row r="1488">
      <c r="A1488" s="31" t="n">
        <v>0.9</v>
      </c>
      <c r="B1488" s="31" t="n">
        <v>0</v>
      </c>
      <c r="C1488" s="31" t="n">
        <v>0</v>
      </c>
      <c r="D1488" s="31" t="n">
        <v>0.1</v>
      </c>
      <c r="E1488" s="27" t="inlineStr">
        <is>
          <t>ON 90%/3M 10%</t>
        </is>
      </c>
      <c r="F1488" s="27" t="n">
        <v>50</v>
      </c>
      <c r="G1488" s="27">
        <f>A1488*$B$7&gt;=$B$9</f>
        <v/>
      </c>
      <c r="H1488" s="13">
        <f>$B$7*(A1488*E$71+B1488*F$71+C1488*G$71+D1488*H$71)+F1488/100*$B$7*J$71-$C$71</f>
        <v/>
      </c>
      <c r="I1488" s="13">
        <f>$B$7*(A1488*L$71+B1488*M$71+C1488*N$71+D1488*O$71)+F1488/100*$B$7*Q$71-$C$71</f>
        <v/>
      </c>
      <c r="J1488" s="13">
        <f>$B$7*(A1488*S$71+B1488*T$71+C1488*U$71+D1488*V$71)+F1488/100*$B$7*X$71-$C$71</f>
        <v/>
      </c>
      <c r="K1488" s="13">
        <f>$B$7*(A1488*Z$71+B1488*AA$71+C1488*AB$71+D1488*AC$71)+F1488/100*$B$7*AE$71-$C$71</f>
        <v/>
      </c>
      <c r="L1488" s="13">
        <f>$B$7*(A1488*AG$71+B1488*AH$71+C1488*AI$71+D1488*AJ$71)+F1488/100*$B$7*AL$71-$C$71</f>
        <v/>
      </c>
      <c r="M1488" s="13">
        <f>$B$7*(A1488*AN$71+B1488*AO$71+C1488*AP$71+D1488*AQ$71)+F1488/100*$B$7*AS$71-$C$71</f>
        <v/>
      </c>
      <c r="N1488" s="13">
        <f>SUMPRODUCT($H$24:$M$24,H1488:M1488)</f>
        <v/>
      </c>
      <c r="O1488" s="14">
        <f>SQRT(SUMPRODUCT($H$24:$M$24,(H1488:M1488-N1488)^2))</f>
        <v/>
      </c>
      <c r="P1488" s="13">
        <f>MIN(H1488:M1488)</f>
        <v/>
      </c>
      <c r="Q1488" s="13">
        <f>MAX(H1488:M1488)</f>
        <v/>
      </c>
      <c r="R1488" s="27">
        <f>IF(G1488,SUMPRODUCT(($G$76:$G$1505)*($N$76:$N$1505&gt;=N1488)*($O$76:$O$1505&lt;=O1488))=1,FALSE)</f>
        <v/>
      </c>
      <c r="S1488" s="16">
        <f>IF(R1488,ABS((O1488-$AC$76)/MAX(0.0001,$AC$77-$AC$76)-(N1488-$AC$78)/MAX(0.0001,$AC$79-$AC$78)),-1)</f>
        <v/>
      </c>
      <c r="T1488" s="14">
        <f>IF(G1488,O1488,NA())</f>
        <v/>
      </c>
      <c r="U1488" s="13">
        <f>IF(G1488,N1488,NA())</f>
        <v/>
      </c>
      <c r="V1488" s="14">
        <f>IF(R1488,O1488,NA())</f>
        <v/>
      </c>
      <c r="W1488" s="13">
        <f>IF(R1488,N1488,NA())</f>
        <v/>
      </c>
      <c r="X1488" s="27">
        <f>IF(G1488,P1488,"")</f>
        <v/>
      </c>
      <c r="Y1488" s="27">
        <f>IF(G1488,N1488,"")</f>
        <v/>
      </c>
      <c r="Z1488" s="27">
        <f>IF(R1488,O1488,"")</f>
        <v/>
      </c>
      <c r="AA1488" s="27">
        <f>IF(R1488,N1488,"")</f>
        <v/>
      </c>
    </row>
    <row r="1489">
      <c r="A1489" s="31" t="n">
        <v>0.9</v>
      </c>
      <c r="B1489" s="31" t="n">
        <v>0</v>
      </c>
      <c r="C1489" s="31" t="n">
        <v>0</v>
      </c>
      <c r="D1489" s="31" t="n">
        <v>0.1</v>
      </c>
      <c r="E1489" s="27" t="inlineStr">
        <is>
          <t>ON 90%/3M 10%</t>
        </is>
      </c>
      <c r="F1489" s="27" t="n">
        <v>75</v>
      </c>
      <c r="G1489" s="27">
        <f>A1489*$B$7&gt;=$B$9</f>
        <v/>
      </c>
      <c r="H1489" s="13">
        <f>$B$7*(A1489*E$71+B1489*F$71+C1489*G$71+D1489*H$71)+F1489/100*$B$7*J$71-$C$71</f>
        <v/>
      </c>
      <c r="I1489" s="13">
        <f>$B$7*(A1489*L$71+B1489*M$71+C1489*N$71+D1489*O$71)+F1489/100*$B$7*Q$71-$C$71</f>
        <v/>
      </c>
      <c r="J1489" s="13">
        <f>$B$7*(A1489*S$71+B1489*T$71+C1489*U$71+D1489*V$71)+F1489/100*$B$7*X$71-$C$71</f>
        <v/>
      </c>
      <c r="K1489" s="13">
        <f>$B$7*(A1489*Z$71+B1489*AA$71+C1489*AB$71+D1489*AC$71)+F1489/100*$B$7*AE$71-$C$71</f>
        <v/>
      </c>
      <c r="L1489" s="13">
        <f>$B$7*(A1489*AG$71+B1489*AH$71+C1489*AI$71+D1489*AJ$71)+F1489/100*$B$7*AL$71-$C$71</f>
        <v/>
      </c>
      <c r="M1489" s="13">
        <f>$B$7*(A1489*AN$71+B1489*AO$71+C1489*AP$71+D1489*AQ$71)+F1489/100*$B$7*AS$71-$C$71</f>
        <v/>
      </c>
      <c r="N1489" s="13">
        <f>SUMPRODUCT($H$24:$M$24,H1489:M1489)</f>
        <v/>
      </c>
      <c r="O1489" s="14">
        <f>SQRT(SUMPRODUCT($H$24:$M$24,(H1489:M1489-N1489)^2))</f>
        <v/>
      </c>
      <c r="P1489" s="13">
        <f>MIN(H1489:M1489)</f>
        <v/>
      </c>
      <c r="Q1489" s="13">
        <f>MAX(H1489:M1489)</f>
        <v/>
      </c>
      <c r="R1489" s="27">
        <f>IF(G1489,SUMPRODUCT(($G$76:$G$1505)*($N$76:$N$1505&gt;=N1489)*($O$76:$O$1505&lt;=O1489))=1,FALSE)</f>
        <v/>
      </c>
      <c r="S1489" s="16">
        <f>IF(R1489,ABS((O1489-$AC$76)/MAX(0.0001,$AC$77-$AC$76)-(N1489-$AC$78)/MAX(0.0001,$AC$79-$AC$78)),-1)</f>
        <v/>
      </c>
      <c r="T1489" s="14">
        <f>IF(G1489,O1489,NA())</f>
        <v/>
      </c>
      <c r="U1489" s="13">
        <f>IF(G1489,N1489,NA())</f>
        <v/>
      </c>
      <c r="V1489" s="14">
        <f>IF(R1489,O1489,NA())</f>
        <v/>
      </c>
      <c r="W1489" s="13">
        <f>IF(R1489,N1489,NA())</f>
        <v/>
      </c>
      <c r="X1489" s="27">
        <f>IF(G1489,P1489,"")</f>
        <v/>
      </c>
      <c r="Y1489" s="27">
        <f>IF(G1489,N1489,"")</f>
        <v/>
      </c>
      <c r="Z1489" s="27">
        <f>IF(R1489,O1489,"")</f>
        <v/>
      </c>
      <c r="AA1489" s="27">
        <f>IF(R1489,N1489,"")</f>
        <v/>
      </c>
    </row>
    <row r="1490">
      <c r="A1490" s="31" t="n">
        <v>0.9</v>
      </c>
      <c r="B1490" s="31" t="n">
        <v>0</v>
      </c>
      <c r="C1490" s="31" t="n">
        <v>0</v>
      </c>
      <c r="D1490" s="31" t="n">
        <v>0.1</v>
      </c>
      <c r="E1490" s="27" t="inlineStr">
        <is>
          <t>ON 90%/3M 10%</t>
        </is>
      </c>
      <c r="F1490" s="27" t="n">
        <v>100</v>
      </c>
      <c r="G1490" s="27">
        <f>A1490*$B$7&gt;=$B$9</f>
        <v/>
      </c>
      <c r="H1490" s="13">
        <f>$B$7*(A1490*E$71+B1490*F$71+C1490*G$71+D1490*H$71)+F1490/100*$B$7*J$71-$C$71</f>
        <v/>
      </c>
      <c r="I1490" s="13">
        <f>$B$7*(A1490*L$71+B1490*M$71+C1490*N$71+D1490*O$71)+F1490/100*$B$7*Q$71-$C$71</f>
        <v/>
      </c>
      <c r="J1490" s="13">
        <f>$B$7*(A1490*S$71+B1490*T$71+C1490*U$71+D1490*V$71)+F1490/100*$B$7*X$71-$C$71</f>
        <v/>
      </c>
      <c r="K1490" s="13">
        <f>$B$7*(A1490*Z$71+B1490*AA$71+C1490*AB$71+D1490*AC$71)+F1490/100*$B$7*AE$71-$C$71</f>
        <v/>
      </c>
      <c r="L1490" s="13">
        <f>$B$7*(A1490*AG$71+B1490*AH$71+C1490*AI$71+D1490*AJ$71)+F1490/100*$B$7*AL$71-$C$71</f>
        <v/>
      </c>
      <c r="M1490" s="13">
        <f>$B$7*(A1490*AN$71+B1490*AO$71+C1490*AP$71+D1490*AQ$71)+F1490/100*$B$7*AS$71-$C$71</f>
        <v/>
      </c>
      <c r="N1490" s="13">
        <f>SUMPRODUCT($H$24:$M$24,H1490:M1490)</f>
        <v/>
      </c>
      <c r="O1490" s="14">
        <f>SQRT(SUMPRODUCT($H$24:$M$24,(H1490:M1490-N1490)^2))</f>
        <v/>
      </c>
      <c r="P1490" s="13">
        <f>MIN(H1490:M1490)</f>
        <v/>
      </c>
      <c r="Q1490" s="13">
        <f>MAX(H1490:M1490)</f>
        <v/>
      </c>
      <c r="R1490" s="27">
        <f>IF(G1490,SUMPRODUCT(($G$76:$G$1505)*($N$76:$N$1505&gt;=N1490)*($O$76:$O$1505&lt;=O1490))=1,FALSE)</f>
        <v/>
      </c>
      <c r="S1490" s="16">
        <f>IF(R1490,ABS((O1490-$AC$76)/MAX(0.0001,$AC$77-$AC$76)-(N1490-$AC$78)/MAX(0.0001,$AC$79-$AC$78)),-1)</f>
        <v/>
      </c>
      <c r="T1490" s="14">
        <f>IF(G1490,O1490,NA())</f>
        <v/>
      </c>
      <c r="U1490" s="13">
        <f>IF(G1490,N1490,NA())</f>
        <v/>
      </c>
      <c r="V1490" s="14">
        <f>IF(R1490,O1490,NA())</f>
        <v/>
      </c>
      <c r="W1490" s="13">
        <f>IF(R1490,N1490,NA())</f>
        <v/>
      </c>
      <c r="X1490" s="27">
        <f>IF(G1490,P1490,"")</f>
        <v/>
      </c>
      <c r="Y1490" s="27">
        <f>IF(G1490,N1490,"")</f>
        <v/>
      </c>
      <c r="Z1490" s="27">
        <f>IF(R1490,O1490,"")</f>
        <v/>
      </c>
      <c r="AA1490" s="27">
        <f>IF(R1490,N1490,"")</f>
        <v/>
      </c>
    </row>
    <row r="1491">
      <c r="A1491" s="31" t="n">
        <v>0.9</v>
      </c>
      <c r="B1491" s="31" t="n">
        <v>0</v>
      </c>
      <c r="C1491" s="31" t="n">
        <v>0.1</v>
      </c>
      <c r="D1491" s="31" t="n">
        <v>0</v>
      </c>
      <c r="E1491" s="27" t="inlineStr">
        <is>
          <t>ON 90%/2M 10%</t>
        </is>
      </c>
      <c r="F1491" s="27" t="n">
        <v>0</v>
      </c>
      <c r="G1491" s="27">
        <f>A1491*$B$7&gt;=$B$9</f>
        <v/>
      </c>
      <c r="H1491" s="13">
        <f>$B$7*(A1491*E$71+B1491*F$71+C1491*G$71+D1491*H$71)+F1491/100*$B$7*J$71-$C$71</f>
        <v/>
      </c>
      <c r="I1491" s="13">
        <f>$B$7*(A1491*L$71+B1491*M$71+C1491*N$71+D1491*O$71)+F1491/100*$B$7*Q$71-$C$71</f>
        <v/>
      </c>
      <c r="J1491" s="13">
        <f>$B$7*(A1491*S$71+B1491*T$71+C1491*U$71+D1491*V$71)+F1491/100*$B$7*X$71-$C$71</f>
        <v/>
      </c>
      <c r="K1491" s="13">
        <f>$B$7*(A1491*Z$71+B1491*AA$71+C1491*AB$71+D1491*AC$71)+F1491/100*$B$7*AE$71-$C$71</f>
        <v/>
      </c>
      <c r="L1491" s="13">
        <f>$B$7*(A1491*AG$71+B1491*AH$71+C1491*AI$71+D1491*AJ$71)+F1491/100*$B$7*AL$71-$C$71</f>
        <v/>
      </c>
      <c r="M1491" s="13">
        <f>$B$7*(A1491*AN$71+B1491*AO$71+C1491*AP$71+D1491*AQ$71)+F1491/100*$B$7*AS$71-$C$71</f>
        <v/>
      </c>
      <c r="N1491" s="13">
        <f>SUMPRODUCT($H$24:$M$24,H1491:M1491)</f>
        <v/>
      </c>
      <c r="O1491" s="14">
        <f>SQRT(SUMPRODUCT($H$24:$M$24,(H1491:M1491-N1491)^2))</f>
        <v/>
      </c>
      <c r="P1491" s="13">
        <f>MIN(H1491:M1491)</f>
        <v/>
      </c>
      <c r="Q1491" s="13">
        <f>MAX(H1491:M1491)</f>
        <v/>
      </c>
      <c r="R1491" s="27">
        <f>IF(G1491,SUMPRODUCT(($G$76:$G$1505)*($N$76:$N$1505&gt;=N1491)*($O$76:$O$1505&lt;=O1491))=1,FALSE)</f>
        <v/>
      </c>
      <c r="S1491" s="16">
        <f>IF(R1491,ABS((O1491-$AC$76)/MAX(0.0001,$AC$77-$AC$76)-(N1491-$AC$78)/MAX(0.0001,$AC$79-$AC$78)),-1)</f>
        <v/>
      </c>
      <c r="T1491" s="14">
        <f>IF(G1491,O1491,NA())</f>
        <v/>
      </c>
      <c r="U1491" s="13">
        <f>IF(G1491,N1491,NA())</f>
        <v/>
      </c>
      <c r="V1491" s="14">
        <f>IF(R1491,O1491,NA())</f>
        <v/>
      </c>
      <c r="W1491" s="13">
        <f>IF(R1491,N1491,NA())</f>
        <v/>
      </c>
      <c r="X1491" s="27">
        <f>IF(G1491,P1491,"")</f>
        <v/>
      </c>
      <c r="Y1491" s="27">
        <f>IF(G1491,N1491,"")</f>
        <v/>
      </c>
      <c r="Z1491" s="27">
        <f>IF(R1491,O1491,"")</f>
        <v/>
      </c>
      <c r="AA1491" s="27">
        <f>IF(R1491,N1491,"")</f>
        <v/>
      </c>
    </row>
    <row r="1492">
      <c r="A1492" s="31" t="n">
        <v>0.9</v>
      </c>
      <c r="B1492" s="31" t="n">
        <v>0</v>
      </c>
      <c r="C1492" s="31" t="n">
        <v>0.1</v>
      </c>
      <c r="D1492" s="31" t="n">
        <v>0</v>
      </c>
      <c r="E1492" s="27" t="inlineStr">
        <is>
          <t>ON 90%/2M 10%</t>
        </is>
      </c>
      <c r="F1492" s="27" t="n">
        <v>25</v>
      </c>
      <c r="G1492" s="27">
        <f>A1492*$B$7&gt;=$B$9</f>
        <v/>
      </c>
      <c r="H1492" s="13">
        <f>$B$7*(A1492*E$71+B1492*F$71+C1492*G$71+D1492*H$71)+F1492/100*$B$7*J$71-$C$71</f>
        <v/>
      </c>
      <c r="I1492" s="13">
        <f>$B$7*(A1492*L$71+B1492*M$71+C1492*N$71+D1492*O$71)+F1492/100*$B$7*Q$71-$C$71</f>
        <v/>
      </c>
      <c r="J1492" s="13">
        <f>$B$7*(A1492*S$71+B1492*T$71+C1492*U$71+D1492*V$71)+F1492/100*$B$7*X$71-$C$71</f>
        <v/>
      </c>
      <c r="K1492" s="13">
        <f>$B$7*(A1492*Z$71+B1492*AA$71+C1492*AB$71+D1492*AC$71)+F1492/100*$B$7*AE$71-$C$71</f>
        <v/>
      </c>
      <c r="L1492" s="13">
        <f>$B$7*(A1492*AG$71+B1492*AH$71+C1492*AI$71+D1492*AJ$71)+F1492/100*$B$7*AL$71-$C$71</f>
        <v/>
      </c>
      <c r="M1492" s="13">
        <f>$B$7*(A1492*AN$71+B1492*AO$71+C1492*AP$71+D1492*AQ$71)+F1492/100*$B$7*AS$71-$C$71</f>
        <v/>
      </c>
      <c r="N1492" s="13">
        <f>SUMPRODUCT($H$24:$M$24,H1492:M1492)</f>
        <v/>
      </c>
      <c r="O1492" s="14">
        <f>SQRT(SUMPRODUCT($H$24:$M$24,(H1492:M1492-N1492)^2))</f>
        <v/>
      </c>
      <c r="P1492" s="13">
        <f>MIN(H1492:M1492)</f>
        <v/>
      </c>
      <c r="Q1492" s="13">
        <f>MAX(H1492:M1492)</f>
        <v/>
      </c>
      <c r="R1492" s="27">
        <f>IF(G1492,SUMPRODUCT(($G$76:$G$1505)*($N$76:$N$1505&gt;=N1492)*($O$76:$O$1505&lt;=O1492))=1,FALSE)</f>
        <v/>
      </c>
      <c r="S1492" s="16">
        <f>IF(R1492,ABS((O1492-$AC$76)/MAX(0.0001,$AC$77-$AC$76)-(N1492-$AC$78)/MAX(0.0001,$AC$79-$AC$78)),-1)</f>
        <v/>
      </c>
      <c r="T1492" s="14">
        <f>IF(G1492,O1492,NA())</f>
        <v/>
      </c>
      <c r="U1492" s="13">
        <f>IF(G1492,N1492,NA())</f>
        <v/>
      </c>
      <c r="V1492" s="14">
        <f>IF(R1492,O1492,NA())</f>
        <v/>
      </c>
      <c r="W1492" s="13">
        <f>IF(R1492,N1492,NA())</f>
        <v/>
      </c>
      <c r="X1492" s="27">
        <f>IF(G1492,P1492,"")</f>
        <v/>
      </c>
      <c r="Y1492" s="27">
        <f>IF(G1492,N1492,"")</f>
        <v/>
      </c>
      <c r="Z1492" s="27">
        <f>IF(R1492,O1492,"")</f>
        <v/>
      </c>
      <c r="AA1492" s="27">
        <f>IF(R1492,N1492,"")</f>
        <v/>
      </c>
    </row>
    <row r="1493">
      <c r="A1493" s="31" t="n">
        <v>0.9</v>
      </c>
      <c r="B1493" s="31" t="n">
        <v>0</v>
      </c>
      <c r="C1493" s="31" t="n">
        <v>0.1</v>
      </c>
      <c r="D1493" s="31" t="n">
        <v>0</v>
      </c>
      <c r="E1493" s="27" t="inlineStr">
        <is>
          <t>ON 90%/2M 10%</t>
        </is>
      </c>
      <c r="F1493" s="27" t="n">
        <v>50</v>
      </c>
      <c r="G1493" s="27">
        <f>A1493*$B$7&gt;=$B$9</f>
        <v/>
      </c>
      <c r="H1493" s="13">
        <f>$B$7*(A1493*E$71+B1493*F$71+C1493*G$71+D1493*H$71)+F1493/100*$B$7*J$71-$C$71</f>
        <v/>
      </c>
      <c r="I1493" s="13">
        <f>$B$7*(A1493*L$71+B1493*M$71+C1493*N$71+D1493*O$71)+F1493/100*$B$7*Q$71-$C$71</f>
        <v/>
      </c>
      <c r="J1493" s="13">
        <f>$B$7*(A1493*S$71+B1493*T$71+C1493*U$71+D1493*V$71)+F1493/100*$B$7*X$71-$C$71</f>
        <v/>
      </c>
      <c r="K1493" s="13">
        <f>$B$7*(A1493*Z$71+B1493*AA$71+C1493*AB$71+D1493*AC$71)+F1493/100*$B$7*AE$71-$C$71</f>
        <v/>
      </c>
      <c r="L1493" s="13">
        <f>$B$7*(A1493*AG$71+B1493*AH$71+C1493*AI$71+D1493*AJ$71)+F1493/100*$B$7*AL$71-$C$71</f>
        <v/>
      </c>
      <c r="M1493" s="13">
        <f>$B$7*(A1493*AN$71+B1493*AO$71+C1493*AP$71+D1493*AQ$71)+F1493/100*$B$7*AS$71-$C$71</f>
        <v/>
      </c>
      <c r="N1493" s="13">
        <f>SUMPRODUCT($H$24:$M$24,H1493:M1493)</f>
        <v/>
      </c>
      <c r="O1493" s="14">
        <f>SQRT(SUMPRODUCT($H$24:$M$24,(H1493:M1493-N1493)^2))</f>
        <v/>
      </c>
      <c r="P1493" s="13">
        <f>MIN(H1493:M1493)</f>
        <v/>
      </c>
      <c r="Q1493" s="13">
        <f>MAX(H1493:M1493)</f>
        <v/>
      </c>
      <c r="R1493" s="27">
        <f>IF(G1493,SUMPRODUCT(($G$76:$G$1505)*($N$76:$N$1505&gt;=N1493)*($O$76:$O$1505&lt;=O1493))=1,FALSE)</f>
        <v/>
      </c>
      <c r="S1493" s="16">
        <f>IF(R1493,ABS((O1493-$AC$76)/MAX(0.0001,$AC$77-$AC$76)-(N1493-$AC$78)/MAX(0.0001,$AC$79-$AC$78)),-1)</f>
        <v/>
      </c>
      <c r="T1493" s="14">
        <f>IF(G1493,O1493,NA())</f>
        <v/>
      </c>
      <c r="U1493" s="13">
        <f>IF(G1493,N1493,NA())</f>
        <v/>
      </c>
      <c r="V1493" s="14">
        <f>IF(R1493,O1493,NA())</f>
        <v/>
      </c>
      <c r="W1493" s="13">
        <f>IF(R1493,N1493,NA())</f>
        <v/>
      </c>
      <c r="X1493" s="27">
        <f>IF(G1493,P1493,"")</f>
        <v/>
      </c>
      <c r="Y1493" s="27">
        <f>IF(G1493,N1493,"")</f>
        <v/>
      </c>
      <c r="Z1493" s="27">
        <f>IF(R1493,O1493,"")</f>
        <v/>
      </c>
      <c r="AA1493" s="27">
        <f>IF(R1493,N1493,"")</f>
        <v/>
      </c>
    </row>
    <row r="1494">
      <c r="A1494" s="31" t="n">
        <v>0.9</v>
      </c>
      <c r="B1494" s="31" t="n">
        <v>0</v>
      </c>
      <c r="C1494" s="31" t="n">
        <v>0.1</v>
      </c>
      <c r="D1494" s="31" t="n">
        <v>0</v>
      </c>
      <c r="E1494" s="27" t="inlineStr">
        <is>
          <t>ON 90%/2M 10%</t>
        </is>
      </c>
      <c r="F1494" s="27" t="n">
        <v>75</v>
      </c>
      <c r="G1494" s="27">
        <f>A1494*$B$7&gt;=$B$9</f>
        <v/>
      </c>
      <c r="H1494" s="13">
        <f>$B$7*(A1494*E$71+B1494*F$71+C1494*G$71+D1494*H$71)+F1494/100*$B$7*J$71-$C$71</f>
        <v/>
      </c>
      <c r="I1494" s="13">
        <f>$B$7*(A1494*L$71+B1494*M$71+C1494*N$71+D1494*O$71)+F1494/100*$B$7*Q$71-$C$71</f>
        <v/>
      </c>
      <c r="J1494" s="13">
        <f>$B$7*(A1494*S$71+B1494*T$71+C1494*U$71+D1494*V$71)+F1494/100*$B$7*X$71-$C$71</f>
        <v/>
      </c>
      <c r="K1494" s="13">
        <f>$B$7*(A1494*Z$71+B1494*AA$71+C1494*AB$71+D1494*AC$71)+F1494/100*$B$7*AE$71-$C$71</f>
        <v/>
      </c>
      <c r="L1494" s="13">
        <f>$B$7*(A1494*AG$71+B1494*AH$71+C1494*AI$71+D1494*AJ$71)+F1494/100*$B$7*AL$71-$C$71</f>
        <v/>
      </c>
      <c r="M1494" s="13">
        <f>$B$7*(A1494*AN$71+B1494*AO$71+C1494*AP$71+D1494*AQ$71)+F1494/100*$B$7*AS$71-$C$71</f>
        <v/>
      </c>
      <c r="N1494" s="13">
        <f>SUMPRODUCT($H$24:$M$24,H1494:M1494)</f>
        <v/>
      </c>
      <c r="O1494" s="14">
        <f>SQRT(SUMPRODUCT($H$24:$M$24,(H1494:M1494-N1494)^2))</f>
        <v/>
      </c>
      <c r="P1494" s="13">
        <f>MIN(H1494:M1494)</f>
        <v/>
      </c>
      <c r="Q1494" s="13">
        <f>MAX(H1494:M1494)</f>
        <v/>
      </c>
      <c r="R1494" s="27">
        <f>IF(G1494,SUMPRODUCT(($G$76:$G$1505)*($N$76:$N$1505&gt;=N1494)*($O$76:$O$1505&lt;=O1494))=1,FALSE)</f>
        <v/>
      </c>
      <c r="S1494" s="16">
        <f>IF(R1494,ABS((O1494-$AC$76)/MAX(0.0001,$AC$77-$AC$76)-(N1494-$AC$78)/MAX(0.0001,$AC$79-$AC$78)),-1)</f>
        <v/>
      </c>
      <c r="T1494" s="14">
        <f>IF(G1494,O1494,NA())</f>
        <v/>
      </c>
      <c r="U1494" s="13">
        <f>IF(G1494,N1494,NA())</f>
        <v/>
      </c>
      <c r="V1494" s="14">
        <f>IF(R1494,O1494,NA())</f>
        <v/>
      </c>
      <c r="W1494" s="13">
        <f>IF(R1494,N1494,NA())</f>
        <v/>
      </c>
      <c r="X1494" s="27">
        <f>IF(G1494,P1494,"")</f>
        <v/>
      </c>
      <c r="Y1494" s="27">
        <f>IF(G1494,N1494,"")</f>
        <v/>
      </c>
      <c r="Z1494" s="27">
        <f>IF(R1494,O1494,"")</f>
        <v/>
      </c>
      <c r="AA1494" s="27">
        <f>IF(R1494,N1494,"")</f>
        <v/>
      </c>
    </row>
    <row r="1495">
      <c r="A1495" s="31" t="n">
        <v>0.9</v>
      </c>
      <c r="B1495" s="31" t="n">
        <v>0</v>
      </c>
      <c r="C1495" s="31" t="n">
        <v>0.1</v>
      </c>
      <c r="D1495" s="31" t="n">
        <v>0</v>
      </c>
      <c r="E1495" s="27" t="inlineStr">
        <is>
          <t>ON 90%/2M 10%</t>
        </is>
      </c>
      <c r="F1495" s="27" t="n">
        <v>100</v>
      </c>
      <c r="G1495" s="27">
        <f>A1495*$B$7&gt;=$B$9</f>
        <v/>
      </c>
      <c r="H1495" s="13">
        <f>$B$7*(A1495*E$71+B1495*F$71+C1495*G$71+D1495*H$71)+F1495/100*$B$7*J$71-$C$71</f>
        <v/>
      </c>
      <c r="I1495" s="13">
        <f>$B$7*(A1495*L$71+B1495*M$71+C1495*N$71+D1495*O$71)+F1495/100*$B$7*Q$71-$C$71</f>
        <v/>
      </c>
      <c r="J1495" s="13">
        <f>$B$7*(A1495*S$71+B1495*T$71+C1495*U$71+D1495*V$71)+F1495/100*$B$7*X$71-$C$71</f>
        <v/>
      </c>
      <c r="K1495" s="13">
        <f>$B$7*(A1495*Z$71+B1495*AA$71+C1495*AB$71+D1495*AC$71)+F1495/100*$B$7*AE$71-$C$71</f>
        <v/>
      </c>
      <c r="L1495" s="13">
        <f>$B$7*(A1495*AG$71+B1495*AH$71+C1495*AI$71+D1495*AJ$71)+F1495/100*$B$7*AL$71-$C$71</f>
        <v/>
      </c>
      <c r="M1495" s="13">
        <f>$B$7*(A1495*AN$71+B1495*AO$71+C1495*AP$71+D1495*AQ$71)+F1495/100*$B$7*AS$71-$C$71</f>
        <v/>
      </c>
      <c r="N1495" s="13">
        <f>SUMPRODUCT($H$24:$M$24,H1495:M1495)</f>
        <v/>
      </c>
      <c r="O1495" s="14">
        <f>SQRT(SUMPRODUCT($H$24:$M$24,(H1495:M1495-N1495)^2))</f>
        <v/>
      </c>
      <c r="P1495" s="13">
        <f>MIN(H1495:M1495)</f>
        <v/>
      </c>
      <c r="Q1495" s="13">
        <f>MAX(H1495:M1495)</f>
        <v/>
      </c>
      <c r="R1495" s="27">
        <f>IF(G1495,SUMPRODUCT(($G$76:$G$1505)*($N$76:$N$1505&gt;=N1495)*($O$76:$O$1505&lt;=O1495))=1,FALSE)</f>
        <v/>
      </c>
      <c r="S1495" s="16">
        <f>IF(R1495,ABS((O1495-$AC$76)/MAX(0.0001,$AC$77-$AC$76)-(N1495-$AC$78)/MAX(0.0001,$AC$79-$AC$78)),-1)</f>
        <v/>
      </c>
      <c r="T1495" s="14">
        <f>IF(G1495,O1495,NA())</f>
        <v/>
      </c>
      <c r="U1495" s="13">
        <f>IF(G1495,N1495,NA())</f>
        <v/>
      </c>
      <c r="V1495" s="14">
        <f>IF(R1495,O1495,NA())</f>
        <v/>
      </c>
      <c r="W1495" s="13">
        <f>IF(R1495,N1495,NA())</f>
        <v/>
      </c>
      <c r="X1495" s="27">
        <f>IF(G1495,P1495,"")</f>
        <v/>
      </c>
      <c r="Y1495" s="27">
        <f>IF(G1495,N1495,"")</f>
        <v/>
      </c>
      <c r="Z1495" s="27">
        <f>IF(R1495,O1495,"")</f>
        <v/>
      </c>
      <c r="AA1495" s="27">
        <f>IF(R1495,N1495,"")</f>
        <v/>
      </c>
    </row>
    <row r="1496">
      <c r="A1496" s="31" t="n">
        <v>0.9</v>
      </c>
      <c r="B1496" s="31" t="n">
        <v>0.1</v>
      </c>
      <c r="C1496" s="31" t="n">
        <v>0</v>
      </c>
      <c r="D1496" s="31" t="n">
        <v>0</v>
      </c>
      <c r="E1496" s="27" t="inlineStr">
        <is>
          <t>ON 90%/1M 10%</t>
        </is>
      </c>
      <c r="F1496" s="27" t="n">
        <v>0</v>
      </c>
      <c r="G1496" s="27">
        <f>A1496*$B$7&gt;=$B$9</f>
        <v/>
      </c>
      <c r="H1496" s="13">
        <f>$B$7*(A1496*E$71+B1496*F$71+C1496*G$71+D1496*H$71)+F1496/100*$B$7*J$71-$C$71</f>
        <v/>
      </c>
      <c r="I1496" s="13">
        <f>$B$7*(A1496*L$71+B1496*M$71+C1496*N$71+D1496*O$71)+F1496/100*$B$7*Q$71-$C$71</f>
        <v/>
      </c>
      <c r="J1496" s="13">
        <f>$B$7*(A1496*S$71+B1496*T$71+C1496*U$71+D1496*V$71)+F1496/100*$B$7*X$71-$C$71</f>
        <v/>
      </c>
      <c r="K1496" s="13">
        <f>$B$7*(A1496*Z$71+B1496*AA$71+C1496*AB$71+D1496*AC$71)+F1496/100*$B$7*AE$71-$C$71</f>
        <v/>
      </c>
      <c r="L1496" s="13">
        <f>$B$7*(A1496*AG$71+B1496*AH$71+C1496*AI$71+D1496*AJ$71)+F1496/100*$B$7*AL$71-$C$71</f>
        <v/>
      </c>
      <c r="M1496" s="13">
        <f>$B$7*(A1496*AN$71+B1496*AO$71+C1496*AP$71+D1496*AQ$71)+F1496/100*$B$7*AS$71-$C$71</f>
        <v/>
      </c>
      <c r="N1496" s="13">
        <f>SUMPRODUCT($H$24:$M$24,H1496:M1496)</f>
        <v/>
      </c>
      <c r="O1496" s="14">
        <f>SQRT(SUMPRODUCT($H$24:$M$24,(H1496:M1496-N1496)^2))</f>
        <v/>
      </c>
      <c r="P1496" s="13">
        <f>MIN(H1496:M1496)</f>
        <v/>
      </c>
      <c r="Q1496" s="13">
        <f>MAX(H1496:M1496)</f>
        <v/>
      </c>
      <c r="R1496" s="27">
        <f>IF(G1496,SUMPRODUCT(($G$76:$G$1505)*($N$76:$N$1505&gt;=N1496)*($O$76:$O$1505&lt;=O1496))=1,FALSE)</f>
        <v/>
      </c>
      <c r="S1496" s="16">
        <f>IF(R1496,ABS((O1496-$AC$76)/MAX(0.0001,$AC$77-$AC$76)-(N1496-$AC$78)/MAX(0.0001,$AC$79-$AC$78)),-1)</f>
        <v/>
      </c>
      <c r="T1496" s="14">
        <f>IF(G1496,O1496,NA())</f>
        <v/>
      </c>
      <c r="U1496" s="13">
        <f>IF(G1496,N1496,NA())</f>
        <v/>
      </c>
      <c r="V1496" s="14">
        <f>IF(R1496,O1496,NA())</f>
        <v/>
      </c>
      <c r="W1496" s="13">
        <f>IF(R1496,N1496,NA())</f>
        <v/>
      </c>
      <c r="X1496" s="27">
        <f>IF(G1496,P1496,"")</f>
        <v/>
      </c>
      <c r="Y1496" s="27">
        <f>IF(G1496,N1496,"")</f>
        <v/>
      </c>
      <c r="Z1496" s="27">
        <f>IF(R1496,O1496,"")</f>
        <v/>
      </c>
      <c r="AA1496" s="27">
        <f>IF(R1496,N1496,"")</f>
        <v/>
      </c>
    </row>
    <row r="1497">
      <c r="A1497" s="31" t="n">
        <v>0.9</v>
      </c>
      <c r="B1497" s="31" t="n">
        <v>0.1</v>
      </c>
      <c r="C1497" s="31" t="n">
        <v>0</v>
      </c>
      <c r="D1497" s="31" t="n">
        <v>0</v>
      </c>
      <c r="E1497" s="27" t="inlineStr">
        <is>
          <t>ON 90%/1M 10%</t>
        </is>
      </c>
      <c r="F1497" s="27" t="n">
        <v>25</v>
      </c>
      <c r="G1497" s="27">
        <f>A1497*$B$7&gt;=$B$9</f>
        <v/>
      </c>
      <c r="H1497" s="13">
        <f>$B$7*(A1497*E$71+B1497*F$71+C1497*G$71+D1497*H$71)+F1497/100*$B$7*J$71-$C$71</f>
        <v/>
      </c>
      <c r="I1497" s="13">
        <f>$B$7*(A1497*L$71+B1497*M$71+C1497*N$71+D1497*O$71)+F1497/100*$B$7*Q$71-$C$71</f>
        <v/>
      </c>
      <c r="J1497" s="13">
        <f>$B$7*(A1497*S$71+B1497*T$71+C1497*U$71+D1497*V$71)+F1497/100*$B$7*X$71-$C$71</f>
        <v/>
      </c>
      <c r="K1497" s="13">
        <f>$B$7*(A1497*Z$71+B1497*AA$71+C1497*AB$71+D1497*AC$71)+F1497/100*$B$7*AE$71-$C$71</f>
        <v/>
      </c>
      <c r="L1497" s="13">
        <f>$B$7*(A1497*AG$71+B1497*AH$71+C1497*AI$71+D1497*AJ$71)+F1497/100*$B$7*AL$71-$C$71</f>
        <v/>
      </c>
      <c r="M1497" s="13">
        <f>$B$7*(A1497*AN$71+B1497*AO$71+C1497*AP$71+D1497*AQ$71)+F1497/100*$B$7*AS$71-$C$71</f>
        <v/>
      </c>
      <c r="N1497" s="13">
        <f>SUMPRODUCT($H$24:$M$24,H1497:M1497)</f>
        <v/>
      </c>
      <c r="O1497" s="14">
        <f>SQRT(SUMPRODUCT($H$24:$M$24,(H1497:M1497-N1497)^2))</f>
        <v/>
      </c>
      <c r="P1497" s="13">
        <f>MIN(H1497:M1497)</f>
        <v/>
      </c>
      <c r="Q1497" s="13">
        <f>MAX(H1497:M1497)</f>
        <v/>
      </c>
      <c r="R1497" s="27">
        <f>IF(G1497,SUMPRODUCT(($G$76:$G$1505)*($N$76:$N$1505&gt;=N1497)*($O$76:$O$1505&lt;=O1497))=1,FALSE)</f>
        <v/>
      </c>
      <c r="S1497" s="16">
        <f>IF(R1497,ABS((O1497-$AC$76)/MAX(0.0001,$AC$77-$AC$76)-(N1497-$AC$78)/MAX(0.0001,$AC$79-$AC$78)),-1)</f>
        <v/>
      </c>
      <c r="T1497" s="14">
        <f>IF(G1497,O1497,NA())</f>
        <v/>
      </c>
      <c r="U1497" s="13">
        <f>IF(G1497,N1497,NA())</f>
        <v/>
      </c>
      <c r="V1497" s="14">
        <f>IF(R1497,O1497,NA())</f>
        <v/>
      </c>
      <c r="W1497" s="13">
        <f>IF(R1497,N1497,NA())</f>
        <v/>
      </c>
      <c r="X1497" s="27">
        <f>IF(G1497,P1497,"")</f>
        <v/>
      </c>
      <c r="Y1497" s="27">
        <f>IF(G1497,N1497,"")</f>
        <v/>
      </c>
      <c r="Z1497" s="27">
        <f>IF(R1497,O1497,"")</f>
        <v/>
      </c>
      <c r="AA1497" s="27">
        <f>IF(R1497,N1497,"")</f>
        <v/>
      </c>
    </row>
    <row r="1498">
      <c r="A1498" s="31" t="n">
        <v>0.9</v>
      </c>
      <c r="B1498" s="31" t="n">
        <v>0.1</v>
      </c>
      <c r="C1498" s="31" t="n">
        <v>0</v>
      </c>
      <c r="D1498" s="31" t="n">
        <v>0</v>
      </c>
      <c r="E1498" s="27" t="inlineStr">
        <is>
          <t>ON 90%/1M 10%</t>
        </is>
      </c>
      <c r="F1498" s="27" t="n">
        <v>50</v>
      </c>
      <c r="G1498" s="27">
        <f>A1498*$B$7&gt;=$B$9</f>
        <v/>
      </c>
      <c r="H1498" s="13">
        <f>$B$7*(A1498*E$71+B1498*F$71+C1498*G$71+D1498*H$71)+F1498/100*$B$7*J$71-$C$71</f>
        <v/>
      </c>
      <c r="I1498" s="13">
        <f>$B$7*(A1498*L$71+B1498*M$71+C1498*N$71+D1498*O$71)+F1498/100*$B$7*Q$71-$C$71</f>
        <v/>
      </c>
      <c r="J1498" s="13">
        <f>$B$7*(A1498*S$71+B1498*T$71+C1498*U$71+D1498*V$71)+F1498/100*$B$7*X$71-$C$71</f>
        <v/>
      </c>
      <c r="K1498" s="13">
        <f>$B$7*(A1498*Z$71+B1498*AA$71+C1498*AB$71+D1498*AC$71)+F1498/100*$B$7*AE$71-$C$71</f>
        <v/>
      </c>
      <c r="L1498" s="13">
        <f>$B$7*(A1498*AG$71+B1498*AH$71+C1498*AI$71+D1498*AJ$71)+F1498/100*$B$7*AL$71-$C$71</f>
        <v/>
      </c>
      <c r="M1498" s="13">
        <f>$B$7*(A1498*AN$71+B1498*AO$71+C1498*AP$71+D1498*AQ$71)+F1498/100*$B$7*AS$71-$C$71</f>
        <v/>
      </c>
      <c r="N1498" s="13">
        <f>SUMPRODUCT($H$24:$M$24,H1498:M1498)</f>
        <v/>
      </c>
      <c r="O1498" s="14">
        <f>SQRT(SUMPRODUCT($H$24:$M$24,(H1498:M1498-N1498)^2))</f>
        <v/>
      </c>
      <c r="P1498" s="13">
        <f>MIN(H1498:M1498)</f>
        <v/>
      </c>
      <c r="Q1498" s="13">
        <f>MAX(H1498:M1498)</f>
        <v/>
      </c>
      <c r="R1498" s="27">
        <f>IF(G1498,SUMPRODUCT(($G$76:$G$1505)*($N$76:$N$1505&gt;=N1498)*($O$76:$O$1505&lt;=O1498))=1,FALSE)</f>
        <v/>
      </c>
      <c r="S1498" s="16">
        <f>IF(R1498,ABS((O1498-$AC$76)/MAX(0.0001,$AC$77-$AC$76)-(N1498-$AC$78)/MAX(0.0001,$AC$79-$AC$78)),-1)</f>
        <v/>
      </c>
      <c r="T1498" s="14">
        <f>IF(G1498,O1498,NA())</f>
        <v/>
      </c>
      <c r="U1498" s="13">
        <f>IF(G1498,N1498,NA())</f>
        <v/>
      </c>
      <c r="V1498" s="14">
        <f>IF(R1498,O1498,NA())</f>
        <v/>
      </c>
      <c r="W1498" s="13">
        <f>IF(R1498,N1498,NA())</f>
        <v/>
      </c>
      <c r="X1498" s="27">
        <f>IF(G1498,P1498,"")</f>
        <v/>
      </c>
      <c r="Y1498" s="27">
        <f>IF(G1498,N1498,"")</f>
        <v/>
      </c>
      <c r="Z1498" s="27">
        <f>IF(R1498,O1498,"")</f>
        <v/>
      </c>
      <c r="AA1498" s="27">
        <f>IF(R1498,N1498,"")</f>
        <v/>
      </c>
    </row>
    <row r="1499">
      <c r="A1499" s="31" t="n">
        <v>0.9</v>
      </c>
      <c r="B1499" s="31" t="n">
        <v>0.1</v>
      </c>
      <c r="C1499" s="31" t="n">
        <v>0</v>
      </c>
      <c r="D1499" s="31" t="n">
        <v>0</v>
      </c>
      <c r="E1499" s="27" t="inlineStr">
        <is>
          <t>ON 90%/1M 10%</t>
        </is>
      </c>
      <c r="F1499" s="27" t="n">
        <v>75</v>
      </c>
      <c r="G1499" s="27">
        <f>A1499*$B$7&gt;=$B$9</f>
        <v/>
      </c>
      <c r="H1499" s="13">
        <f>$B$7*(A1499*E$71+B1499*F$71+C1499*G$71+D1499*H$71)+F1499/100*$B$7*J$71-$C$71</f>
        <v/>
      </c>
      <c r="I1499" s="13">
        <f>$B$7*(A1499*L$71+B1499*M$71+C1499*N$71+D1499*O$71)+F1499/100*$B$7*Q$71-$C$71</f>
        <v/>
      </c>
      <c r="J1499" s="13">
        <f>$B$7*(A1499*S$71+B1499*T$71+C1499*U$71+D1499*V$71)+F1499/100*$B$7*X$71-$C$71</f>
        <v/>
      </c>
      <c r="K1499" s="13">
        <f>$B$7*(A1499*Z$71+B1499*AA$71+C1499*AB$71+D1499*AC$71)+F1499/100*$B$7*AE$71-$C$71</f>
        <v/>
      </c>
      <c r="L1499" s="13">
        <f>$B$7*(A1499*AG$71+B1499*AH$71+C1499*AI$71+D1499*AJ$71)+F1499/100*$B$7*AL$71-$C$71</f>
        <v/>
      </c>
      <c r="M1499" s="13">
        <f>$B$7*(A1499*AN$71+B1499*AO$71+C1499*AP$71+D1499*AQ$71)+F1499/100*$B$7*AS$71-$C$71</f>
        <v/>
      </c>
      <c r="N1499" s="13">
        <f>SUMPRODUCT($H$24:$M$24,H1499:M1499)</f>
        <v/>
      </c>
      <c r="O1499" s="14">
        <f>SQRT(SUMPRODUCT($H$24:$M$24,(H1499:M1499-N1499)^2))</f>
        <v/>
      </c>
      <c r="P1499" s="13">
        <f>MIN(H1499:M1499)</f>
        <v/>
      </c>
      <c r="Q1499" s="13">
        <f>MAX(H1499:M1499)</f>
        <v/>
      </c>
      <c r="R1499" s="27">
        <f>IF(G1499,SUMPRODUCT(($G$76:$G$1505)*($N$76:$N$1505&gt;=N1499)*($O$76:$O$1505&lt;=O1499))=1,FALSE)</f>
        <v/>
      </c>
      <c r="S1499" s="16">
        <f>IF(R1499,ABS((O1499-$AC$76)/MAX(0.0001,$AC$77-$AC$76)-(N1499-$AC$78)/MAX(0.0001,$AC$79-$AC$78)),-1)</f>
        <v/>
      </c>
      <c r="T1499" s="14">
        <f>IF(G1499,O1499,NA())</f>
        <v/>
      </c>
      <c r="U1499" s="13">
        <f>IF(G1499,N1499,NA())</f>
        <v/>
      </c>
      <c r="V1499" s="14">
        <f>IF(R1499,O1499,NA())</f>
        <v/>
      </c>
      <c r="W1499" s="13">
        <f>IF(R1499,N1499,NA())</f>
        <v/>
      </c>
      <c r="X1499" s="27">
        <f>IF(G1499,P1499,"")</f>
        <v/>
      </c>
      <c r="Y1499" s="27">
        <f>IF(G1499,N1499,"")</f>
        <v/>
      </c>
      <c r="Z1499" s="27">
        <f>IF(R1499,O1499,"")</f>
        <v/>
      </c>
      <c r="AA1499" s="27">
        <f>IF(R1499,N1499,"")</f>
        <v/>
      </c>
    </row>
    <row r="1500">
      <c r="A1500" s="31" t="n">
        <v>0.9</v>
      </c>
      <c r="B1500" s="31" t="n">
        <v>0.1</v>
      </c>
      <c r="C1500" s="31" t="n">
        <v>0</v>
      </c>
      <c r="D1500" s="31" t="n">
        <v>0</v>
      </c>
      <c r="E1500" s="27" t="inlineStr">
        <is>
          <t>ON 90%/1M 10%</t>
        </is>
      </c>
      <c r="F1500" s="27" t="n">
        <v>100</v>
      </c>
      <c r="G1500" s="27">
        <f>A1500*$B$7&gt;=$B$9</f>
        <v/>
      </c>
      <c r="H1500" s="13">
        <f>$B$7*(A1500*E$71+B1500*F$71+C1500*G$71+D1500*H$71)+F1500/100*$B$7*J$71-$C$71</f>
        <v/>
      </c>
      <c r="I1500" s="13">
        <f>$B$7*(A1500*L$71+B1500*M$71+C1500*N$71+D1500*O$71)+F1500/100*$B$7*Q$71-$C$71</f>
        <v/>
      </c>
      <c r="J1500" s="13">
        <f>$B$7*(A1500*S$71+B1500*T$71+C1500*U$71+D1500*V$71)+F1500/100*$B$7*X$71-$C$71</f>
        <v/>
      </c>
      <c r="K1500" s="13">
        <f>$B$7*(A1500*Z$71+B1500*AA$71+C1500*AB$71+D1500*AC$71)+F1500/100*$B$7*AE$71-$C$71</f>
        <v/>
      </c>
      <c r="L1500" s="13">
        <f>$B$7*(A1500*AG$71+B1500*AH$71+C1500*AI$71+D1500*AJ$71)+F1500/100*$B$7*AL$71-$C$71</f>
        <v/>
      </c>
      <c r="M1500" s="13">
        <f>$B$7*(A1500*AN$71+B1500*AO$71+C1500*AP$71+D1500*AQ$71)+F1500/100*$B$7*AS$71-$C$71</f>
        <v/>
      </c>
      <c r="N1500" s="13">
        <f>SUMPRODUCT($H$24:$M$24,H1500:M1500)</f>
        <v/>
      </c>
      <c r="O1500" s="14">
        <f>SQRT(SUMPRODUCT($H$24:$M$24,(H1500:M1500-N1500)^2))</f>
        <v/>
      </c>
      <c r="P1500" s="13">
        <f>MIN(H1500:M1500)</f>
        <v/>
      </c>
      <c r="Q1500" s="13">
        <f>MAX(H1500:M1500)</f>
        <v/>
      </c>
      <c r="R1500" s="27">
        <f>IF(G1500,SUMPRODUCT(($G$76:$G$1505)*($N$76:$N$1505&gt;=N1500)*($O$76:$O$1505&lt;=O1500))=1,FALSE)</f>
        <v/>
      </c>
      <c r="S1500" s="16">
        <f>IF(R1500,ABS((O1500-$AC$76)/MAX(0.0001,$AC$77-$AC$76)-(N1500-$AC$78)/MAX(0.0001,$AC$79-$AC$78)),-1)</f>
        <v/>
      </c>
      <c r="T1500" s="14">
        <f>IF(G1500,O1500,NA())</f>
        <v/>
      </c>
      <c r="U1500" s="13">
        <f>IF(G1500,N1500,NA())</f>
        <v/>
      </c>
      <c r="V1500" s="14">
        <f>IF(R1500,O1500,NA())</f>
        <v/>
      </c>
      <c r="W1500" s="13">
        <f>IF(R1500,N1500,NA())</f>
        <v/>
      </c>
      <c r="X1500" s="27">
        <f>IF(G1500,P1500,"")</f>
        <v/>
      </c>
      <c r="Y1500" s="27">
        <f>IF(G1500,N1500,"")</f>
        <v/>
      </c>
      <c r="Z1500" s="27">
        <f>IF(R1500,O1500,"")</f>
        <v/>
      </c>
      <c r="AA1500" s="27">
        <f>IF(R1500,N1500,"")</f>
        <v/>
      </c>
    </row>
    <row r="1501">
      <c r="A1501" s="31" t="n">
        <v>1</v>
      </c>
      <c r="B1501" s="31" t="n">
        <v>0</v>
      </c>
      <c r="C1501" s="31" t="n">
        <v>0</v>
      </c>
      <c r="D1501" s="31" t="n">
        <v>0</v>
      </c>
      <c r="E1501" s="27" t="inlineStr">
        <is>
          <t>ON 100%</t>
        </is>
      </c>
      <c r="F1501" s="27" t="n">
        <v>0</v>
      </c>
      <c r="G1501" s="27">
        <f>A1501*$B$7&gt;=$B$9</f>
        <v/>
      </c>
      <c r="H1501" s="13">
        <f>$B$7*(A1501*E$71+B1501*F$71+C1501*G$71+D1501*H$71)+F1501/100*$B$7*J$71-$C$71</f>
        <v/>
      </c>
      <c r="I1501" s="13">
        <f>$B$7*(A1501*L$71+B1501*M$71+C1501*N$71+D1501*O$71)+F1501/100*$B$7*Q$71-$C$71</f>
        <v/>
      </c>
      <c r="J1501" s="13">
        <f>$B$7*(A1501*S$71+B1501*T$71+C1501*U$71+D1501*V$71)+F1501/100*$B$7*X$71-$C$71</f>
        <v/>
      </c>
      <c r="K1501" s="13">
        <f>$B$7*(A1501*Z$71+B1501*AA$71+C1501*AB$71+D1501*AC$71)+F1501/100*$B$7*AE$71-$C$71</f>
        <v/>
      </c>
      <c r="L1501" s="13">
        <f>$B$7*(A1501*AG$71+B1501*AH$71+C1501*AI$71+D1501*AJ$71)+F1501/100*$B$7*AL$71-$C$71</f>
        <v/>
      </c>
      <c r="M1501" s="13">
        <f>$B$7*(A1501*AN$71+B1501*AO$71+C1501*AP$71+D1501*AQ$71)+F1501/100*$B$7*AS$71-$C$71</f>
        <v/>
      </c>
      <c r="N1501" s="13">
        <f>SUMPRODUCT($H$24:$M$24,H1501:M1501)</f>
        <v/>
      </c>
      <c r="O1501" s="14">
        <f>SQRT(SUMPRODUCT($H$24:$M$24,(H1501:M1501-N1501)^2))</f>
        <v/>
      </c>
      <c r="P1501" s="13">
        <f>MIN(H1501:M1501)</f>
        <v/>
      </c>
      <c r="Q1501" s="13">
        <f>MAX(H1501:M1501)</f>
        <v/>
      </c>
      <c r="R1501" s="27">
        <f>IF(G1501,SUMPRODUCT(($G$76:$G$1505)*($N$76:$N$1505&gt;=N1501)*($O$76:$O$1505&lt;=O1501))=1,FALSE)</f>
        <v/>
      </c>
      <c r="S1501" s="16">
        <f>IF(R1501,ABS((O1501-$AC$76)/MAX(0.0001,$AC$77-$AC$76)-(N1501-$AC$78)/MAX(0.0001,$AC$79-$AC$78)),-1)</f>
        <v/>
      </c>
      <c r="T1501" s="14">
        <f>IF(G1501,O1501,NA())</f>
        <v/>
      </c>
      <c r="U1501" s="13">
        <f>IF(G1501,N1501,NA())</f>
        <v/>
      </c>
      <c r="V1501" s="14">
        <f>IF(R1501,O1501,NA())</f>
        <v/>
      </c>
      <c r="W1501" s="13">
        <f>IF(R1501,N1501,NA())</f>
        <v/>
      </c>
      <c r="X1501" s="27">
        <f>IF(G1501,P1501,"")</f>
        <v/>
      </c>
      <c r="Y1501" s="27">
        <f>IF(G1501,N1501,"")</f>
        <v/>
      </c>
      <c r="Z1501" s="27">
        <f>IF(R1501,O1501,"")</f>
        <v/>
      </c>
      <c r="AA1501" s="27">
        <f>IF(R1501,N1501,"")</f>
        <v/>
      </c>
    </row>
    <row r="1502">
      <c r="A1502" s="31" t="n">
        <v>1</v>
      </c>
      <c r="B1502" s="31" t="n">
        <v>0</v>
      </c>
      <c r="C1502" s="31" t="n">
        <v>0</v>
      </c>
      <c r="D1502" s="31" t="n">
        <v>0</v>
      </c>
      <c r="E1502" s="27" t="inlineStr">
        <is>
          <t>ON 100%</t>
        </is>
      </c>
      <c r="F1502" s="27" t="n">
        <v>25</v>
      </c>
      <c r="G1502" s="27">
        <f>A1502*$B$7&gt;=$B$9</f>
        <v/>
      </c>
      <c r="H1502" s="13">
        <f>$B$7*(A1502*E$71+B1502*F$71+C1502*G$71+D1502*H$71)+F1502/100*$B$7*J$71-$C$71</f>
        <v/>
      </c>
      <c r="I1502" s="13">
        <f>$B$7*(A1502*L$71+B1502*M$71+C1502*N$71+D1502*O$71)+F1502/100*$B$7*Q$71-$C$71</f>
        <v/>
      </c>
      <c r="J1502" s="13">
        <f>$B$7*(A1502*S$71+B1502*T$71+C1502*U$71+D1502*V$71)+F1502/100*$B$7*X$71-$C$71</f>
        <v/>
      </c>
      <c r="K1502" s="13">
        <f>$B$7*(A1502*Z$71+B1502*AA$71+C1502*AB$71+D1502*AC$71)+F1502/100*$B$7*AE$71-$C$71</f>
        <v/>
      </c>
      <c r="L1502" s="13">
        <f>$B$7*(A1502*AG$71+B1502*AH$71+C1502*AI$71+D1502*AJ$71)+F1502/100*$B$7*AL$71-$C$71</f>
        <v/>
      </c>
      <c r="M1502" s="13">
        <f>$B$7*(A1502*AN$71+B1502*AO$71+C1502*AP$71+D1502*AQ$71)+F1502/100*$B$7*AS$71-$C$71</f>
        <v/>
      </c>
      <c r="N1502" s="13">
        <f>SUMPRODUCT($H$24:$M$24,H1502:M1502)</f>
        <v/>
      </c>
      <c r="O1502" s="14">
        <f>SQRT(SUMPRODUCT($H$24:$M$24,(H1502:M1502-N1502)^2))</f>
        <v/>
      </c>
      <c r="P1502" s="13">
        <f>MIN(H1502:M1502)</f>
        <v/>
      </c>
      <c r="Q1502" s="13">
        <f>MAX(H1502:M1502)</f>
        <v/>
      </c>
      <c r="R1502" s="27">
        <f>IF(G1502,SUMPRODUCT(($G$76:$G$1505)*($N$76:$N$1505&gt;=N1502)*($O$76:$O$1505&lt;=O1502))=1,FALSE)</f>
        <v/>
      </c>
      <c r="S1502" s="16">
        <f>IF(R1502,ABS((O1502-$AC$76)/MAX(0.0001,$AC$77-$AC$76)-(N1502-$AC$78)/MAX(0.0001,$AC$79-$AC$78)),-1)</f>
        <v/>
      </c>
      <c r="T1502" s="14">
        <f>IF(G1502,O1502,NA())</f>
        <v/>
      </c>
      <c r="U1502" s="13">
        <f>IF(G1502,N1502,NA())</f>
        <v/>
      </c>
      <c r="V1502" s="14">
        <f>IF(R1502,O1502,NA())</f>
        <v/>
      </c>
      <c r="W1502" s="13">
        <f>IF(R1502,N1502,NA())</f>
        <v/>
      </c>
      <c r="X1502" s="27">
        <f>IF(G1502,P1502,"")</f>
        <v/>
      </c>
      <c r="Y1502" s="27">
        <f>IF(G1502,N1502,"")</f>
        <v/>
      </c>
      <c r="Z1502" s="27">
        <f>IF(R1502,O1502,"")</f>
        <v/>
      </c>
      <c r="AA1502" s="27">
        <f>IF(R1502,N1502,"")</f>
        <v/>
      </c>
    </row>
    <row r="1503">
      <c r="A1503" s="31" t="n">
        <v>1</v>
      </c>
      <c r="B1503" s="31" t="n">
        <v>0</v>
      </c>
      <c r="C1503" s="31" t="n">
        <v>0</v>
      </c>
      <c r="D1503" s="31" t="n">
        <v>0</v>
      </c>
      <c r="E1503" s="27" t="inlineStr">
        <is>
          <t>ON 100%</t>
        </is>
      </c>
      <c r="F1503" s="27" t="n">
        <v>50</v>
      </c>
      <c r="G1503" s="27">
        <f>A1503*$B$7&gt;=$B$9</f>
        <v/>
      </c>
      <c r="H1503" s="13">
        <f>$B$7*(A1503*E$71+B1503*F$71+C1503*G$71+D1503*H$71)+F1503/100*$B$7*J$71-$C$71</f>
        <v/>
      </c>
      <c r="I1503" s="13">
        <f>$B$7*(A1503*L$71+B1503*M$71+C1503*N$71+D1503*O$71)+F1503/100*$B$7*Q$71-$C$71</f>
        <v/>
      </c>
      <c r="J1503" s="13">
        <f>$B$7*(A1503*S$71+B1503*T$71+C1503*U$71+D1503*V$71)+F1503/100*$B$7*X$71-$C$71</f>
        <v/>
      </c>
      <c r="K1503" s="13">
        <f>$B$7*(A1503*Z$71+B1503*AA$71+C1503*AB$71+D1503*AC$71)+F1503/100*$B$7*AE$71-$C$71</f>
        <v/>
      </c>
      <c r="L1503" s="13">
        <f>$B$7*(A1503*AG$71+B1503*AH$71+C1503*AI$71+D1503*AJ$71)+F1503/100*$B$7*AL$71-$C$71</f>
        <v/>
      </c>
      <c r="M1503" s="13">
        <f>$B$7*(A1503*AN$71+B1503*AO$71+C1503*AP$71+D1503*AQ$71)+F1503/100*$B$7*AS$71-$C$71</f>
        <v/>
      </c>
      <c r="N1503" s="13">
        <f>SUMPRODUCT($H$24:$M$24,H1503:M1503)</f>
        <v/>
      </c>
      <c r="O1503" s="14">
        <f>SQRT(SUMPRODUCT($H$24:$M$24,(H1503:M1503-N1503)^2))</f>
        <v/>
      </c>
      <c r="P1503" s="13">
        <f>MIN(H1503:M1503)</f>
        <v/>
      </c>
      <c r="Q1503" s="13">
        <f>MAX(H1503:M1503)</f>
        <v/>
      </c>
      <c r="R1503" s="27">
        <f>IF(G1503,SUMPRODUCT(($G$76:$G$1505)*($N$76:$N$1505&gt;=N1503)*($O$76:$O$1505&lt;=O1503))=1,FALSE)</f>
        <v/>
      </c>
      <c r="S1503" s="16">
        <f>IF(R1503,ABS((O1503-$AC$76)/MAX(0.0001,$AC$77-$AC$76)-(N1503-$AC$78)/MAX(0.0001,$AC$79-$AC$78)),-1)</f>
        <v/>
      </c>
      <c r="T1503" s="14">
        <f>IF(G1503,O1503,NA())</f>
        <v/>
      </c>
      <c r="U1503" s="13">
        <f>IF(G1503,N1503,NA())</f>
        <v/>
      </c>
      <c r="V1503" s="14">
        <f>IF(R1503,O1503,NA())</f>
        <v/>
      </c>
      <c r="W1503" s="13">
        <f>IF(R1503,N1503,NA())</f>
        <v/>
      </c>
      <c r="X1503" s="27">
        <f>IF(G1503,P1503,"")</f>
        <v/>
      </c>
      <c r="Y1503" s="27">
        <f>IF(G1503,N1503,"")</f>
        <v/>
      </c>
      <c r="Z1503" s="27">
        <f>IF(R1503,O1503,"")</f>
        <v/>
      </c>
      <c r="AA1503" s="27">
        <f>IF(R1503,N1503,"")</f>
        <v/>
      </c>
    </row>
    <row r="1504">
      <c r="A1504" s="31" t="n">
        <v>1</v>
      </c>
      <c r="B1504" s="31" t="n">
        <v>0</v>
      </c>
      <c r="C1504" s="31" t="n">
        <v>0</v>
      </c>
      <c r="D1504" s="31" t="n">
        <v>0</v>
      </c>
      <c r="E1504" s="27" t="inlineStr">
        <is>
          <t>ON 100%</t>
        </is>
      </c>
      <c r="F1504" s="27" t="n">
        <v>75</v>
      </c>
      <c r="G1504" s="27">
        <f>A1504*$B$7&gt;=$B$9</f>
        <v/>
      </c>
      <c r="H1504" s="13">
        <f>$B$7*(A1504*E$71+B1504*F$71+C1504*G$71+D1504*H$71)+F1504/100*$B$7*J$71-$C$71</f>
        <v/>
      </c>
      <c r="I1504" s="13">
        <f>$B$7*(A1504*L$71+B1504*M$71+C1504*N$71+D1504*O$71)+F1504/100*$B$7*Q$71-$C$71</f>
        <v/>
      </c>
      <c r="J1504" s="13">
        <f>$B$7*(A1504*S$71+B1504*T$71+C1504*U$71+D1504*V$71)+F1504/100*$B$7*X$71-$C$71</f>
        <v/>
      </c>
      <c r="K1504" s="13">
        <f>$B$7*(A1504*Z$71+B1504*AA$71+C1504*AB$71+D1504*AC$71)+F1504/100*$B$7*AE$71-$C$71</f>
        <v/>
      </c>
      <c r="L1504" s="13">
        <f>$B$7*(A1504*AG$71+B1504*AH$71+C1504*AI$71+D1504*AJ$71)+F1504/100*$B$7*AL$71-$C$71</f>
        <v/>
      </c>
      <c r="M1504" s="13">
        <f>$B$7*(A1504*AN$71+B1504*AO$71+C1504*AP$71+D1504*AQ$71)+F1504/100*$B$7*AS$71-$C$71</f>
        <v/>
      </c>
      <c r="N1504" s="13">
        <f>SUMPRODUCT($H$24:$M$24,H1504:M1504)</f>
        <v/>
      </c>
      <c r="O1504" s="14">
        <f>SQRT(SUMPRODUCT($H$24:$M$24,(H1504:M1504-N1504)^2))</f>
        <v/>
      </c>
      <c r="P1504" s="13">
        <f>MIN(H1504:M1504)</f>
        <v/>
      </c>
      <c r="Q1504" s="13">
        <f>MAX(H1504:M1504)</f>
        <v/>
      </c>
      <c r="R1504" s="27">
        <f>IF(G1504,SUMPRODUCT(($G$76:$G$1505)*($N$76:$N$1505&gt;=N1504)*($O$76:$O$1505&lt;=O1504))=1,FALSE)</f>
        <v/>
      </c>
      <c r="S1504" s="16">
        <f>IF(R1504,ABS((O1504-$AC$76)/MAX(0.0001,$AC$77-$AC$76)-(N1504-$AC$78)/MAX(0.0001,$AC$79-$AC$78)),-1)</f>
        <v/>
      </c>
      <c r="T1504" s="14">
        <f>IF(G1504,O1504,NA())</f>
        <v/>
      </c>
      <c r="U1504" s="13">
        <f>IF(G1504,N1504,NA())</f>
        <v/>
      </c>
      <c r="V1504" s="14">
        <f>IF(R1504,O1504,NA())</f>
        <v/>
      </c>
      <c r="W1504" s="13">
        <f>IF(R1504,N1504,NA())</f>
        <v/>
      </c>
      <c r="X1504" s="27">
        <f>IF(G1504,P1504,"")</f>
        <v/>
      </c>
      <c r="Y1504" s="27">
        <f>IF(G1504,N1504,"")</f>
        <v/>
      </c>
      <c r="Z1504" s="27">
        <f>IF(R1504,O1504,"")</f>
        <v/>
      </c>
      <c r="AA1504" s="27">
        <f>IF(R1504,N1504,"")</f>
        <v/>
      </c>
    </row>
    <row r="1505">
      <c r="A1505" s="31" t="n">
        <v>1</v>
      </c>
      <c r="B1505" s="31" t="n">
        <v>0</v>
      </c>
      <c r="C1505" s="31" t="n">
        <v>0</v>
      </c>
      <c r="D1505" s="31" t="n">
        <v>0</v>
      </c>
      <c r="E1505" s="27" t="inlineStr">
        <is>
          <t>ON 100%</t>
        </is>
      </c>
      <c r="F1505" s="27" t="n">
        <v>100</v>
      </c>
      <c r="G1505" s="27">
        <f>A1505*$B$7&gt;=$B$9</f>
        <v/>
      </c>
      <c r="H1505" s="13">
        <f>$B$7*(A1505*E$71+B1505*F$71+C1505*G$71+D1505*H$71)+F1505/100*$B$7*J$71-$C$71</f>
        <v/>
      </c>
      <c r="I1505" s="13">
        <f>$B$7*(A1505*L$71+B1505*M$71+C1505*N$71+D1505*O$71)+F1505/100*$B$7*Q$71-$C$71</f>
        <v/>
      </c>
      <c r="J1505" s="13">
        <f>$B$7*(A1505*S$71+B1505*T$71+C1505*U$71+D1505*V$71)+F1505/100*$B$7*X$71-$C$71</f>
        <v/>
      </c>
      <c r="K1505" s="13">
        <f>$B$7*(A1505*Z$71+B1505*AA$71+C1505*AB$71+D1505*AC$71)+F1505/100*$B$7*AE$71-$C$71</f>
        <v/>
      </c>
      <c r="L1505" s="13">
        <f>$B$7*(A1505*AG$71+B1505*AH$71+C1505*AI$71+D1505*AJ$71)+F1505/100*$B$7*AL$71-$C$71</f>
        <v/>
      </c>
      <c r="M1505" s="13">
        <f>$B$7*(A1505*AN$71+B1505*AO$71+C1505*AP$71+D1505*AQ$71)+F1505/100*$B$7*AS$71-$C$71</f>
        <v/>
      </c>
      <c r="N1505" s="13">
        <f>SUMPRODUCT($H$24:$M$24,H1505:M1505)</f>
        <v/>
      </c>
      <c r="O1505" s="14">
        <f>SQRT(SUMPRODUCT($H$24:$M$24,(H1505:M1505-N1505)^2))</f>
        <v/>
      </c>
      <c r="P1505" s="13">
        <f>MIN(H1505:M1505)</f>
        <v/>
      </c>
      <c r="Q1505" s="13">
        <f>MAX(H1505:M1505)</f>
        <v/>
      </c>
      <c r="R1505" s="27">
        <f>IF(G1505,SUMPRODUCT(($G$76:$G$1505)*($N$76:$N$1505&gt;=N1505)*($O$76:$O$1505&lt;=O1505))=1,FALSE)</f>
        <v/>
      </c>
      <c r="S1505" s="16">
        <f>IF(R1505,ABS((O1505-$AC$76)/MAX(0.0001,$AC$77-$AC$76)-(N1505-$AC$78)/MAX(0.0001,$AC$79-$AC$78)),-1)</f>
        <v/>
      </c>
      <c r="T1505" s="14">
        <f>IF(G1505,O1505,NA())</f>
        <v/>
      </c>
      <c r="U1505" s="13">
        <f>IF(G1505,N1505,NA())</f>
        <v/>
      </c>
      <c r="V1505" s="14">
        <f>IF(R1505,O1505,NA())</f>
        <v/>
      </c>
      <c r="W1505" s="13">
        <f>IF(R1505,N1505,NA())</f>
        <v/>
      </c>
      <c r="X1505" s="27">
        <f>IF(G1505,P1505,"")</f>
        <v/>
      </c>
      <c r="Y1505" s="27">
        <f>IF(G1505,N1505,"")</f>
        <v/>
      </c>
      <c r="Z1505" s="27">
        <f>IF(R1505,O1505,"")</f>
        <v/>
      </c>
      <c r="AA1505" s="27">
        <f>IF(R1505,N1505,"")</f>
        <v/>
      </c>
    </row>
  </sheetData>
  <dataValidations count="2">
    <dataValidation sqref="B10" showDropDown="0" showInputMessage="0" showErrorMessage="0" allowBlank="0" type="list">
      <formula1>"RCV,PAY"</formula1>
    </dataValidation>
    <dataValidation sqref="AK4" showDropDown="0" showInputMessage="0" showErrorMessage="0" allowBlank="0" type="list">
      <formula1>"Flat,Gradual cuts,Faster cuts,Delayed cuts,Higher for longer,Hike"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2026-06-11T18:04:05Z</dcterms:created>
  <dcterms:modified xmlns:dcterms="http://purl.org/dc/terms/" xmlns:xsi="http://www.w3.org/2001/XMLSchema-instance" xsi:type="dcterms:W3CDTF">2026-06-11T18:04:06Z</dcterms:modified>
</cp:coreProperties>
</file>