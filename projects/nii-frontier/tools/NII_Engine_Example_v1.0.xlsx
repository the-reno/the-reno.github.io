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EDGER" sheetId="4" state="visible" r:id="rId4"/>
    <sheet xmlns:r="http://schemas.openxmlformats.org/officeDocument/2006/relationships" name="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;-0;&quot;-&quot;"/>
    <numFmt numFmtId="167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color rgb="000000FF"/>
    </font>
    <font>
      <name val="Arial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167" fontId="2" fillId="2" borderId="0" pivotButton="0" quotePrefix="0" xfId="0"/>
    <xf numFmtId="167" fontId="2" fillId="0" borderId="0" pivotButton="0" quotePrefix="0" xfId="0"/>
    <xf numFmtId="0" fontId="3" fillId="3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Holidays" displayName="tblHolidays" ref="A4:B10" headerRowCount="1">
  <autoFilter ref="A4:B10"/>
  <tableColumns count="2">
    <tableColumn id="1" name="Date"/>
    <tableColumn id="2" name="Name"/>
  </tableColumns>
  <tableStyleInfo name="TableStyleLight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NII ENGINE — EXAMPLE WORKBOOK v1.0</t>
        </is>
      </c>
    </row>
    <row r="2">
      <c r="A2" s="2" t="inlineStr"/>
    </row>
    <row r="3">
      <c r="A3" s="2" t="inlineStr">
        <is>
          <t>This is the structure the full analysis will live in. One worked example runs end to end:</t>
        </is>
      </c>
    </row>
    <row r="4">
      <c r="A4" s="2" t="inlineStr">
        <is>
          <t>holiday calendar -&gt; scenario curve -&gt; accrual engine -&gt; ON / period / swap interest.</t>
        </is>
      </c>
    </row>
    <row r="5">
      <c r="A5" s="2" t="inlineStr"/>
    </row>
    <row r="6">
      <c r="A6" s="3" t="inlineStr">
        <is>
          <t>SETUP (one time, ~3 minutes):</t>
        </is>
      </c>
    </row>
    <row r="7">
      <c r="A7" s="2" t="inlineStr">
        <is>
          <t>1. Alt+F11. Import or paste the modules from tools/vba/ in number order:</t>
        </is>
      </c>
    </row>
    <row r="8">
      <c r="A8" s="2" t="inlineStr">
        <is>
          <t xml:space="preserve">     01 mInterestCalc, 02 mTests, 03 mRegistry  -&gt; standard Modules (Insert &gt; Module)</t>
        </is>
      </c>
    </row>
    <row r="9">
      <c r="A9" s="2" t="inlineStr">
        <is>
          <t xml:space="preserve">     04 cCalendar, 05 cStepCurve               -&gt; CLASS Modules (Insert &gt; Class Module!)</t>
        </is>
      </c>
    </row>
    <row r="10">
      <c r="A10" s="2" t="inlineStr">
        <is>
          <t xml:space="preserve">     06 mSheetAPI                               -&gt; standard Module</t>
        </is>
      </c>
    </row>
    <row r="11">
      <c r="A11" s="2" t="inlineStr">
        <is>
          <t xml:space="preserve">   (paste route: skip each file's first 'Attribute VB_Name' line; rename the module to match)</t>
        </is>
      </c>
    </row>
    <row r="12">
      <c r="A12" s="2" t="inlineStr">
        <is>
          <t>2. Save as .xlsm. Press Ctrl+Alt+F9 (full recalc).</t>
        </is>
      </c>
    </row>
    <row r="13">
      <c r="A13" s="2" t="inlineStr">
        <is>
          <t>3. EXAMPLE sheet: every handle shows '| OK |' and every result matches its expected value.</t>
        </is>
      </c>
    </row>
    <row r="14">
      <c r="A14" s="2" t="inlineStr">
        <is>
          <t>4. Alt+F8 &gt; TestInterestEngine writes the TESTS sheet - expect all OK.</t>
        </is>
      </c>
    </row>
    <row r="15">
      <c r="A15" s="2" t="inlineStr"/>
    </row>
    <row r="16">
      <c r="A16" s="2" t="inlineStr">
        <is>
          <t>Until the modules are imported, formula cells show #NAME? - that is normal.</t>
        </is>
      </c>
    </row>
    <row r="17">
      <c r="A17" s="2" t="inlineStr"/>
    </row>
    <row r="18">
      <c r="A18" s="3" t="inlineStr">
        <is>
          <t>THE POINT - try this after setup:</t>
        </is>
      </c>
    </row>
    <row r="19">
      <c r="A19" s="2" t="inlineStr">
        <is>
          <t>Change a Fed move on INPUTS (e.g. Jul-29 from -25 to -50), press F9, and watch every</t>
        </is>
      </c>
    </row>
    <row r="20">
      <c r="A20" s="2" t="inlineStr">
        <is>
          <t>interest number on EXAMPLE update through the chain: scenario -&gt; curve -&gt; rate -&gt; accrual.</t>
        </is>
      </c>
    </row>
    <row r="21">
      <c r="A21" s="2" t="inlineStr">
        <is>
          <t>Add a holiday to the table: the ON 'bridge' example changes its day weight.</t>
        </is>
      </c>
    </row>
    <row r="22">
      <c r="A22" s="2" t="inlineStr"/>
    </row>
    <row r="23">
      <c r="A23" s="2" t="inlineStr">
        <is>
          <t>Conventions: handles flow CELL-TO-CELL (never typed strings). Growable inputs are Tables.</t>
        </is>
      </c>
    </row>
    <row r="24">
      <c r="A24" s="2" t="inlineStr">
        <is>
          <t>Architecture: tools/vba/ARCHITECTURE.txt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4" max="4"/>
    <col width="12" customWidth="1" min="5" max="5"/>
  </cols>
  <sheetData>
    <row r="1">
      <c r="A1" s="4" t="inlineStr">
        <is>
          <t>INPUTS — the database. Objects rebuild from here on every recalc.</t>
        </is>
      </c>
    </row>
    <row r="3">
      <c r="A3" s="3" t="inlineStr">
        <is>
          <t>HOLIDAYS (Excel Table: add rows, the calendar grows)</t>
        </is>
      </c>
      <c r="D3" s="3" t="inlineStr">
        <is>
          <t>SCENARIO: 'cuts' (edit moves, F9, watch EXAMPLE)</t>
        </is>
      </c>
    </row>
    <row r="4">
      <c r="A4" s="3" t="inlineStr">
        <is>
          <t>Date</t>
        </is>
      </c>
      <c r="B4" s="3" t="inlineStr">
        <is>
          <t>Name</t>
        </is>
      </c>
      <c r="D4" s="3" t="inlineStr">
        <is>
          <t>FOMC decision</t>
        </is>
      </c>
      <c r="E4" s="3" t="inlineStr">
        <is>
          <t>Move bps</t>
        </is>
      </c>
    </row>
    <row r="5">
      <c r="A5" s="5" t="n">
        <v>46023</v>
      </c>
      <c r="B5" s="6" t="inlineStr">
        <is>
          <t>New Year</t>
        </is>
      </c>
      <c r="D5" s="5" t="n">
        <v>46190</v>
      </c>
      <c r="E5" s="7" t="n">
        <v>-25</v>
      </c>
    </row>
    <row r="6">
      <c r="A6" s="5" t="n">
        <v>46041</v>
      </c>
      <c r="B6" s="6" t="inlineStr">
        <is>
          <t>MLK Day</t>
        </is>
      </c>
      <c r="D6" s="5" t="n">
        <v>46232</v>
      </c>
      <c r="E6" s="7" t="n">
        <v>-25</v>
      </c>
    </row>
    <row r="7">
      <c r="A7" s="5" t="n">
        <v>46206</v>
      </c>
      <c r="B7" s="6" t="inlineStr">
        <is>
          <t>Independence Day (obs)</t>
        </is>
      </c>
      <c r="D7" s="5" t="n">
        <v>46281</v>
      </c>
      <c r="E7" s="7" t="n">
        <v>-25</v>
      </c>
    </row>
    <row r="8">
      <c r="A8" s="5" t="n">
        <v>46272</v>
      </c>
      <c r="B8" s="6" t="inlineStr">
        <is>
          <t>Labor Day</t>
        </is>
      </c>
      <c r="D8" s="5" t="n">
        <v>46323</v>
      </c>
      <c r="E8" s="7" t="n">
        <v>0</v>
      </c>
    </row>
    <row r="9">
      <c r="A9" s="5" t="n">
        <v>46352</v>
      </c>
      <c r="B9" s="6" t="inlineStr">
        <is>
          <t>Thanksgiving</t>
        </is>
      </c>
    </row>
    <row r="10">
      <c r="A10" s="5" t="n">
        <v>46381</v>
      </c>
      <c r="B10" s="6" t="inlineStr">
        <is>
          <t>Christmas</t>
        </is>
      </c>
      <c r="D10" s="3" t="inlineStr">
        <is>
          <t>Initial SOFR (%)</t>
        </is>
      </c>
      <c r="E10" s="8" t="n">
        <v>3.8</v>
      </c>
    </row>
    <row r="11">
      <c r="D11" s="3" t="inlineStr">
        <is>
          <t>Scale ×</t>
        </is>
      </c>
      <c r="E11" s="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13" customWidth="1" min="4" max="4"/>
    <col width="13" customWidth="1" min="5" max="5"/>
    <col width="8" customWidth="1" min="6" max="6"/>
    <col width="40" customWidth="1" min="7" max="7"/>
  </cols>
  <sheetData>
    <row r="1">
      <c r="A1" s="4" t="inlineStr">
        <is>
          <t>EXAMPLE — one chain, end to end</t>
        </is>
      </c>
    </row>
    <row r="2">
      <c r="A2" s="9" t="inlineStr">
        <is>
          <t>Handles below are OBJECTS: the cell shows a receipt; engines fetch by name. Results carry their independently hand-computed expected value.</t>
        </is>
      </c>
    </row>
    <row r="4">
      <c r="A4" s="3" t="inlineStr">
        <is>
          <t>1. BUILD THE OBJECTS</t>
        </is>
      </c>
    </row>
    <row r="5">
      <c r="A5" s="2" t="inlineStr">
        <is>
          <t>Calendar handle</t>
        </is>
      </c>
      <c r="B5" s="10">
        <f>FED_HOL(tblHolidays[Date])</f>
        <v/>
      </c>
    </row>
    <row r="6">
      <c r="A6" s="2" t="inlineStr">
        <is>
          <t>Curve handle 'cuts'</t>
        </is>
      </c>
      <c r="B6" s="10">
        <f>MAKE_CURVE("cuts",INPUTS!$E$10,INPUTS!$D$5:$D$8,INPUTS!$E$5:$E$8,INPUTS!$E$11,$B$5)</f>
        <v/>
      </c>
    </row>
    <row r="8">
      <c r="A8" s="3" t="inlineStr">
        <is>
          <t>2. RUN THE ENGINE</t>
        </is>
      </c>
    </row>
    <row r="9">
      <c r="A9" s="3" t="inlineStr">
        <is>
          <t>Case</t>
        </is>
      </c>
      <c r="B9" s="3" t="inlineStr">
        <is>
          <t>Inputs</t>
        </is>
      </c>
      <c r="D9" s="3" t="inlineStr">
        <is>
          <t>Result</t>
        </is>
      </c>
      <c r="E9" s="3" t="inlineStr">
        <is>
          <t>Expected</t>
        </is>
      </c>
      <c r="F9" s="3" t="inlineStr">
        <is>
          <t>Match</t>
        </is>
      </c>
    </row>
    <row r="10">
      <c r="A10" s="2" t="inlineStr">
        <is>
          <t>ON interest, normal day</t>
        </is>
      </c>
      <c r="B10" s="9" t="inlineStr">
        <is>
          <t>Wed 15-Jul-26 · $100mm</t>
        </is>
      </c>
      <c r="D10" s="11">
        <f>ON_INTEREST(DATE(2026,7,15),100,$B$6,$B$5)</f>
        <v/>
      </c>
      <c r="E10" s="12" t="n">
        <v>0.009861</v>
      </c>
      <c r="F10" s="13">
        <f>IF(ABS(D10-E10)&lt;0.000001,"OK","CHECK")</f>
        <v/>
      </c>
      <c r="G10" s="9" t="inlineStr">
        <is>
          <t>rate 3.55 (post Jun-18 cut) × 1 day</t>
        </is>
      </c>
    </row>
    <row r="11">
      <c r="A11" s="2" t="inlineStr">
        <is>
          <t>ON over a weekend</t>
        </is>
      </c>
      <c r="B11" s="9" t="inlineStr">
        <is>
          <t>Fri 17-Jul-26 · $100mm</t>
        </is>
      </c>
      <c r="D11" s="11">
        <f>ON_INTEREST(DATE(2026,7,17),100,$B$6,$B$5)</f>
        <v/>
      </c>
      <c r="E11" s="12" t="n">
        <v>0.029583</v>
      </c>
      <c r="F11" s="13">
        <f>IF(ABS(D11-E11)&lt;0.000001,"OK","CHECK")</f>
        <v/>
      </c>
      <c r="G11" s="9" t="inlineStr">
        <is>
          <t>Friday fix carries 3 days</t>
        </is>
      </c>
    </row>
    <row r="12">
      <c r="A12" s="2" t="inlineStr">
        <is>
          <t>ON over a holiday bridge</t>
        </is>
      </c>
      <c r="B12" s="9" t="inlineStr">
        <is>
          <t>Thu 02-Jul-26 · $100mm</t>
        </is>
      </c>
      <c r="D12" s="11">
        <f>ON_INTEREST(DATE(2026,7,2),100,$B$6,$B$5)</f>
        <v/>
      </c>
      <c r="E12" s="12" t="n">
        <v>0.039444</v>
      </c>
      <c r="F12" s="13">
        <f>IF(ABS(D12-E12)&lt;0.000001,"OK","CHECK")</f>
        <v/>
      </c>
      <c r="G12" s="9" t="inlineStr">
        <is>
          <t>Jul-3 holiday + weekend = 4 days</t>
        </is>
      </c>
    </row>
    <row r="13">
      <c r="A13" s="2" t="inlineStr">
        <is>
          <t>Period, simple</t>
        </is>
      </c>
      <c r="B13" s="9" t="inlineStr">
        <is>
          <t>Jul→Oct-26 · $100mm</t>
        </is>
      </c>
      <c r="D13" s="11">
        <f>PERIOD_INTEREST(DATE(2026,7,1),DATE(2026,10,1),100,$B$6,$B$5,"SIMPLE")</f>
        <v/>
      </c>
      <c r="E13" s="12" t="n">
        <v>0.85375</v>
      </c>
      <c r="F13" s="13">
        <f>IF(ABS(D13-E13)&lt;0.000001,"OK","CHECK")</f>
        <v/>
      </c>
      <c r="G13" s="9" t="inlineStr">
        <is>
          <t>walks every fix; 2 cuts inside the period</t>
        </is>
      </c>
    </row>
    <row r="14">
      <c r="A14" s="2" t="inlineStr">
        <is>
          <t>Period, compounding</t>
        </is>
      </c>
      <c r="B14" s="9" t="inlineStr">
        <is>
          <t>Jul→Oct-26 · $100mm</t>
        </is>
      </c>
      <c r="D14" s="11">
        <f>PERIOD_INTEREST(DATE(2026,7,1),DATE(2026,10,1),100,$B$6,$B$5,"COMPOUND")</f>
        <v/>
      </c>
      <c r="E14" s="12" t="n">
        <v>0.857325</v>
      </c>
      <c r="F14" s="13">
        <f>IF(ABS(D14-E14)&lt;0.000001,"OK","CHECK")</f>
        <v/>
      </c>
      <c r="G14" s="9" t="inlineStr">
        <is>
          <t>interest joins the balance daily</t>
        </is>
      </c>
    </row>
    <row r="15">
      <c r="A15" s="2" t="inlineStr">
        <is>
          <t>Swap month (coordinator)</t>
        </is>
      </c>
      <c r="B15" s="9" t="inlineStr">
        <is>
          <t>$375mm RCV 3.15% · Jul-26</t>
        </is>
      </c>
      <c r="D15" s="11">
        <f>SWAP_NET(DATE(2026,7,1),DATE(2026,8,1),375,3.15,$B$6,$B$5,"RCV")</f>
        <v/>
      </c>
      <c r="E15" s="12" t="n">
        <v>-0.123958</v>
      </c>
      <c r="F15" s="13">
        <f>IF(ABS(D15-E15)&lt;0.000001,"OK","CHECK")</f>
        <v/>
      </c>
      <c r="G15" s="9" t="inlineStr">
        <is>
          <t>fixed leg − float leg; float still at 3.55 all July</t>
        </is>
      </c>
    </row>
    <row r="17">
      <c r="A17" s="3" t="inlineStr">
        <is>
          <t>3. TRY</t>
        </is>
      </c>
    </row>
    <row r="18">
      <c r="A18" s="2" t="inlineStr">
        <is>
          <t>Change INPUTS Jul-29 move to -50 → cases 4-6 shift (the cut deepens inside their period); cases 1-3 hold (July 15/17/2 precede the Jul-30 effective date... case 1-3 use 3.55 either way).</t>
        </is>
      </c>
    </row>
    <row r="19">
      <c r="A19" s="2" t="inlineStr">
        <is>
          <t>Set Scale to 2.0 → every step doubles. Add a holiday → case 3's day weight changes.</t>
        </is>
      </c>
    </row>
  </sheetData>
  <mergeCells count="4">
    <mergeCell ref="A18:G18"/>
    <mergeCell ref="A19:G19"/>
    <mergeCell ref="B6:F6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sheetData>
    <row r="1">
      <c r="A1" s="14" t="inlineStr">
        <is>
          <t>Date</t>
        </is>
      </c>
      <c r="B1" s="14" t="inlineStr">
        <is>
          <t>Scenario</t>
        </is>
      </c>
      <c r="C1" s="14" t="inlineStr">
        <is>
          <t>Instrument</t>
        </is>
      </c>
      <c r="D1" s="14" t="inlineStr">
        <is>
          <t>Component</t>
        </is>
      </c>
      <c r="E1" s="14" t="inlineStr">
        <is>
          <t>Detail</t>
        </is>
      </c>
      <c r="F1" s="14" t="inlineStr">
        <is>
          <t>Calendar</t>
        </is>
      </c>
      <c r="G1" s="14" t="inlineStr">
        <is>
          <t>Rate%</t>
        </is>
      </c>
      <c r="H1" s="14" t="inlineStr">
        <is>
          <t>Days</t>
        </is>
      </c>
      <c r="I1" s="14" t="inlineStr">
        <is>
          <t>Cashflow($mm)</t>
        </is>
      </c>
    </row>
    <row r="3">
      <c r="A3" s="2" t="inlineStr">
        <is>
          <t>The frozen audit schema (ARCHITECTURE P4). Instrument generators will write here in slice 5 - every row recomputable by hand from its own columns.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Run Alt+F8 &gt; TestInterestEngine to populate this sheet. Engine tests land here as each slice ships.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2026-06-12T21:24:53Z</dcterms:created>
  <dcterms:modified xmlns:dcterms="http://purl.org/dc/terms/" xmlns:xsi="http://www.w3.org/2001/XMLSchema-instance" xsi:type="dcterms:W3CDTF">2026-06-12T21:24:53Z</dcterms:modified>
</cp:coreProperties>
</file>