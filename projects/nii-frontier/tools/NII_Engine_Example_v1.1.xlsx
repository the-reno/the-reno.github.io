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EDGER" sheetId="4" state="visible" r:id="rId4"/>
    <sheet xmlns:r="http://schemas.openxmlformats.org/officeDocument/2006/relationships" name="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;-0;&quot;-&quot;"/>
    <numFmt numFmtId="167" formatCode="0.000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000FF"/>
    </font>
    <font>
      <name val="Consolas"/>
      <color rgb="007F4F00"/>
      <sz val="9"/>
    </font>
    <font>
      <name val="Arial"/>
      <color rgb="00595959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7" fontId="2" fillId="2" borderId="0" pivotButton="0" quotePrefix="0" xfId="0"/>
    <xf numFmtId="167" fontId="2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Holidays" displayName="tblHolidays" ref="A4:B10" headerRowCount="1">
  <autoFilter ref="A4:B10"/>
  <tableColumns count="2">
    <tableColumn id="1" name="Date"/>
    <tableColumn id="2" name="Name"/>
  </tableColumns>
  <tableStyleInfo name="TableStyleLight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NII ENGINE — EXAMPLE WORKBOOK v1.1 (formula-free)</t>
        </is>
      </c>
    </row>
    <row r="2">
      <c r="A2" s="2" t="inlineStr"/>
    </row>
    <row r="3">
      <c r="A3" s="2" t="inlineStr">
        <is>
          <t>No formulas ship in this file. You add the VBA, then paste the formulas yourself:</t>
        </is>
      </c>
    </row>
    <row r="4">
      <c r="A4" s="2" t="inlineStr"/>
    </row>
    <row r="5">
      <c r="A5" s="3" t="inlineStr">
        <is>
          <t>1. Alt+F11. Add the modules from tools/vba/ in order:</t>
        </is>
      </c>
    </row>
    <row r="6">
      <c r="A6" s="2" t="inlineStr">
        <is>
          <t xml:space="preserve">     01 mInterestCalc, 02 mTests, 03 mRegistry   -&gt;  Insert &gt; Module</t>
        </is>
      </c>
    </row>
    <row r="7">
      <c r="A7" s="2" t="inlineStr">
        <is>
          <t xml:space="preserve">     04 cCalendar, 05 cStepCurve                 -&gt;  Insert &gt; CLASS Module (rename to match)</t>
        </is>
      </c>
    </row>
    <row r="8">
      <c r="A8" s="2" t="inlineStr">
        <is>
          <t xml:space="preserve">     06 mSheetAPI                                -&gt;  Insert &gt; Module</t>
        </is>
      </c>
    </row>
    <row r="9">
      <c r="A9" s="2" t="inlineStr">
        <is>
          <t xml:space="preserve">   When pasting, skip each file's first line ('Attribute VB_Name = ...').</t>
        </is>
      </c>
    </row>
    <row r="10">
      <c r="A10" s="2" t="inlineStr">
        <is>
          <t>2. Save as .xlsm.</t>
        </is>
      </c>
    </row>
    <row r="11">
      <c r="A11" s="3" t="inlineStr">
        <is>
          <t>3. EXAMPLE sheet: column G holds each formula as TEXT. Copy a formula from G,</t>
        </is>
      </c>
    </row>
    <row r="12">
      <c r="A12" s="2" t="inlineStr">
        <is>
          <t xml:space="preserve">   paste it into the yellow Result cell on the same row, press Enter.</t>
        </is>
      </c>
    </row>
    <row r="13">
      <c r="A13" s="2" t="inlineStr">
        <is>
          <t xml:space="preserve">   Start with rows 5 and 6 (the two handles), then the six cases.</t>
        </is>
      </c>
    </row>
    <row r="14">
      <c r="A14" s="2" t="inlineStr">
        <is>
          <t>4. Each Result should match the Expected value beside it (hand-computed independently).</t>
        </is>
      </c>
    </row>
    <row r="15">
      <c r="A15" s="2" t="inlineStr">
        <is>
          <t>5. Alt+F8 &gt; TestInterestEngine fills the TESTS sheet - expect all OK.</t>
        </is>
      </c>
    </row>
    <row r="16">
      <c r="A16" s="2" t="inlineStr"/>
    </row>
    <row r="17">
      <c r="A17" s="3" t="inlineStr">
        <is>
          <t>Then: change a Fed move on INPUTS, press F9, watch the chain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4" max="4"/>
    <col width="12" customWidth="1" min="5" max="5"/>
  </cols>
  <sheetData>
    <row r="1">
      <c r="A1" s="4" t="inlineStr">
        <is>
          <t>INPUTS — objects rebuild from here on every recalc</t>
        </is>
      </c>
    </row>
    <row r="3">
      <c r="A3" s="3" t="inlineStr">
        <is>
          <t>HOLIDAYS (Excel Table - add rows freely)</t>
        </is>
      </c>
      <c r="D3" s="3" t="inlineStr">
        <is>
          <t>SCENARIO 'cuts'</t>
        </is>
      </c>
    </row>
    <row r="4">
      <c r="A4" s="3" t="inlineStr">
        <is>
          <t>Date</t>
        </is>
      </c>
      <c r="B4" s="3" t="inlineStr">
        <is>
          <t>Name</t>
        </is>
      </c>
      <c r="D4" s="3" t="inlineStr">
        <is>
          <t>FOMC decision</t>
        </is>
      </c>
      <c r="E4" s="3" t="inlineStr">
        <is>
          <t>Move bps</t>
        </is>
      </c>
    </row>
    <row r="5">
      <c r="A5" s="5" t="n">
        <v>46023</v>
      </c>
      <c r="B5" s="6" t="inlineStr">
        <is>
          <t>New Year</t>
        </is>
      </c>
      <c r="D5" s="5" t="n">
        <v>46190</v>
      </c>
      <c r="E5" s="7" t="n">
        <v>-25</v>
      </c>
    </row>
    <row r="6">
      <c r="A6" s="5" t="n">
        <v>46041</v>
      </c>
      <c r="B6" s="6" t="inlineStr">
        <is>
          <t>MLK Day</t>
        </is>
      </c>
      <c r="D6" s="5" t="n">
        <v>46232</v>
      </c>
      <c r="E6" s="7" t="n">
        <v>-25</v>
      </c>
    </row>
    <row r="7">
      <c r="A7" s="5" t="n">
        <v>46206</v>
      </c>
      <c r="B7" s="6" t="inlineStr">
        <is>
          <t>Independence Day (obs)</t>
        </is>
      </c>
      <c r="D7" s="5" t="n">
        <v>46281</v>
      </c>
      <c r="E7" s="7" t="n">
        <v>-25</v>
      </c>
    </row>
    <row r="8">
      <c r="A8" s="5" t="n">
        <v>46272</v>
      </c>
      <c r="B8" s="6" t="inlineStr">
        <is>
          <t>Labor Day</t>
        </is>
      </c>
      <c r="D8" s="5" t="n">
        <v>46323</v>
      </c>
      <c r="E8" s="7" t="n">
        <v>0</v>
      </c>
    </row>
    <row r="9">
      <c r="A9" s="5" t="n">
        <v>46352</v>
      </c>
      <c r="B9" s="6" t="inlineStr">
        <is>
          <t>Thanksgiving</t>
        </is>
      </c>
    </row>
    <row r="10">
      <c r="A10" s="5" t="n">
        <v>46381</v>
      </c>
      <c r="B10" s="6" t="inlineStr">
        <is>
          <t>Christmas</t>
        </is>
      </c>
      <c r="D10" s="3" t="inlineStr">
        <is>
          <t>Initial SOFR (%)</t>
        </is>
      </c>
      <c r="E10" s="8" t="n">
        <v>3.8</v>
      </c>
    </row>
    <row r="11">
      <c r="D11" s="3" t="inlineStr">
        <is>
          <t>Scale ×</t>
        </is>
      </c>
      <c r="E11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13" customWidth="1" min="4" max="4"/>
    <col width="13" customWidth="1" min="5" max="5"/>
    <col width="30" customWidth="1" min="6" max="6"/>
    <col width="75" customWidth="1" min="7" max="7"/>
  </cols>
  <sheetData>
    <row r="1">
      <c r="A1" s="4" t="inlineStr">
        <is>
          <t>EXAMPLE — paste formulas from column G into the yellow cells</t>
        </is>
      </c>
    </row>
    <row r="4">
      <c r="A4" s="3" t="inlineStr">
        <is>
          <t>1. OBJECTS</t>
        </is>
      </c>
      <c r="G4" s="3" t="inlineStr">
        <is>
          <t>FORMULA TO PASTE (copy the text, paste into the yellow cell)</t>
        </is>
      </c>
    </row>
    <row r="5">
      <c r="A5" s="2" t="inlineStr">
        <is>
          <t>Calendar handle</t>
        </is>
      </c>
      <c r="B5" s="9" t="n"/>
      <c r="G5" s="10">
        <f>FED_HOL(tblHolidays[Date])</f>
        <v/>
      </c>
    </row>
    <row r="6">
      <c r="A6" s="2" t="inlineStr">
        <is>
          <t>Curve handle 'cuts'</t>
        </is>
      </c>
      <c r="B6" s="9" t="n"/>
      <c r="G6" s="10">
        <f>MAKE_CURVE("cuts",INPUTS!$E$10,INPUTS!$D$5:$D$8,INPUTS!$E$5:$E$8,INPUTS!$E$11,$B$5)</f>
        <v/>
      </c>
    </row>
    <row r="8">
      <c r="A8" s="3" t="inlineStr">
        <is>
          <t>2. ENGINE CASES</t>
        </is>
      </c>
    </row>
    <row r="9">
      <c r="A9" s="3" t="inlineStr">
        <is>
          <t>Case</t>
        </is>
      </c>
      <c r="B9" s="3" t="inlineStr">
        <is>
          <t>Inputs</t>
        </is>
      </c>
      <c r="D9" s="3" t="inlineStr">
        <is>
          <t>Result</t>
        </is>
      </c>
      <c r="E9" s="3" t="inlineStr">
        <is>
          <t>Expected</t>
        </is>
      </c>
      <c r="F9" s="3" t="inlineStr">
        <is>
          <t>Why</t>
        </is>
      </c>
    </row>
    <row r="10">
      <c r="A10" s="2" t="inlineStr">
        <is>
          <t>ON interest, normal day</t>
        </is>
      </c>
      <c r="B10" s="11" t="inlineStr">
        <is>
          <t>Wed 15-Jul-26 · $100mm</t>
        </is>
      </c>
      <c r="D10" s="12" t="n"/>
      <c r="E10" s="13" t="n">
        <v>0.009861</v>
      </c>
      <c r="F10" s="11" t="inlineStr">
        <is>
          <t>rate 3.55 × 1 day</t>
        </is>
      </c>
      <c r="G10" s="10">
        <f>ON_INTEREST(DATE(2026,7,15),100,$B$6,$B$5)</f>
        <v/>
      </c>
    </row>
    <row r="11">
      <c r="A11" s="2" t="inlineStr">
        <is>
          <t>ON over a weekend</t>
        </is>
      </c>
      <c r="B11" s="11" t="inlineStr">
        <is>
          <t>Fri 17-Jul-26 · $100mm</t>
        </is>
      </c>
      <c r="D11" s="12" t="n"/>
      <c r="E11" s="13" t="n">
        <v>0.029583</v>
      </c>
      <c r="F11" s="11" t="inlineStr">
        <is>
          <t>Friday carries 3 days</t>
        </is>
      </c>
      <c r="G11" s="10">
        <f>ON_INTEREST(DATE(2026,7,17),100,$B$6,$B$5)</f>
        <v/>
      </c>
    </row>
    <row r="12">
      <c r="A12" s="2" t="inlineStr">
        <is>
          <t>ON over a holiday bridge</t>
        </is>
      </c>
      <c r="B12" s="11" t="inlineStr">
        <is>
          <t>Thu 02-Jul-26 · $100mm</t>
        </is>
      </c>
      <c r="D12" s="12" t="n"/>
      <c r="E12" s="13" t="n">
        <v>0.039444</v>
      </c>
      <c r="F12" s="11" t="inlineStr">
        <is>
          <t>Jul-3 holiday + weekend = 4 days</t>
        </is>
      </c>
      <c r="G12" s="10">
        <f>ON_INTEREST(DATE(2026,7,2),100,$B$6,$B$5)</f>
        <v/>
      </c>
    </row>
    <row r="13">
      <c r="A13" s="2" t="inlineStr">
        <is>
          <t>Period, simple</t>
        </is>
      </c>
      <c r="B13" s="11" t="inlineStr">
        <is>
          <t>Jul→Oct-26 · $100mm</t>
        </is>
      </c>
      <c r="D13" s="12" t="n"/>
      <c r="E13" s="13" t="n">
        <v>0.85375</v>
      </c>
      <c r="F13" s="11" t="inlineStr">
        <is>
          <t>2 cuts inside the period</t>
        </is>
      </c>
      <c r="G13" s="10">
        <f>PERIOD_INTEREST(DATE(2026,7,1),DATE(2026,10,1),100,$B$6,$B$5,"SIMPLE")</f>
        <v/>
      </c>
    </row>
    <row r="14">
      <c r="A14" s="2" t="inlineStr">
        <is>
          <t>Period, compounding</t>
        </is>
      </c>
      <c r="B14" s="11" t="inlineStr">
        <is>
          <t>Jul→Oct-26 · $100mm</t>
        </is>
      </c>
      <c r="D14" s="12" t="n"/>
      <c r="E14" s="13" t="n">
        <v>0.857325</v>
      </c>
      <c r="F14" s="11" t="inlineStr">
        <is>
          <t>interest joins the balance</t>
        </is>
      </c>
      <c r="G14" s="10">
        <f>PERIOD_INTEREST(DATE(2026,7,1),DATE(2026,10,1),100,$B$6,$B$5,"COMPOUND")</f>
        <v/>
      </c>
    </row>
    <row r="15">
      <c r="A15" s="2" t="inlineStr">
        <is>
          <t>Swap month (coordinator)</t>
        </is>
      </c>
      <c r="B15" s="11" t="inlineStr">
        <is>
          <t>$375mm RCV 3.15% · Jul-26</t>
        </is>
      </c>
      <c r="D15" s="12" t="n"/>
      <c r="E15" s="13" t="n">
        <v>-0.123958</v>
      </c>
      <c r="F15" s="11" t="inlineStr">
        <is>
          <t>fixed leg − float leg</t>
        </is>
      </c>
      <c r="G15" s="10">
        <f>SWAP_NET(DATE(2026,7,1),DATE(2026,8,1),375,3.15,$B$6,$B$5,"RCV")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sheetData>
    <row r="1">
      <c r="A1" s="14" t="inlineStr">
        <is>
          <t>Date</t>
        </is>
      </c>
      <c r="B1" s="14" t="inlineStr">
        <is>
          <t>Scenario</t>
        </is>
      </c>
      <c r="C1" s="14" t="inlineStr">
        <is>
          <t>Instrument</t>
        </is>
      </c>
      <c r="D1" s="14" t="inlineStr">
        <is>
          <t>Component</t>
        </is>
      </c>
      <c r="E1" s="14" t="inlineStr">
        <is>
          <t>Detail</t>
        </is>
      </c>
      <c r="F1" s="14" t="inlineStr">
        <is>
          <t>Calendar</t>
        </is>
      </c>
      <c r="G1" s="14" t="inlineStr">
        <is>
          <t>Rate%</t>
        </is>
      </c>
      <c r="H1" s="14" t="inlineStr">
        <is>
          <t>Days</t>
        </is>
      </c>
      <c r="I1" s="14" t="inlineStr">
        <is>
          <t>Cashflow($mm)</t>
        </is>
      </c>
    </row>
    <row r="3">
      <c r="A3" s="2" t="inlineStr">
        <is>
          <t>The frozen audit schema. Instrument generators write here in slice 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Alt+F8 &gt; TestInterestEngine populates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2026-06-13T00:54:33Z</dcterms:created>
  <dcterms:modified xmlns:dcterms="http://purl.org/dc/terms/" xmlns:xsi="http://www.w3.org/2001/XMLSchema-instance" xsi:type="dcterms:W3CDTF">2026-06-13T00:54:33Z</dcterms:modified>
</cp:coreProperties>
</file>