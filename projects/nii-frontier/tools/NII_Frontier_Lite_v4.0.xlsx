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YYYY-MM-DD"/>
    <numFmt numFmtId="166" formatCode="0;-0;&quot;-&quot;"/>
    <numFmt numFmtId="167" formatCode="#,##0.00;(#,##0.00);&quot;&quot;"/>
    <numFmt numFmtId="168" formatCode="#,##0.0;(#,##0.0);&quot;&quot;"/>
    <numFmt numFmtId="169" formatCode="0.0%"/>
    <numFmt numFmtId="170" formatCode="MMM-YY"/>
    <numFmt numFmtId="171" formatCode="0.000"/>
    <numFmt numFmtId="172" formatCode="0.0000"/>
    <numFmt numFmtId="173" formatCode="0.000000"/>
    <numFmt numFmtId="174" formatCode="0.00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</font>
    <font>
      <name val="Arial"/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indent="1"/>
    </xf>
    <xf numFmtId="0" fontId="4" fillId="0" borderId="0" pivotButton="0" quotePrefix="0" xfId="0"/>
    <xf numFmtId="165" fontId="5" fillId="0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" pivotButton="0" quotePrefix="0" xfId="0"/>
    <xf numFmtId="166" fontId="5" fillId="0" borderId="1" pivotButton="0" quotePrefix="0" xfId="0"/>
    <xf numFmtId="165" fontId="4" fillId="4" borderId="0" pivotButton="0" quotePrefix="0" xfId="0"/>
    <xf numFmtId="166" fontId="5" fillId="0" borderId="1" applyAlignment="1" pivotButton="0" quotePrefix="0" xfId="0">
      <alignment horizontal="center"/>
    </xf>
    <xf numFmtId="168" fontId="7" fillId="0" borderId="0" pivotButton="0" quotePrefix="0" xfId="0"/>
    <xf numFmtId="167" fontId="5" fillId="0" borderId="1" pivotButton="0" quotePrefix="0" xfId="0"/>
    <xf numFmtId="170" fontId="4" fillId="4" borderId="0" pivotButton="0" quotePrefix="0" xfId="0"/>
    <xf numFmtId="171" fontId="4" fillId="4" borderId="0" pivotButton="0" quotePrefix="0" xfId="0"/>
    <xf numFmtId="171" fontId="7" fillId="0" borderId="0" pivotButton="0" quotePrefix="0" xfId="0"/>
    <xf numFmtId="168" fontId="5" fillId="0" borderId="1" pivotButton="0" quotePrefix="0" xfId="0"/>
    <xf numFmtId="168" fontId="8" fillId="0" borderId="0" pivotButton="0" quotePrefix="0" xfId="0"/>
    <xf numFmtId="168" fontId="4" fillId="4" borderId="0" pivotButton="0" quotePrefix="0" xfId="0"/>
    <xf numFmtId="167" fontId="7" fillId="0" borderId="0" pivotButton="0" quotePrefix="0" xfId="0"/>
    <xf numFmtId="1" fontId="4" fillId="4" borderId="0" pivotButton="0" quotePrefix="0" xfId="0"/>
    <xf numFmtId="167" fontId="4" fillId="4" borderId="0" pivotButton="0" quotePrefix="0" xfId="0"/>
    <xf numFmtId="0" fontId="4" fillId="4" borderId="0" pivotButton="0" quotePrefix="0" xfId="0"/>
    <xf numFmtId="0" fontId="6" fillId="3" borderId="0" pivotButton="0" quotePrefix="0" xfId="0"/>
    <xf numFmtId="0" fontId="4" fillId="0" borderId="1" pivotButton="0" quotePrefix="0" xfId="0"/>
    <xf numFmtId="1" fontId="7" fillId="0" borderId="0" pivotButton="0" quotePrefix="0" xfId="0"/>
    <xf numFmtId="2" fontId="5" fillId="0" borderId="1" applyAlignment="1" pivotButton="0" quotePrefix="0" xfId="0">
      <alignment horizontal="center"/>
    </xf>
    <xf numFmtId="169" fontId="5" fillId="0" borderId="1" applyAlignment="1" pivotButton="0" quotePrefix="0" xfId="0">
      <alignment horizontal="center"/>
    </xf>
    <xf numFmtId="0" fontId="9" fillId="3" borderId="0" pivotButton="0" quotePrefix="0" xfId="0"/>
    <xf numFmtId="0" fontId="3" fillId="2" borderId="0" pivotButton="0" quotePrefix="0" xfId="0"/>
    <xf numFmtId="172" fontId="4" fillId="4" borderId="0" pivotButton="0" quotePrefix="0" xfId="0"/>
    <xf numFmtId="173" fontId="4" fillId="4" borderId="0" pivotButton="0" quotePrefix="0" xfId="0"/>
    <xf numFmtId="17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SOFR step paths (%)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'MODEL'!$A$51:$A$86</f>
            </numRef>
          </cat>
          <val>
            <numRef>
              <f>'MODEL'!$P$51:$P$86</f>
            </numRef>
          </val>
          <smooth val="0"/>
        </ser>
        <ser>
          <idx val="1"/>
          <order val="1"/>
          <tx>
            <strRef>
              <f>'MODEL'!X50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'MODEL'!$A$51:$A$86</f>
            </numRef>
          </cat>
          <val>
            <numRef>
              <f>'MODEL'!$X$51:$X$86</f>
            </numRef>
          </val>
          <smooth val="0"/>
        </ser>
        <ser>
          <idx val="2"/>
          <order val="2"/>
          <tx>
            <strRef>
              <f>'MODEL'!AF50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'MODEL'!$A$51:$A$86</f>
            </numRef>
          </cat>
          <val>
            <numRef>
              <f>'MODEL'!$AF$51:$AF$86</f>
            </numRef>
          </val>
          <smooth val="0"/>
        </ser>
        <ser>
          <idx val="3"/>
          <order val="3"/>
          <tx>
            <strRef>
              <f>'MODEL'!AN50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'MODEL'!$A$51:$A$86</f>
            </numRef>
          </cat>
          <val>
            <numRef>
              <f>'MODEL'!$AN$51:$AN$86</f>
            </numRef>
          </val>
          <smooth val="0"/>
        </ser>
        <ser>
          <idx val="4"/>
          <order val="4"/>
          <tx>
            <strRef>
              <f>'MODEL'!AV50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'MODEL'!$A$51:$A$86</f>
            </numRef>
          </cat>
          <val>
            <numRef>
              <f>'MODEL'!$AV$51:$AV$86</f>
            </numRef>
          </val>
          <smooth val="0"/>
        </ser>
        <ser>
          <idx val="5"/>
          <order val="5"/>
          <tx>
            <strRef>
              <f>'MODEL'!BD50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'MODEL'!$A$51:$A$86</f>
            </numRef>
          </cat>
          <val>
            <numRef>
              <f>'MODEL'!$BD$51:$BD$86</f>
            </numRef>
          </val>
          <smooth val="0"/>
        </ser>
        <ser>
          <idx val="6"/>
          <order val="6"/>
          <tx>
            <strRef>
              <f>'MODEL'!BL50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'MODEL'!$A$51:$A$86</f>
            </numRef>
          </cat>
          <val>
            <numRef>
              <f>'MODEL'!$BL$51:$BL$86</f>
            </numRef>
          </val>
          <smooth val="0"/>
        </ser>
        <ser>
          <idx val="7"/>
          <order val="7"/>
          <tx>
            <strRef>
              <f>'MODEL'!BT50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'MODEL'!$A$51:$A$86</f>
            </numRef>
          </cat>
          <val>
            <numRef>
              <f>'MODEL'!$BT$51:$BT$86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Efficiency — expected NII vs volatility along hedge ratio</a:t>
            </a:r>
          </a:p>
        </rich>
      </tx>
    </title>
    <plotArea>
      <scatterChart>
        <ser>
          <idx val="0"/>
          <order val="0"/>
          <tx>
            <v>IRS 0→100%</v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'MODEL'!$AB$20:$AB$30</f>
            </numRef>
          </xVal>
          <yVal>
            <numRef>
              <f>'MODEL'!$AA$20:$AA$30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NII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Convergence cone — NII vs IRS notional %</a:t>
            </a:r>
          </a:p>
        </rich>
      </tx>
    </title>
    <plotArea>
      <lineChart>
        <grouping val="standard"/>
        <ser>
          <idx val="0"/>
          <order val="0"/>
          <tx>
            <strRef>
              <f>'MODEL'!R19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'MODEL'!$Q$20:$Q$30</f>
            </numRef>
          </cat>
          <val>
            <numRef>
              <f>'MODEL'!$R$20:$R$30</f>
            </numRef>
          </val>
          <smooth val="0"/>
        </ser>
        <ser>
          <idx val="1"/>
          <order val="1"/>
          <tx>
            <strRef>
              <f>'MODEL'!S19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'MODEL'!$Q$20:$Q$30</f>
            </numRef>
          </cat>
          <val>
            <numRef>
              <f>'MODEL'!$S$20:$S$30</f>
            </numRef>
          </val>
          <smooth val="0"/>
        </ser>
        <ser>
          <idx val="2"/>
          <order val="2"/>
          <tx>
            <strRef>
              <f>'MODEL'!T19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'MODEL'!$Q$20:$Q$30</f>
            </numRef>
          </cat>
          <val>
            <numRef>
              <f>'MODEL'!$T$20:$T$30</f>
            </numRef>
          </val>
          <smooth val="0"/>
        </ser>
        <ser>
          <idx val="3"/>
          <order val="3"/>
          <tx>
            <strRef>
              <f>'MODEL'!U19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'MODEL'!$Q$20:$Q$30</f>
            </numRef>
          </cat>
          <val>
            <numRef>
              <f>'MODEL'!$U$20:$U$30</f>
            </numRef>
          </val>
          <smooth val="0"/>
        </ser>
        <ser>
          <idx val="4"/>
          <order val="4"/>
          <tx>
            <strRef>
              <f>'MODEL'!V19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'MODEL'!$Q$20:$Q$30</f>
            </numRef>
          </cat>
          <val>
            <numRef>
              <f>'MODEL'!$V$20:$V$30</f>
            </numRef>
          </val>
          <smooth val="0"/>
        </ser>
        <ser>
          <idx val="5"/>
          <order val="5"/>
          <tx>
            <strRef>
              <f>'MODEL'!W19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'MODEL'!$Q$20:$Q$30</f>
            </numRef>
          </cat>
          <val>
            <numRef>
              <f>'MODEL'!$W$20:$W$30</f>
            </numRef>
          </val>
          <smooth val="0"/>
        </ser>
        <ser>
          <idx val="6"/>
          <order val="6"/>
          <tx>
            <strRef>
              <f>'MODEL'!X19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'MODEL'!$Q$20:$Q$30</f>
            </numRef>
          </cat>
          <val>
            <numRef>
              <f>'MODEL'!$X$20:$X$30</f>
            </numRef>
          </val>
          <smooth val="0"/>
        </ser>
        <ser>
          <idx val="7"/>
          <order val="7"/>
          <tx>
            <strRef>
              <f>'MODEL'!Y19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'MODEL'!$Q$20:$Q$30</f>
            </numRef>
          </cat>
          <val>
            <numRef>
              <f>'MODEL'!$Y$20:$Y$30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Interest expense — composition by issue ($mm/month)</a:t>
            </a:r>
          </a:p>
        </rich>
      </tx>
    </title>
    <plotArea>
      <areaChart>
        <grouping val="stacked"/>
        <ser>
          <idx val="0"/>
          <order val="0"/>
          <tx>
            <strRef>
              <f>'MODEL'!D50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'MODEL'!$D$51:$D$86</f>
            </numRef>
          </val>
        </ser>
        <ser>
          <idx val="1"/>
          <order val="1"/>
          <tx>
            <strRef>
              <f>'MODEL'!E50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'MODEL'!$E$51:$E$86</f>
            </numRef>
          </val>
        </ser>
        <ser>
          <idx val="2"/>
          <order val="2"/>
          <tx>
            <strRef>
              <f>'MODEL'!F50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'MODEL'!$F$51:$F$86</f>
            </numRef>
          </val>
        </ser>
        <ser>
          <idx val="3"/>
          <order val="3"/>
          <tx>
            <strRef>
              <f>'MODEL'!G50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'MODEL'!$G$51:$G$86</f>
            </numRef>
          </val>
        </ser>
        <ser>
          <idx val="4"/>
          <order val="4"/>
          <tx>
            <strRef>
              <f>'MODEL'!H50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'MODEL'!$H$51:$H$86</f>
            </numRef>
          </val>
        </ser>
        <ser>
          <idx val="5"/>
          <order val="5"/>
          <tx>
            <strRef>
              <f>'MODEL'!I50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'MODEL'!$I$51:$I$86</f>
            </numRef>
          </val>
        </ser>
        <ser>
          <idx val="6"/>
          <order val="6"/>
          <tx>
            <strRef>
              <f>'MODEL'!J50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'MODEL'!$J$51:$J$86</f>
            </numRef>
          </val>
        </ser>
        <ser>
          <idx val="7"/>
          <order val="7"/>
          <tx>
            <strRef>
              <f>'MODEL'!K50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'MODEL'!$K$51:$K$86</f>
            </numRef>
          </val>
        </ser>
        <ser>
          <idx val="8"/>
          <order val="8"/>
          <tx>
            <strRef>
              <f>'MODEL'!L50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'MODEL'!$L$51:$L$86</f>
            </numRef>
          </val>
        </ser>
        <ser>
          <idx val="9"/>
          <order val="9"/>
          <tx>
            <strRef>
              <f>'MODEL'!M50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'MODEL'!$M$51:$M$86</f>
            </numRef>
          </val>
        </ser>
        <ser>
          <idx val="10"/>
          <order val="10"/>
          <tx>
            <strRef>
              <f>'MODEL'!N50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'MODEL'!$N$51:$N$86</f>
            </numRef>
          </val>
        </ser>
        <ser>
          <idx val="11"/>
          <order val="11"/>
          <tx>
            <strRef>
              <f>'MODEL'!O50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'MODEL'!$A$51:$A$86</f>
            </numRef>
          </cat>
          <val>
            <numRef>
              <f>'MODEL'!$O$51:$O$86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Cashflow composition (selected scenario)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'MODEL'!AF6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'MODEL'!$AE$7:$AE$42</f>
            </numRef>
          </cat>
          <val>
            <numRef>
              <f>'MODEL'!$AF$7:$AF$42</f>
            </numRef>
          </val>
        </ser>
        <ser>
          <idx val="1"/>
          <order val="1"/>
          <tx>
            <strRef>
              <f>'MODEL'!AG6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'MODEL'!$AE$7:$AE$42</f>
            </numRef>
          </cat>
          <val>
            <numRef>
              <f>'MODEL'!$AG$7:$AG$42</f>
            </numRef>
          </val>
        </ser>
        <ser>
          <idx val="2"/>
          <order val="2"/>
          <tx>
            <strRef>
              <f>'MODEL'!AH6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'MODEL'!$AE$7:$AE$42</f>
            </numRef>
          </cat>
          <val>
            <numRef>
              <f>'MODEL'!$AH$7:$AH$42</f>
            </numRef>
          </val>
        </ser>
        <ser>
          <idx val="3"/>
          <order val="3"/>
          <tx>
            <strRef>
              <f>'MODEL'!AI6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'MODEL'!$AE$7:$AE$42</f>
            </numRef>
          </cat>
          <val>
            <numRef>
              <f>'MODEL'!$AI$7:$AI$42</f>
            </numRef>
          </val>
        </ser>
        <ser>
          <idx val="4"/>
          <order val="4"/>
          <tx>
            <strRef>
              <f>'MODEL'!AJ6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'MODEL'!$AE$7:$AE$42</f>
            </numRef>
          </cat>
          <val>
            <numRef>
              <f>'MODEL'!$AJ$7:$AJ$42</f>
            </numRef>
          </val>
        </ser>
        <ser>
          <idx val="5"/>
          <order val="5"/>
          <tx>
            <strRef>
              <f>'MODEL'!AK6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'MODEL'!$AE$7:$AE$42</f>
            </numRef>
          </cat>
          <val>
            <numRef>
              <f>'MODEL'!$AK$7:$AK$42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NII by month (selected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'MODEL'!AL6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'MODEL'!$AE$7:$AE$42</f>
            </numRef>
          </cat>
          <val>
            <numRef>
              <f>'MODEL'!$AL$7:$AL$42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RONIN</author>
  </authors>
  <commentList>
    <comment ref="B5" authorId="0" shapeId="0">
      <text>
        <t>IMPACT: Anchors the monthly grid; every date-driven calculation shifts with it.</t>
      </text>
    </comment>
    <comment ref="H5" authorId="0" shapeId="0">
      <text>
        <t>IMPACT: Scenario name; flows to every header and chart legend. Set its weight to 0 to disable.</t>
      </text>
    </comment>
    <comment ref="I5" authorId="0" shapeId="0">
      <text>
        <t>IMPACT: Scenario name; flows to every header and chart legend. Set its weight to 0 to disable.</t>
      </text>
    </comment>
    <comment ref="J5" authorId="0" shapeId="0">
      <text>
        <t>IMPACT: Scenario name; flows to every header and chart legend. Set its weight to 0 to disable.</t>
      </text>
    </comment>
    <comment ref="K5" authorId="0" shapeId="0">
      <text>
        <t>IMPACT: Scenario name; flows to every header and chart legend. Set its weight to 0 to disable.</t>
      </text>
    </comment>
    <comment ref="L5" authorId="0" shapeId="0">
      <text>
        <t>IMPACT: Scenario name; flows to every header and chart legend. Set its weight to 0 to disable.</t>
      </text>
    </comment>
    <comment ref="M5" authorId="0" shapeId="0">
      <text>
        <t>IMPACT: Scenario name; flows to every header and chart legend. Set its weight to 0 to disable.</t>
      </text>
    </comment>
    <comment ref="N5" authorId="0" shapeId="0">
      <text>
        <t>IMPACT: Scenario name; flows to every header and chart legend. Set its weight to 0 to disable.</t>
      </text>
    </comment>
    <comment ref="O5" authorId="0" shapeId="0">
      <text>
        <t>IMPACT: Scenario name; flows to every header and chart legend. Set its weight to 0 to disable.</t>
      </text>
    </comment>
    <comment ref="AF5" authorId="0" shapeId="0">
      <text>
        <t>IMPACT: Drives the composition table, composition chart and NET chart.</t>
      </text>
    </comment>
    <comment ref="B6" authorId="0" shapeId="0">
      <text>
        <t>IMPACT: Length of the horizon. The grid truncates automatically - income, swap and bond cost stop accruing past it.</t>
      </text>
    </comment>
    <comment ref="F6" authorId="0" shapeId="0">
      <text>
        <t>IMPACT: FOMC decision date; the move is effective next day. Blank = ignored.</t>
      </text>
    </comment>
    <comment ref="H6" authorId="0" shapeId="0">
      <text>
        <t>IMPACT: Move in bps at this meeting under this scenario.</t>
      </text>
    </comment>
    <comment ref="B7" authorId="0" shapeId="0">
      <text>
        <t>IMPACT: Day-0 rate; sets the level of every scenario path and floating leg.</t>
      </text>
    </comment>
    <comment ref="B8" authorId="0" shapeId="0">
      <text>
        <t>IMPACT: Opening balance. Interest accrues into it, so later months earn on a larger base. IRS notional is % of this initial amount.</t>
      </text>
    </comment>
    <comment ref="B9" authorId="0" shapeId="0">
      <text>
        <t>IMPACT: Pass-through of SOFR moves to deposit rates. Below 1.0 dampens scenario differences on the cash side.</t>
      </text>
    </comment>
    <comment ref="B10" authorId="0" shapeId="0">
      <text>
        <t>IMPACT: Liquidity floor held overnight. Raising it shortens the book: faster repricing, more cut exposure.</t>
      </text>
    </comment>
    <comment ref="B11" authorId="0" shapeId="0">
      <text>
        <t>IMPACT: RCV fixed gains when rates fall (hedges this asset-sensitive book); PAY is the mirror.</t>
      </text>
    </comment>
    <comment ref="B12" authorId="0" shapeId="0">
      <text>
        <t>IMPACT: Traded mid. Its gap to the scenario-fair rate (output) is the carry cost of hedging - it shapes the whole analysis.</t>
      </text>
    </comment>
    <comment ref="B13" authorId="0" shapeId="0">
      <text>
        <t>IMPACT: Added to SOFR on the floating leg; positive spread reduces receive-fixed value bp-for-bp.</t>
      </text>
    </comment>
    <comment ref="B14" authorId="0" shapeId="0">
      <text>
        <t>IMPACT: The hedge ratio. See the efficiency and cone charts for what each level buys.</t>
      </text>
    </comment>
    <comment ref="B18" authorId="0" shapeId="0">
      <text>
        <t>IMPACT: Overnight: reprices daily - first hurt by cuts, first helped by hikes.</t>
      </text>
    </comment>
    <comment ref="C18" authorId="0" shapeId="0">
      <text>
        <t>IMPACT: Margin over SOFR in this bucket; raising it favors this tenor in every scenario.</t>
      </text>
    </comment>
    <comment ref="B19" authorId="0" shapeId="0">
      <text>
        <t>IMPACT: 1M rolling: ~1 month repricing lag.</t>
      </text>
    </comment>
    <comment ref="C19" authorId="0" shapeId="0">
      <text>
        <t>IMPACT: Margin over SOFR in this bucket; raising it favors this tenor in every scenario.</t>
      </text>
    </comment>
    <comment ref="B20" authorId="0" shapeId="0">
      <text>
        <t>IMPACT: 2M rolling: ~2 month lag.</t>
      </text>
    </comment>
    <comment ref="C20" authorId="0" shapeId="0">
      <text>
        <t>IMPACT: Margin over SOFR in this bucket; raising it favors this tenor in every scenario.</t>
      </text>
    </comment>
    <comment ref="B21" authorId="0" shapeId="0">
      <text>
        <t>IMPACT: 3M rolling: slowest repricing - most income protection in cuts.</t>
      </text>
    </comment>
    <comment ref="C21" authorId="0" shapeId="0">
      <text>
        <t>IMPACT: Margin over SOFR in this bucket; raising it favors this tenor in every scenario.</t>
      </text>
    </comment>
    <comment ref="B26" authorId="0" shapeId="0">
      <text>
        <t>IMPACT: Each issue is a band in the expense chart. Constant across scenarios: sets the NII level, not its dispersion.</t>
      </text>
    </comment>
    <comment ref="S31" authorId="0" shapeId="0">
      <text>
        <t>IMPACT: The hedge ratio where weighted scenarios converge most - the cone's pinch.</t>
      </text>
    </comment>
    <comment ref="H37" authorId="0" shapeId="0">
      <text>
        <t>IMPACT: Multiplies every move in this column - 2.0 doubles the path, 0.5 halves it. Cheap scenario expansion.</t>
      </text>
    </comment>
    <comment ref="I37" authorId="0" shapeId="0">
      <text>
        <t>IMPACT: Multiplies every move in this column - 2.0 doubles the path, 0.5 halves it. Cheap scenario expansion.</t>
      </text>
    </comment>
    <comment ref="J37" authorId="0" shapeId="0">
      <text>
        <t>IMPACT: Multiplies every move in this column - 2.0 doubles the path, 0.5 halves it. Cheap scenario expansion.</t>
      </text>
    </comment>
    <comment ref="K37" authorId="0" shapeId="0">
      <text>
        <t>IMPACT: Multiplies every move in this column - 2.0 doubles the path, 0.5 halves it. Cheap scenario expansion.</t>
      </text>
    </comment>
    <comment ref="L37" authorId="0" shapeId="0">
      <text>
        <t>IMPACT: Multiplies every move in this column - 2.0 doubles the path, 0.5 halves it. Cheap scenario expansion.</t>
      </text>
    </comment>
    <comment ref="M37" authorId="0" shapeId="0">
      <text>
        <t>IMPACT: Multiplies every move in this column - 2.0 doubles the path, 0.5 halves it. Cheap scenario expansion.</t>
      </text>
    </comment>
    <comment ref="N37" authorId="0" shapeId="0">
      <text>
        <t>IMPACT: Multiplies every move in this column - 2.0 doubles the path, 0.5 halves it. Cheap scenario expansion.</t>
      </text>
    </comment>
    <comment ref="O37" authorId="0" shapeId="0">
      <text>
        <t>IMPACT: Multiplies every move in this column - 2.0 doubles the path, 0.5 halves it. Cheap scenario expansion.</t>
      </text>
    </comment>
    <comment ref="H38" authorId="0" shapeId="0">
      <text>
        <t>IMPACT: Probability. Drives expected NII and volatility; 0 removes the scenario from worst/best too. Sum to 100%.</t>
      </text>
    </comment>
    <comment ref="I38" authorId="0" shapeId="0">
      <text>
        <t>IMPACT: Probability. Drives expected NII and volatility; 0 removes the scenario from worst/best too. Sum to 100%.</t>
      </text>
    </comment>
    <comment ref="J38" authorId="0" shapeId="0">
      <text>
        <t>IMPACT: Probability. Drives expected NII and volatility; 0 removes the scenario from worst/best too. Sum to 100%.</t>
      </text>
    </comment>
    <comment ref="K38" authorId="0" shapeId="0">
      <text>
        <t>IMPACT: Probability. Drives expected NII and volatility; 0 removes the scenario from worst/best too. Sum to 100%.</t>
      </text>
    </comment>
    <comment ref="L38" authorId="0" shapeId="0">
      <text>
        <t>IMPACT: Probability. Drives expected NII and volatility; 0 removes the scenario from worst/best too. Sum to 100%.</t>
      </text>
    </comment>
    <comment ref="M38" authorId="0" shapeId="0">
      <text>
        <t>IMPACT: Probability. Drives expected NII and volatility; 0 removes the scenario from worst/best too. Sum to 100%.</t>
      </text>
    </comment>
    <comment ref="N38" authorId="0" shapeId="0">
      <text>
        <t>IMPACT: Probability. Drives expected NII and volatility; 0 removes the scenario from worst/best too. Sum to 100%.</t>
      </text>
    </comment>
    <comment ref="O38" authorId="0" shapeId="0">
      <text>
        <t>IMPACT: Probability. Drives expected NII and volatility; 0 removes the scenario from worst/best too. Sum to 100%.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91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91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91</row>
      <rowOff>0</rowOff>
    </from>
    <ext cx="54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110</row>
      <rowOff>0</rowOff>
    </from>
    <ext cx="54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110</row>
      <rowOff>0</rowOff>
    </from>
    <ext cx="54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18</col>
      <colOff>0</colOff>
      <row>110</row>
      <rowOff>0</rowOff>
    </from>
    <ext cx="540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9" customWidth="1" min="3" max="3"/>
    <col width="12" customWidth="1" min="4" max="4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4" customWidth="1" min="17" max="17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</cols>
  <sheetData>
    <row r="1">
      <c r="A1" s="1" t="inlineStr">
        <is>
          <t>NII EFFICIENT FRONTIER — LITE v4.0</t>
        </is>
      </c>
    </row>
    <row r="2">
      <c r="A2" s="2" t="inlineStr">
        <is>
          <t>Single tab · live formulas · no macros. Blue cells are inputs — hover any for its impact. Blank FOMC/bond rows are ignored; set a scenario's weight to 0 to disable it. Deposit interest accrues into the balance (compounding). Monthly grid, ACT/360, bonds 30/360. Illustrative only.</t>
        </is>
      </c>
    </row>
    <row r="4">
      <c r="A4" s="3" t="inlineStr">
        <is>
          <t>INPUTS</t>
        </is>
      </c>
      <c r="F4" s="3" t="inlineStr">
        <is>
          <t>FED SCENARIOS — bps per decision · names, dates, moves, scale and weights all editable</t>
        </is>
      </c>
      <c r="Q4" s="3" t="inlineStr">
        <is>
          <t>RESULTS — HORIZON TOTALS ($MM)</t>
        </is>
      </c>
      <c r="AE4" s="3" t="inlineStr">
        <is>
          <t>CASHFLOW COMPOSITION</t>
        </is>
      </c>
    </row>
    <row r="5">
      <c r="A5" s="4" t="inlineStr">
        <is>
          <t>Start month (1st)</t>
        </is>
      </c>
      <c r="B5" s="5" t="n">
        <v>46204</v>
      </c>
      <c r="F5" s="6" t="inlineStr">
        <is>
          <t>Decision</t>
        </is>
      </c>
      <c r="G5" s="6" t="inlineStr">
        <is>
          <t>Effective</t>
        </is>
      </c>
      <c r="H5" s="7" t="inlineStr">
        <is>
          <t>Flat</t>
        </is>
      </c>
      <c r="I5" s="7" t="inlineStr">
        <is>
          <t>Gradual cuts</t>
        </is>
      </c>
      <c r="J5" s="7" t="inlineStr">
        <is>
          <t>Faster cuts</t>
        </is>
      </c>
      <c r="K5" s="7" t="inlineStr">
        <is>
          <t>Deep cuts</t>
        </is>
      </c>
      <c r="L5" s="7" t="inlineStr">
        <is>
          <t>Delayed cuts</t>
        </is>
      </c>
      <c r="M5" s="7" t="inlineStr">
        <is>
          <t>Higher for longer</t>
        </is>
      </c>
      <c r="N5" s="7" t="inlineStr">
        <is>
          <t>Hike</t>
        </is>
      </c>
      <c r="O5" s="7" t="inlineStr">
        <is>
          <t>Aggressive hikes</t>
        </is>
      </c>
      <c r="R5" s="8">
        <f>H5</f>
        <v/>
      </c>
      <c r="S5" s="8">
        <f>I5</f>
        <v/>
      </c>
      <c r="T5" s="8">
        <f>J5</f>
        <v/>
      </c>
      <c r="U5" s="8">
        <f>K5</f>
        <v/>
      </c>
      <c r="V5" s="8">
        <f>L5</f>
        <v/>
      </c>
      <c r="W5" s="8">
        <f>M5</f>
        <v/>
      </c>
      <c r="X5" s="8">
        <f>N5</f>
        <v/>
      </c>
      <c r="Y5" s="8">
        <f>O5</f>
        <v/>
      </c>
      <c r="AE5" s="6" t="inlineStr">
        <is>
          <t>Scenario:</t>
        </is>
      </c>
      <c r="AF5" s="9" t="inlineStr">
        <is>
          <t>Faster cuts</t>
        </is>
      </c>
    </row>
    <row r="6">
      <c r="A6" s="4" t="inlineStr">
        <is>
          <t>Analysis tenor (months, 6-36)</t>
        </is>
      </c>
      <c r="B6" s="10" t="n">
        <v>24</v>
      </c>
      <c r="F6" s="5" t="n">
        <v>46190</v>
      </c>
      <c r="G6" s="11">
        <f>IF(F6="","",F6+1)</f>
        <v/>
      </c>
      <c r="H6" s="12" t="n">
        <v>0</v>
      </c>
      <c r="I6" s="12" t="n">
        <v>-25</v>
      </c>
      <c r="J6" s="12" t="n">
        <v>-25</v>
      </c>
      <c r="K6" s="12" t="n">
        <v>-50</v>
      </c>
      <c r="L6" s="12" t="n">
        <v>0</v>
      </c>
      <c r="M6" s="12" t="n">
        <v>0</v>
      </c>
      <c r="N6" s="12" t="n">
        <v>25</v>
      </c>
      <c r="O6" s="12" t="n">
        <v>25</v>
      </c>
      <c r="Q6" s="4" t="inlineStr">
        <is>
          <t>Deposit income</t>
        </is>
      </c>
      <c r="R6" s="13">
        <f>V$88</f>
        <v/>
      </c>
      <c r="S6" s="13">
        <f>AD$88</f>
        <v/>
      </c>
      <c r="T6" s="13">
        <f>AL$88</f>
        <v/>
      </c>
      <c r="U6" s="13">
        <f>AT$88</f>
        <v/>
      </c>
      <c r="V6" s="13">
        <f>BB$88</f>
        <v/>
      </c>
      <c r="W6" s="13">
        <f>BJ$88</f>
        <v/>
      </c>
      <c r="X6" s="13">
        <f>BR$88</f>
        <v/>
      </c>
      <c r="Y6" s="13">
        <f>BZ$88</f>
        <v/>
      </c>
      <c r="AE6" s="6" t="inlineStr">
        <is>
          <t>Month</t>
        </is>
      </c>
      <c r="AF6" s="6" t="inlineStr">
        <is>
          <t>ON</t>
        </is>
      </c>
      <c r="AG6" s="6" t="inlineStr">
        <is>
          <t>1M</t>
        </is>
      </c>
      <c r="AH6" s="6" t="inlineStr">
        <is>
          <t>2M</t>
        </is>
      </c>
      <c r="AI6" s="6" t="inlineStr">
        <is>
          <t>3M</t>
        </is>
      </c>
      <c r="AJ6" s="6" t="inlineStr">
        <is>
          <t>SWAP</t>
        </is>
      </c>
      <c r="AK6" s="6" t="inlineStr">
        <is>
          <t>BOND</t>
        </is>
      </c>
      <c r="AL6" s="6" t="inlineStr">
        <is>
          <t>NET</t>
        </is>
      </c>
    </row>
    <row r="7">
      <c r="A7" s="4" t="inlineStr">
        <is>
          <t>Initial SOFR (%)</t>
        </is>
      </c>
      <c r="B7" s="14" t="n">
        <v>3.8</v>
      </c>
      <c r="F7" s="5" t="n">
        <v>46232</v>
      </c>
      <c r="G7" s="11">
        <f>IF(F7="","",F7+1)</f>
        <v/>
      </c>
      <c r="H7" s="12" t="n">
        <v>0</v>
      </c>
      <c r="I7" s="12" t="n">
        <v>0</v>
      </c>
      <c r="J7" s="12" t="n">
        <v>-25</v>
      </c>
      <c r="K7" s="12" t="n">
        <v>-50</v>
      </c>
      <c r="L7" s="12" t="n">
        <v>0</v>
      </c>
      <c r="M7" s="12" t="n">
        <v>0</v>
      </c>
      <c r="N7" s="12" t="n">
        <v>25</v>
      </c>
      <c r="O7" s="12" t="n">
        <v>25</v>
      </c>
      <c r="Q7" s="4" t="inlineStr">
        <is>
          <t>Swap net</t>
        </is>
      </c>
      <c r="R7" s="13">
        <f>$B$14/100*$B$8*W$88</f>
        <v/>
      </c>
      <c r="S7" s="13">
        <f>$B$14/100*$B$8*AE$88</f>
        <v/>
      </c>
      <c r="T7" s="13">
        <f>$B$14/100*$B$8*AM$88</f>
        <v/>
      </c>
      <c r="U7" s="13">
        <f>$B$14/100*$B$8*AU$88</f>
        <v/>
      </c>
      <c r="V7" s="13">
        <f>$B$14/100*$B$8*BC$88</f>
        <v/>
      </c>
      <c r="W7" s="13">
        <f>$B$14/100*$B$8*BK$88</f>
        <v/>
      </c>
      <c r="X7" s="13">
        <f>$B$14/100*$B$8*BS$88</f>
        <v/>
      </c>
      <c r="Y7" s="13">
        <f>$B$14/100*$B$8*CA$88</f>
        <v/>
      </c>
      <c r="AE7" s="15">
        <f>A51</f>
        <v/>
      </c>
      <c r="AF7" s="16">
        <f>$B$18/$B$8*INDEX($A51:$CB51,16+(MATCH($AF$5,$R$5:$Y$5,0)-1)*8+5)*INDEX($A51:$CB51,16+(MATCH($AF$5,$R$5:$Y$5,0)-1)*8+1)/100*$B51/360</f>
        <v/>
      </c>
      <c r="AG7" s="16">
        <f>$B$19/$B$8*INDEX($A51:$CB51,16+(MATCH($AF$5,$R$5:$Y$5,0)-1)*8+5)*INDEX($A51:$CB51,16+(MATCH($AF$5,$R$5:$Y$5,0)-1)*8+2)/100*$B51/360</f>
        <v/>
      </c>
      <c r="AH7" s="16">
        <f>$B$20/$B$8*INDEX($A51:$CB51,16+(MATCH($AF$5,$R$5:$Y$5,0)-1)*8+5)*INDEX($A51:$CB51,16+(MATCH($AF$5,$R$5:$Y$5,0)-1)*8+3)/100*$B51/360</f>
        <v/>
      </c>
      <c r="AI7" s="16">
        <f>$B$21/$B$8*INDEX($A51:$CB51,16+(MATCH($AF$5,$R$5:$Y$5,0)-1)*8+5)*INDEX($A51:$CB51,16+(MATCH($AF$5,$R$5:$Y$5,0)-1)*8+4)/100*$B51/360</f>
        <v/>
      </c>
      <c r="AJ7" s="16">
        <f>$B$14/100*$B$8*INDEX($A51:$CB51,16+(MATCH($AF$5,$R$5:$Y$5,0)-1)*8+7)</f>
        <v/>
      </c>
      <c r="AK7" s="16">
        <f>-$C51</f>
        <v/>
      </c>
      <c r="AL7" s="17">
        <f>SUM(AF7:AK7)</f>
        <v/>
      </c>
    </row>
    <row r="8">
      <c r="A8" s="4" t="inlineStr">
        <is>
          <t>Total cash ($mm)</t>
        </is>
      </c>
      <c r="B8" s="18" t="n">
        <v>500</v>
      </c>
      <c r="F8" s="5" t="n">
        <v>46281</v>
      </c>
      <c r="G8" s="11">
        <f>IF(F8="","",F8+1)</f>
        <v/>
      </c>
      <c r="H8" s="12" t="n">
        <v>0</v>
      </c>
      <c r="I8" s="12" t="n">
        <v>-25</v>
      </c>
      <c r="J8" s="12" t="n">
        <v>-25</v>
      </c>
      <c r="K8" s="12" t="n">
        <v>-50</v>
      </c>
      <c r="L8" s="12" t="n">
        <v>0</v>
      </c>
      <c r="M8" s="12" t="n">
        <v>0</v>
      </c>
      <c r="N8" s="12" t="n">
        <v>0</v>
      </c>
      <c r="O8" s="12" t="n">
        <v>25</v>
      </c>
      <c r="Q8" s="4" t="inlineStr">
        <is>
          <t>Bond cost</t>
        </is>
      </c>
      <c r="R8" s="13">
        <f>$C$88</f>
        <v/>
      </c>
      <c r="S8" s="13">
        <f>$C$88</f>
        <v/>
      </c>
      <c r="T8" s="13">
        <f>$C$88</f>
        <v/>
      </c>
      <c r="U8" s="13">
        <f>$C$88</f>
        <v/>
      </c>
      <c r="V8" s="13">
        <f>$C$88</f>
        <v/>
      </c>
      <c r="W8" s="13">
        <f>$C$88</f>
        <v/>
      </c>
      <c r="X8" s="13">
        <f>$C$88</f>
        <v/>
      </c>
      <c r="Y8" s="13">
        <f>$C$88</f>
        <v/>
      </c>
      <c r="AE8" s="15">
        <f>A52</f>
        <v/>
      </c>
      <c r="AF8" s="16">
        <f>$B$18/$B$8*INDEX($A52:$CB52,16+(MATCH($AF$5,$R$5:$Y$5,0)-1)*8+5)*INDEX($A52:$CB52,16+(MATCH($AF$5,$R$5:$Y$5,0)-1)*8+1)/100*$B52/360</f>
        <v/>
      </c>
      <c r="AG8" s="16">
        <f>$B$19/$B$8*INDEX($A52:$CB52,16+(MATCH($AF$5,$R$5:$Y$5,0)-1)*8+5)*INDEX($A52:$CB52,16+(MATCH($AF$5,$R$5:$Y$5,0)-1)*8+2)/100*$B52/360</f>
        <v/>
      </c>
      <c r="AH8" s="16">
        <f>$B$20/$B$8*INDEX($A52:$CB52,16+(MATCH($AF$5,$R$5:$Y$5,0)-1)*8+5)*INDEX($A52:$CB52,16+(MATCH($AF$5,$R$5:$Y$5,0)-1)*8+3)/100*$B52/360</f>
        <v/>
      </c>
      <c r="AI8" s="16">
        <f>$B$21/$B$8*INDEX($A52:$CB52,16+(MATCH($AF$5,$R$5:$Y$5,0)-1)*8+5)*INDEX($A52:$CB52,16+(MATCH($AF$5,$R$5:$Y$5,0)-1)*8+4)/100*$B52/360</f>
        <v/>
      </c>
      <c r="AJ8" s="16">
        <f>$B$14/100*$B$8*INDEX($A52:$CB52,16+(MATCH($AF$5,$R$5:$Y$5,0)-1)*8+7)</f>
        <v/>
      </c>
      <c r="AK8" s="16">
        <f>-$C52</f>
        <v/>
      </c>
      <c r="AL8" s="17">
        <f>SUM(AF8:AK8)</f>
        <v/>
      </c>
    </row>
    <row r="9">
      <c r="A9" s="4" t="inlineStr">
        <is>
          <t>Deposit beta</t>
        </is>
      </c>
      <c r="B9" s="14" t="n">
        <v>1</v>
      </c>
      <c r="F9" s="5" t="n">
        <v>46323</v>
      </c>
      <c r="G9" s="11">
        <f>IF(F9="","",F9+1)</f>
        <v/>
      </c>
      <c r="H9" s="12" t="n">
        <v>0</v>
      </c>
      <c r="I9" s="12" t="n">
        <v>0</v>
      </c>
      <c r="J9" s="12" t="n">
        <v>-25</v>
      </c>
      <c r="K9" s="12" t="n">
        <v>-50</v>
      </c>
      <c r="L9" s="12" t="n">
        <v>0</v>
      </c>
      <c r="M9" s="12" t="n">
        <v>0</v>
      </c>
      <c r="N9" s="12" t="n">
        <v>0</v>
      </c>
      <c r="O9" s="12" t="n">
        <v>25</v>
      </c>
      <c r="Q9" s="4" t="inlineStr">
        <is>
          <t>NII total</t>
        </is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AE9" s="15">
        <f>A53</f>
        <v/>
      </c>
      <c r="AF9" s="16">
        <f>$B$18/$B$8*INDEX($A53:$CB53,16+(MATCH($AF$5,$R$5:$Y$5,0)-1)*8+5)*INDEX($A53:$CB53,16+(MATCH($AF$5,$R$5:$Y$5,0)-1)*8+1)/100*$B53/360</f>
        <v/>
      </c>
      <c r="AG9" s="16">
        <f>$B$19/$B$8*INDEX($A53:$CB53,16+(MATCH($AF$5,$R$5:$Y$5,0)-1)*8+5)*INDEX($A53:$CB53,16+(MATCH($AF$5,$R$5:$Y$5,0)-1)*8+2)/100*$B53/360</f>
        <v/>
      </c>
      <c r="AH9" s="16">
        <f>$B$20/$B$8*INDEX($A53:$CB53,16+(MATCH($AF$5,$R$5:$Y$5,0)-1)*8+5)*INDEX($A53:$CB53,16+(MATCH($AF$5,$R$5:$Y$5,0)-1)*8+3)/100*$B53/360</f>
        <v/>
      </c>
      <c r="AI9" s="16">
        <f>$B$21/$B$8*INDEX($A53:$CB53,16+(MATCH($AF$5,$R$5:$Y$5,0)-1)*8+5)*INDEX($A53:$CB53,16+(MATCH($AF$5,$R$5:$Y$5,0)-1)*8+4)/100*$B53/360</f>
        <v/>
      </c>
      <c r="AJ9" s="16">
        <f>$B$14/100*$B$8*INDEX($A53:$CB53,16+(MATCH($AF$5,$R$5:$Y$5,0)-1)*8+7)</f>
        <v/>
      </c>
      <c r="AK9" s="16">
        <f>-$C53</f>
        <v/>
      </c>
      <c r="AL9" s="17">
        <f>SUM(AF9:AK9)</f>
        <v/>
      </c>
    </row>
    <row r="10">
      <c r="A10" s="4" t="inlineStr">
        <is>
          <t>Min ON balance ($mm)</t>
        </is>
      </c>
      <c r="B10" s="18" t="n">
        <v>100</v>
      </c>
      <c r="F10" s="5" t="n">
        <v>46365</v>
      </c>
      <c r="G10" s="11">
        <f>IF(F10="","",F10+1)</f>
        <v/>
      </c>
      <c r="H10" s="12" t="n">
        <v>0</v>
      </c>
      <c r="I10" s="12" t="n">
        <v>-25</v>
      </c>
      <c r="J10" s="12" t="n">
        <v>-25</v>
      </c>
      <c r="K10" s="12" t="n">
        <v>-50</v>
      </c>
      <c r="L10" s="12" t="n">
        <v>-25</v>
      </c>
      <c r="M10" s="12" t="n">
        <v>0</v>
      </c>
      <c r="N10" s="12" t="n">
        <v>0</v>
      </c>
      <c r="O10" s="12" t="n">
        <v>0</v>
      </c>
      <c r="R10" s="20">
        <f>IF(H$38=0,"",R9)</f>
        <v/>
      </c>
      <c r="S10" s="20">
        <f>IF(I$38=0,"",S9)</f>
        <v/>
      </c>
      <c r="T10" s="20">
        <f>IF(J$38=0,"",T9)</f>
        <v/>
      </c>
      <c r="U10" s="20">
        <f>IF(K$38=0,"",U9)</f>
        <v/>
      </c>
      <c r="V10" s="20">
        <f>IF(L$38=0,"",V9)</f>
        <v/>
      </c>
      <c r="W10" s="20">
        <f>IF(M$38=0,"",W9)</f>
        <v/>
      </c>
      <c r="X10" s="20">
        <f>IF(N$38=0,"",X9)</f>
        <v/>
      </c>
      <c r="Y10" s="20">
        <f>IF(O$38=0,"",Y9)</f>
        <v/>
      </c>
      <c r="AE10" s="15">
        <f>A54</f>
        <v/>
      </c>
      <c r="AF10" s="16">
        <f>$B$18/$B$8*INDEX($A54:$CB54,16+(MATCH($AF$5,$R$5:$Y$5,0)-1)*8+5)*INDEX($A54:$CB54,16+(MATCH($AF$5,$R$5:$Y$5,0)-1)*8+1)/100*$B54/360</f>
        <v/>
      </c>
      <c r="AG10" s="16">
        <f>$B$19/$B$8*INDEX($A54:$CB54,16+(MATCH($AF$5,$R$5:$Y$5,0)-1)*8+5)*INDEX($A54:$CB54,16+(MATCH($AF$5,$R$5:$Y$5,0)-1)*8+2)/100*$B54/360</f>
        <v/>
      </c>
      <c r="AH10" s="16">
        <f>$B$20/$B$8*INDEX($A54:$CB54,16+(MATCH($AF$5,$R$5:$Y$5,0)-1)*8+5)*INDEX($A54:$CB54,16+(MATCH($AF$5,$R$5:$Y$5,0)-1)*8+3)/100*$B54/360</f>
        <v/>
      </c>
      <c r="AI10" s="16">
        <f>$B$21/$B$8*INDEX($A54:$CB54,16+(MATCH($AF$5,$R$5:$Y$5,0)-1)*8+5)*INDEX($A54:$CB54,16+(MATCH($AF$5,$R$5:$Y$5,0)-1)*8+4)/100*$B54/360</f>
        <v/>
      </c>
      <c r="AJ10" s="16">
        <f>$B$14/100*$B$8*INDEX($A54:$CB54,16+(MATCH($AF$5,$R$5:$Y$5,0)-1)*8+7)</f>
        <v/>
      </c>
      <c r="AK10" s="16">
        <f>-$C54</f>
        <v/>
      </c>
      <c r="AL10" s="17">
        <f>SUM(AF10:AK10)</f>
        <v/>
      </c>
    </row>
    <row r="11">
      <c r="A11" s="4" t="inlineStr">
        <is>
          <t>Swap direction (RCV/PAY)</t>
        </is>
      </c>
      <c r="B11" s="9" t="inlineStr">
        <is>
          <t>RCV</t>
        </is>
      </c>
      <c r="F11" s="5" t="n">
        <v>46414</v>
      </c>
      <c r="G11" s="11">
        <f>IF(F11="","",F11+1)</f>
        <v/>
      </c>
      <c r="H11" s="12" t="n">
        <v>0</v>
      </c>
      <c r="I11" s="12" t="n">
        <v>0</v>
      </c>
      <c r="J11" s="12" t="n">
        <v>-25</v>
      </c>
      <c r="K11" s="12" t="n">
        <v>-50</v>
      </c>
      <c r="L11" s="12" t="n">
        <v>-25</v>
      </c>
      <c r="M11" s="12" t="n">
        <v>0</v>
      </c>
      <c r="N11" s="12" t="n">
        <v>0</v>
      </c>
      <c r="O11" s="12" t="n">
        <v>0</v>
      </c>
      <c r="AE11" s="15">
        <f>A55</f>
        <v/>
      </c>
      <c r="AF11" s="16">
        <f>$B$18/$B$8*INDEX($A55:$CB55,16+(MATCH($AF$5,$R$5:$Y$5,0)-1)*8+5)*INDEX($A55:$CB55,16+(MATCH($AF$5,$R$5:$Y$5,0)-1)*8+1)/100*$B55/360</f>
        <v/>
      </c>
      <c r="AG11" s="16">
        <f>$B$19/$B$8*INDEX($A55:$CB55,16+(MATCH($AF$5,$R$5:$Y$5,0)-1)*8+5)*INDEX($A55:$CB55,16+(MATCH($AF$5,$R$5:$Y$5,0)-1)*8+2)/100*$B55/360</f>
        <v/>
      </c>
      <c r="AH11" s="16">
        <f>$B$20/$B$8*INDEX($A55:$CB55,16+(MATCH($AF$5,$R$5:$Y$5,0)-1)*8+5)*INDEX($A55:$CB55,16+(MATCH($AF$5,$R$5:$Y$5,0)-1)*8+3)/100*$B55/360</f>
        <v/>
      </c>
      <c r="AI11" s="16">
        <f>$B$21/$B$8*INDEX($A55:$CB55,16+(MATCH($AF$5,$R$5:$Y$5,0)-1)*8+5)*INDEX($A55:$CB55,16+(MATCH($AF$5,$R$5:$Y$5,0)-1)*8+4)/100*$B55/360</f>
        <v/>
      </c>
      <c r="AJ11" s="16">
        <f>$B$14/100*$B$8*INDEX($A55:$CB55,16+(MATCH($AF$5,$R$5:$Y$5,0)-1)*8+7)</f>
        <v/>
      </c>
      <c r="AK11" s="16">
        <f>-$C55</f>
        <v/>
      </c>
      <c r="AL11" s="17">
        <f>SUM(AF11:AK11)</f>
        <v/>
      </c>
    </row>
    <row r="12">
      <c r="A12" s="4" t="inlineStr">
        <is>
          <t>Swap fixed rate (%)</t>
        </is>
      </c>
      <c r="B12" s="14" t="n">
        <v>3.15</v>
      </c>
      <c r="F12" s="5" t="n">
        <v>46463</v>
      </c>
      <c r="G12" s="11">
        <f>IF(F12="","",F12+1)</f>
        <v/>
      </c>
      <c r="H12" s="12" t="n">
        <v>0</v>
      </c>
      <c r="I12" s="12" t="n">
        <v>-25</v>
      </c>
      <c r="J12" s="12" t="n">
        <v>0</v>
      </c>
      <c r="K12" s="12" t="n">
        <v>0</v>
      </c>
      <c r="L12" s="12" t="n">
        <v>-25</v>
      </c>
      <c r="M12" s="12" t="n">
        <v>0</v>
      </c>
      <c r="N12" s="12" t="n">
        <v>0</v>
      </c>
      <c r="O12" s="12" t="n">
        <v>0</v>
      </c>
      <c r="Q12" s="6" t="inlineStr">
        <is>
          <t>Expected NII</t>
        </is>
      </c>
      <c r="R12" s="13">
        <f>SUMPRODUCT($H$38:$O$38,$R$9:$Y$9)/MAX(0.0001,SUM($H$38:$O$38))</f>
        <v/>
      </c>
      <c r="AE12" s="15">
        <f>A56</f>
        <v/>
      </c>
      <c r="AF12" s="16">
        <f>$B$18/$B$8*INDEX($A56:$CB56,16+(MATCH($AF$5,$R$5:$Y$5,0)-1)*8+5)*INDEX($A56:$CB56,16+(MATCH($AF$5,$R$5:$Y$5,0)-1)*8+1)/100*$B56/360</f>
        <v/>
      </c>
      <c r="AG12" s="16">
        <f>$B$19/$B$8*INDEX($A56:$CB56,16+(MATCH($AF$5,$R$5:$Y$5,0)-1)*8+5)*INDEX($A56:$CB56,16+(MATCH($AF$5,$R$5:$Y$5,0)-1)*8+2)/100*$B56/360</f>
        <v/>
      </c>
      <c r="AH12" s="16">
        <f>$B$20/$B$8*INDEX($A56:$CB56,16+(MATCH($AF$5,$R$5:$Y$5,0)-1)*8+5)*INDEX($A56:$CB56,16+(MATCH($AF$5,$R$5:$Y$5,0)-1)*8+3)/100*$B56/360</f>
        <v/>
      </c>
      <c r="AI12" s="16">
        <f>$B$21/$B$8*INDEX($A56:$CB56,16+(MATCH($AF$5,$R$5:$Y$5,0)-1)*8+5)*INDEX($A56:$CB56,16+(MATCH($AF$5,$R$5:$Y$5,0)-1)*8+4)/100*$B56/360</f>
        <v/>
      </c>
      <c r="AJ12" s="16">
        <f>$B$14/100*$B$8*INDEX($A56:$CB56,16+(MATCH($AF$5,$R$5:$Y$5,0)-1)*8+7)</f>
        <v/>
      </c>
      <c r="AK12" s="16">
        <f>-$C56</f>
        <v/>
      </c>
      <c r="AL12" s="17">
        <f>SUM(AF12:AK12)</f>
        <v/>
      </c>
    </row>
    <row r="13">
      <c r="A13" s="4" t="inlineStr">
        <is>
          <t>Swap float spread (bps)</t>
        </is>
      </c>
      <c r="B13" s="18" t="n">
        <v>0</v>
      </c>
      <c r="F13" s="5" t="n">
        <v>46505</v>
      </c>
      <c r="G13" s="11">
        <f>IF(F13="","",F13+1)</f>
        <v/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-25</v>
      </c>
      <c r="M13" s="12" t="n">
        <v>0</v>
      </c>
      <c r="N13" s="12" t="n">
        <v>0</v>
      </c>
      <c r="O13" s="12" t="n">
        <v>0</v>
      </c>
      <c r="Q13" s="6" t="inlineStr">
        <is>
          <t>NII volatility</t>
        </is>
      </c>
      <c r="R13" s="21">
        <f>SQRT(MAX(0,SUMPRODUCT($H$38:$O$38,($R$9:$Y$9-$R$12)^2)/MAX(0.0001,SUM($H$38:$O$38))))</f>
        <v/>
      </c>
      <c r="AE13" s="15">
        <f>A57</f>
        <v/>
      </c>
      <c r="AF13" s="16">
        <f>$B$18/$B$8*INDEX($A57:$CB57,16+(MATCH($AF$5,$R$5:$Y$5,0)-1)*8+5)*INDEX($A57:$CB57,16+(MATCH($AF$5,$R$5:$Y$5,0)-1)*8+1)/100*$B57/360</f>
        <v/>
      </c>
      <c r="AG13" s="16">
        <f>$B$19/$B$8*INDEX($A57:$CB57,16+(MATCH($AF$5,$R$5:$Y$5,0)-1)*8+5)*INDEX($A57:$CB57,16+(MATCH($AF$5,$R$5:$Y$5,0)-1)*8+2)/100*$B57/360</f>
        <v/>
      </c>
      <c r="AH13" s="16">
        <f>$B$20/$B$8*INDEX($A57:$CB57,16+(MATCH($AF$5,$R$5:$Y$5,0)-1)*8+5)*INDEX($A57:$CB57,16+(MATCH($AF$5,$R$5:$Y$5,0)-1)*8+3)/100*$B57/360</f>
        <v/>
      </c>
      <c r="AI13" s="16">
        <f>$B$21/$B$8*INDEX($A57:$CB57,16+(MATCH($AF$5,$R$5:$Y$5,0)-1)*8+5)*INDEX($A57:$CB57,16+(MATCH($AF$5,$R$5:$Y$5,0)-1)*8+4)/100*$B57/360</f>
        <v/>
      </c>
      <c r="AJ13" s="16">
        <f>$B$14/100*$B$8*INDEX($A57:$CB57,16+(MATCH($AF$5,$R$5:$Y$5,0)-1)*8+7)</f>
        <v/>
      </c>
      <c r="AK13" s="16">
        <f>-$C57</f>
        <v/>
      </c>
      <c r="AL13" s="17">
        <f>SUM(AF13:AK13)</f>
        <v/>
      </c>
    </row>
    <row r="14">
      <c r="A14" s="4" t="inlineStr">
        <is>
          <t>IRS notional (% of cash)</t>
        </is>
      </c>
      <c r="B14" s="18" t="n">
        <v>75</v>
      </c>
      <c r="F14" s="5" t="n">
        <v>46554</v>
      </c>
      <c r="G14" s="11">
        <f>IF(F14="","",F14+1)</f>
        <v/>
      </c>
      <c r="H14" s="12" t="n">
        <v>0</v>
      </c>
      <c r="I14" s="12" t="n">
        <v>-25</v>
      </c>
      <c r="J14" s="12" t="n">
        <v>0</v>
      </c>
      <c r="K14" s="12" t="n">
        <v>0</v>
      </c>
      <c r="L14" s="12" t="n">
        <v>-25</v>
      </c>
      <c r="M14" s="12" t="n">
        <v>-25</v>
      </c>
      <c r="N14" s="12" t="n">
        <v>0</v>
      </c>
      <c r="O14" s="12" t="n">
        <v>0</v>
      </c>
      <c r="Q14" s="6" t="inlineStr">
        <is>
          <t>Worst / Best</t>
        </is>
      </c>
      <c r="R14" s="13">
        <f>MIN($R$10:$Y$10)</f>
        <v/>
      </c>
      <c r="S14" s="13">
        <f>MAX($R$10:$Y$10)</f>
        <v/>
      </c>
      <c r="AE14" s="15">
        <f>A58</f>
        <v/>
      </c>
      <c r="AF14" s="16">
        <f>$B$18/$B$8*INDEX($A58:$CB58,16+(MATCH($AF$5,$R$5:$Y$5,0)-1)*8+5)*INDEX($A58:$CB58,16+(MATCH($AF$5,$R$5:$Y$5,0)-1)*8+1)/100*$B58/360</f>
        <v/>
      </c>
      <c r="AG14" s="16">
        <f>$B$19/$B$8*INDEX($A58:$CB58,16+(MATCH($AF$5,$R$5:$Y$5,0)-1)*8+5)*INDEX($A58:$CB58,16+(MATCH($AF$5,$R$5:$Y$5,0)-1)*8+2)/100*$B58/360</f>
        <v/>
      </c>
      <c r="AH14" s="16">
        <f>$B$20/$B$8*INDEX($A58:$CB58,16+(MATCH($AF$5,$R$5:$Y$5,0)-1)*8+5)*INDEX($A58:$CB58,16+(MATCH($AF$5,$R$5:$Y$5,0)-1)*8+3)/100*$B58/360</f>
        <v/>
      </c>
      <c r="AI14" s="16">
        <f>$B$21/$B$8*INDEX($A58:$CB58,16+(MATCH($AF$5,$R$5:$Y$5,0)-1)*8+5)*INDEX($A58:$CB58,16+(MATCH($AF$5,$R$5:$Y$5,0)-1)*8+4)/100*$B58/360</f>
        <v/>
      </c>
      <c r="AJ14" s="16">
        <f>$B$14/100*$B$8*INDEX($A58:$CB58,16+(MATCH($AF$5,$R$5:$Y$5,0)-1)*8+7)</f>
        <v/>
      </c>
      <c r="AK14" s="16">
        <f>-$C58</f>
        <v/>
      </c>
      <c r="AL14" s="17">
        <f>SUM(AF14:AK14)</f>
        <v/>
      </c>
    </row>
    <row r="15">
      <c r="F15" s="5" t="n">
        <v>46596</v>
      </c>
      <c r="G15" s="11">
        <f>IF(F15="","",F15+1)</f>
        <v/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-25</v>
      </c>
      <c r="M15" s="12" t="n">
        <v>-25</v>
      </c>
      <c r="N15" s="12" t="n">
        <v>0</v>
      </c>
      <c r="O15" s="12" t="n">
        <v>0</v>
      </c>
      <c r="Q15" s="6" t="inlineStr">
        <is>
          <t>Scenario-fair fixed (%)</t>
        </is>
      </c>
      <c r="R15" s="21">
        <f>100*SUMPRODUCT($H$38:$O$38,CHOOSE({1,2,3,4,5,6,7,8},P89,X89,AF89,AN89,AV89,BD89,BL89,BT89))/MAX(0.0001,SUM($H$38:$O$38))/(SUM($B$51:$B$86)/360)</f>
        <v/>
      </c>
      <c r="AE15" s="15">
        <f>A59</f>
        <v/>
      </c>
      <c r="AF15" s="16">
        <f>$B$18/$B$8*INDEX($A59:$CB59,16+(MATCH($AF$5,$R$5:$Y$5,0)-1)*8+5)*INDEX($A59:$CB59,16+(MATCH($AF$5,$R$5:$Y$5,0)-1)*8+1)/100*$B59/360</f>
        <v/>
      </c>
      <c r="AG15" s="16">
        <f>$B$19/$B$8*INDEX($A59:$CB59,16+(MATCH($AF$5,$R$5:$Y$5,0)-1)*8+5)*INDEX($A59:$CB59,16+(MATCH($AF$5,$R$5:$Y$5,0)-1)*8+2)/100*$B59/360</f>
        <v/>
      </c>
      <c r="AH15" s="16">
        <f>$B$20/$B$8*INDEX($A59:$CB59,16+(MATCH($AF$5,$R$5:$Y$5,0)-1)*8+5)*INDEX($A59:$CB59,16+(MATCH($AF$5,$R$5:$Y$5,0)-1)*8+3)/100*$B59/360</f>
        <v/>
      </c>
      <c r="AI15" s="16">
        <f>$B$21/$B$8*INDEX($A59:$CB59,16+(MATCH($AF$5,$R$5:$Y$5,0)-1)*8+5)*INDEX($A59:$CB59,16+(MATCH($AF$5,$R$5:$Y$5,0)-1)*8+4)/100*$B59/360</f>
        <v/>
      </c>
      <c r="AJ15" s="16">
        <f>$B$14/100*$B$8*INDEX($A59:$CB59,16+(MATCH($AF$5,$R$5:$Y$5,0)-1)*8+7)</f>
        <v/>
      </c>
      <c r="AK15" s="16">
        <f>-$C59</f>
        <v/>
      </c>
      <c r="AL15" s="17">
        <f>SUM(AF15:AK15)</f>
        <v/>
      </c>
    </row>
    <row r="16">
      <c r="A16" s="3" t="inlineStr">
        <is>
          <t>ALLOCATION ($mm) / SPREAD (bps)</t>
        </is>
      </c>
      <c r="F16" s="5" t="n">
        <v>46645</v>
      </c>
      <c r="G16" s="11">
        <f>IF(F16="","",F16+1)</f>
        <v/>
      </c>
      <c r="H16" s="12" t="n">
        <v>0</v>
      </c>
      <c r="I16" s="12" t="n">
        <v>-25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Q16" s="6" t="inlineStr">
        <is>
          <t>Carry gap (bps)</t>
        </is>
      </c>
      <c r="R16" s="13">
        <f>($B$12-$R$15)*100</f>
        <v/>
      </c>
      <c r="AE16" s="15">
        <f>A60</f>
        <v/>
      </c>
      <c r="AF16" s="16">
        <f>$B$18/$B$8*INDEX($A60:$CB60,16+(MATCH($AF$5,$R$5:$Y$5,0)-1)*8+5)*INDEX($A60:$CB60,16+(MATCH($AF$5,$R$5:$Y$5,0)-1)*8+1)/100*$B60/360</f>
        <v/>
      </c>
      <c r="AG16" s="16">
        <f>$B$19/$B$8*INDEX($A60:$CB60,16+(MATCH($AF$5,$R$5:$Y$5,0)-1)*8+5)*INDEX($A60:$CB60,16+(MATCH($AF$5,$R$5:$Y$5,0)-1)*8+2)/100*$B60/360</f>
        <v/>
      </c>
      <c r="AH16" s="16">
        <f>$B$20/$B$8*INDEX($A60:$CB60,16+(MATCH($AF$5,$R$5:$Y$5,0)-1)*8+5)*INDEX($A60:$CB60,16+(MATCH($AF$5,$R$5:$Y$5,0)-1)*8+3)/100*$B60/360</f>
        <v/>
      </c>
      <c r="AI16" s="16">
        <f>$B$21/$B$8*INDEX($A60:$CB60,16+(MATCH($AF$5,$R$5:$Y$5,0)-1)*8+5)*INDEX($A60:$CB60,16+(MATCH($AF$5,$R$5:$Y$5,0)-1)*8+4)/100*$B60/360</f>
        <v/>
      </c>
      <c r="AJ16" s="16">
        <f>$B$14/100*$B$8*INDEX($A60:$CB60,16+(MATCH($AF$5,$R$5:$Y$5,0)-1)*8+7)</f>
        <v/>
      </c>
      <c r="AK16" s="16">
        <f>-$C60</f>
        <v/>
      </c>
      <c r="AL16" s="17">
        <f>SUM(AF16:AK16)</f>
        <v/>
      </c>
    </row>
    <row r="17">
      <c r="A17" s="6" t="inlineStr">
        <is>
          <t>Bucket</t>
        </is>
      </c>
      <c r="B17" s="6" t="inlineStr">
        <is>
          <t>$mm</t>
        </is>
      </c>
      <c r="C17" s="6" t="inlineStr">
        <is>
          <t>Spread</t>
        </is>
      </c>
      <c r="F17" s="5" t="n">
        <v>46687</v>
      </c>
      <c r="G17" s="11">
        <f>IF(F17="","",F17+1)</f>
        <v/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AE17" s="15">
        <f>A61</f>
        <v/>
      </c>
      <c r="AF17" s="16">
        <f>$B$18/$B$8*INDEX($A61:$CB61,16+(MATCH($AF$5,$R$5:$Y$5,0)-1)*8+5)*INDEX($A61:$CB61,16+(MATCH($AF$5,$R$5:$Y$5,0)-1)*8+1)/100*$B61/360</f>
        <v/>
      </c>
      <c r="AG17" s="16">
        <f>$B$19/$B$8*INDEX($A61:$CB61,16+(MATCH($AF$5,$R$5:$Y$5,0)-1)*8+5)*INDEX($A61:$CB61,16+(MATCH($AF$5,$R$5:$Y$5,0)-1)*8+2)/100*$B61/360</f>
        <v/>
      </c>
      <c r="AH17" s="16">
        <f>$B$20/$B$8*INDEX($A61:$CB61,16+(MATCH($AF$5,$R$5:$Y$5,0)-1)*8+5)*INDEX($A61:$CB61,16+(MATCH($AF$5,$R$5:$Y$5,0)-1)*8+3)/100*$B61/360</f>
        <v/>
      </c>
      <c r="AI17" s="16">
        <f>$B$21/$B$8*INDEX($A61:$CB61,16+(MATCH($AF$5,$R$5:$Y$5,0)-1)*8+5)*INDEX($A61:$CB61,16+(MATCH($AF$5,$R$5:$Y$5,0)-1)*8+4)/100*$B61/360</f>
        <v/>
      </c>
      <c r="AJ17" s="16">
        <f>$B$14/100*$B$8*INDEX($A61:$CB61,16+(MATCH($AF$5,$R$5:$Y$5,0)-1)*8+7)</f>
        <v/>
      </c>
      <c r="AK17" s="16">
        <f>-$C61</f>
        <v/>
      </c>
      <c r="AL17" s="17">
        <f>SUM(AF17:AK17)</f>
        <v/>
      </c>
    </row>
    <row r="18">
      <c r="A18" s="4" t="inlineStr">
        <is>
          <t>ON</t>
        </is>
      </c>
      <c r="B18" s="18" t="n">
        <v>100</v>
      </c>
      <c r="C18" s="18" t="n">
        <v>0</v>
      </c>
      <c r="F18" s="5" t="n">
        <v>46729</v>
      </c>
      <c r="G18" s="11">
        <f>IF(F18="","",F18+1)</f>
        <v/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Q18" s="3" t="inlineStr">
        <is>
          <t>NII × IRS NOTIONAL · efficiency &amp; cone source</t>
        </is>
      </c>
      <c r="AE18" s="15">
        <f>A62</f>
        <v/>
      </c>
      <c r="AF18" s="16">
        <f>$B$18/$B$8*INDEX($A62:$CB62,16+(MATCH($AF$5,$R$5:$Y$5,0)-1)*8+5)*INDEX($A62:$CB62,16+(MATCH($AF$5,$R$5:$Y$5,0)-1)*8+1)/100*$B62/360</f>
        <v/>
      </c>
      <c r="AG18" s="16">
        <f>$B$19/$B$8*INDEX($A62:$CB62,16+(MATCH($AF$5,$R$5:$Y$5,0)-1)*8+5)*INDEX($A62:$CB62,16+(MATCH($AF$5,$R$5:$Y$5,0)-1)*8+2)/100*$B62/360</f>
        <v/>
      </c>
      <c r="AH18" s="16">
        <f>$B$20/$B$8*INDEX($A62:$CB62,16+(MATCH($AF$5,$R$5:$Y$5,0)-1)*8+5)*INDEX($A62:$CB62,16+(MATCH($AF$5,$R$5:$Y$5,0)-1)*8+3)/100*$B62/360</f>
        <v/>
      </c>
      <c r="AI18" s="16">
        <f>$B$21/$B$8*INDEX($A62:$CB62,16+(MATCH($AF$5,$R$5:$Y$5,0)-1)*8+5)*INDEX($A62:$CB62,16+(MATCH($AF$5,$R$5:$Y$5,0)-1)*8+4)/100*$B62/360</f>
        <v/>
      </c>
      <c r="AJ18" s="16">
        <f>$B$14/100*$B$8*INDEX($A62:$CB62,16+(MATCH($AF$5,$R$5:$Y$5,0)-1)*8+7)</f>
        <v/>
      </c>
      <c r="AK18" s="16">
        <f>-$C62</f>
        <v/>
      </c>
      <c r="AL18" s="17">
        <f>SUM(AF18:AK18)</f>
        <v/>
      </c>
    </row>
    <row r="19">
      <c r="A19" s="4" t="inlineStr">
        <is>
          <t>1M</t>
        </is>
      </c>
      <c r="B19" s="18" t="n">
        <v>0</v>
      </c>
      <c r="C19" s="18" t="n">
        <v>10</v>
      </c>
      <c r="F19" s="5" t="n">
        <v>46778</v>
      </c>
      <c r="G19" s="11">
        <f>IF(F19="","",F19+1)</f>
        <v/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Q19" s="6" t="inlineStr">
        <is>
          <t>p%</t>
        </is>
      </c>
      <c r="R19" s="8">
        <f>H5</f>
        <v/>
      </c>
      <c r="S19" s="8">
        <f>I5</f>
        <v/>
      </c>
      <c r="T19" s="8">
        <f>J5</f>
        <v/>
      </c>
      <c r="U19" s="8">
        <f>K5</f>
        <v/>
      </c>
      <c r="V19" s="8">
        <f>L5</f>
        <v/>
      </c>
      <c r="W19" s="8">
        <f>M5</f>
        <v/>
      </c>
      <c r="X19" s="8">
        <f>N5</f>
        <v/>
      </c>
      <c r="Y19" s="8">
        <f>O5</f>
        <v/>
      </c>
      <c r="Z19" s="6" t="inlineStr">
        <is>
          <t>Disp.</t>
        </is>
      </c>
      <c r="AA19" s="6" t="inlineStr">
        <is>
          <t>Exp(p)</t>
        </is>
      </c>
      <c r="AB19" s="6" t="inlineStr">
        <is>
          <t>Vol(p)</t>
        </is>
      </c>
      <c r="AE19" s="15">
        <f>A63</f>
        <v/>
      </c>
      <c r="AF19" s="16">
        <f>$B$18/$B$8*INDEX($A63:$CB63,16+(MATCH($AF$5,$R$5:$Y$5,0)-1)*8+5)*INDEX($A63:$CB63,16+(MATCH($AF$5,$R$5:$Y$5,0)-1)*8+1)/100*$B63/360</f>
        <v/>
      </c>
      <c r="AG19" s="16">
        <f>$B$19/$B$8*INDEX($A63:$CB63,16+(MATCH($AF$5,$R$5:$Y$5,0)-1)*8+5)*INDEX($A63:$CB63,16+(MATCH($AF$5,$R$5:$Y$5,0)-1)*8+2)/100*$B63/360</f>
        <v/>
      </c>
      <c r="AH19" s="16">
        <f>$B$20/$B$8*INDEX($A63:$CB63,16+(MATCH($AF$5,$R$5:$Y$5,0)-1)*8+5)*INDEX($A63:$CB63,16+(MATCH($AF$5,$R$5:$Y$5,0)-1)*8+3)/100*$B63/360</f>
        <v/>
      </c>
      <c r="AI19" s="16">
        <f>$B$21/$B$8*INDEX($A63:$CB63,16+(MATCH($AF$5,$R$5:$Y$5,0)-1)*8+5)*INDEX($A63:$CB63,16+(MATCH($AF$5,$R$5:$Y$5,0)-1)*8+4)/100*$B63/360</f>
        <v/>
      </c>
      <c r="AJ19" s="16">
        <f>$B$14/100*$B$8*INDEX($A63:$CB63,16+(MATCH($AF$5,$R$5:$Y$5,0)-1)*8+7)</f>
        <v/>
      </c>
      <c r="AK19" s="16">
        <f>-$C63</f>
        <v/>
      </c>
      <c r="AL19" s="17">
        <f>SUM(AF19:AK19)</f>
        <v/>
      </c>
    </row>
    <row r="20">
      <c r="A20" s="4" t="inlineStr">
        <is>
          <t>2M</t>
        </is>
      </c>
      <c r="B20" s="18" t="n">
        <v>0</v>
      </c>
      <c r="C20" s="18" t="n">
        <v>15</v>
      </c>
      <c r="F20" s="5" t="n">
        <v>46827</v>
      </c>
      <c r="G20" s="11">
        <f>IF(F20="","",F20+1)</f>
        <v/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Q20" s="22" t="n">
        <v>0</v>
      </c>
      <c r="R20" s="20">
        <f>R$6+$Q20/100*$B$8*W$88-R$8</f>
        <v/>
      </c>
      <c r="S20" s="20">
        <f>S$6+$Q20/100*$B$8*AE$88-S$8</f>
        <v/>
      </c>
      <c r="T20" s="20">
        <f>T$6+$Q20/100*$B$8*AM$88-T$8</f>
        <v/>
      </c>
      <c r="U20" s="20">
        <f>U$6+$Q20/100*$B$8*AU$88-U$8</f>
        <v/>
      </c>
      <c r="V20" s="20">
        <f>V$6+$Q20/100*$B$8*BC$88-V$8</f>
        <v/>
      </c>
      <c r="W20" s="20">
        <f>W$6+$Q20/100*$B$8*BK$88-W$8</f>
        <v/>
      </c>
      <c r="X20" s="20">
        <f>X$6+$Q20/100*$B$8*BS$88-X$8</f>
        <v/>
      </c>
      <c r="Y20" s="20">
        <f>Y$6+$Q20/100*$B$8*CA$88-Y$8</f>
        <v/>
      </c>
      <c r="Z20" s="23">
        <f>_xlfn.AGGREGATE(14,6,$BH20:$BO20,1)-_xlfn.AGGREGATE(15,6,$BH20:$BO20,1)</f>
        <v/>
      </c>
      <c r="AA20" s="20">
        <f>SUMPRODUCT($H$38:$O$38,$R20:$Y20)/MAX(0.0001,SUM($H$38:$O$38))</f>
        <v/>
      </c>
      <c r="AB20" s="23">
        <f>SQRT(MAX(0,SUMPRODUCT($H$38:$O$38,($R20:$Y20-AA20)^2)/MAX(0.0001,SUM($H$38:$O$38))))</f>
        <v/>
      </c>
      <c r="AE20" s="15">
        <f>A64</f>
        <v/>
      </c>
      <c r="AF20" s="16">
        <f>$B$18/$B$8*INDEX($A64:$CB64,16+(MATCH($AF$5,$R$5:$Y$5,0)-1)*8+5)*INDEX($A64:$CB64,16+(MATCH($AF$5,$R$5:$Y$5,0)-1)*8+1)/100*$B64/360</f>
        <v/>
      </c>
      <c r="AG20" s="16">
        <f>$B$19/$B$8*INDEX($A64:$CB64,16+(MATCH($AF$5,$R$5:$Y$5,0)-1)*8+5)*INDEX($A64:$CB64,16+(MATCH($AF$5,$R$5:$Y$5,0)-1)*8+2)/100*$B64/360</f>
        <v/>
      </c>
      <c r="AH20" s="16">
        <f>$B$20/$B$8*INDEX($A64:$CB64,16+(MATCH($AF$5,$R$5:$Y$5,0)-1)*8+5)*INDEX($A64:$CB64,16+(MATCH($AF$5,$R$5:$Y$5,0)-1)*8+3)/100*$B64/360</f>
        <v/>
      </c>
      <c r="AI20" s="16">
        <f>$B$21/$B$8*INDEX($A64:$CB64,16+(MATCH($AF$5,$R$5:$Y$5,0)-1)*8+5)*INDEX($A64:$CB64,16+(MATCH($AF$5,$R$5:$Y$5,0)-1)*8+4)/100*$B64/360</f>
        <v/>
      </c>
      <c r="AJ20" s="16">
        <f>$B$14/100*$B$8*INDEX($A64:$CB64,16+(MATCH($AF$5,$R$5:$Y$5,0)-1)*8+7)</f>
        <v/>
      </c>
      <c r="AK20" s="16">
        <f>-$C64</f>
        <v/>
      </c>
      <c r="AL20" s="17">
        <f>SUM(AF20:AK20)</f>
        <v/>
      </c>
      <c r="BH20" s="24">
        <f>IF(H$38=0,NA(),R20)</f>
        <v/>
      </c>
      <c r="BI20" s="24">
        <f>IF(I$38=0,NA(),S20)</f>
        <v/>
      </c>
      <c r="BJ20" s="24">
        <f>IF(J$38=0,NA(),T20)</f>
        <v/>
      </c>
      <c r="BK20" s="24">
        <f>IF(K$38=0,NA(),U20)</f>
        <v/>
      </c>
      <c r="BL20" s="24">
        <f>IF(L$38=0,NA(),V20)</f>
        <v/>
      </c>
      <c r="BM20" s="24">
        <f>IF(M$38=0,NA(),W20)</f>
        <v/>
      </c>
      <c r="BN20" s="24">
        <f>IF(N$38=0,NA(),X20)</f>
        <v/>
      </c>
      <c r="BO20" s="24">
        <f>IF(O$38=0,NA(),Y20)</f>
        <v/>
      </c>
    </row>
    <row r="21">
      <c r="A21" s="4" t="inlineStr">
        <is>
          <t>3M</t>
        </is>
      </c>
      <c r="B21" s="18" t="n">
        <v>400</v>
      </c>
      <c r="C21" s="18" t="n">
        <v>20</v>
      </c>
      <c r="F21" s="5" t="n">
        <v>46869</v>
      </c>
      <c r="G21" s="11">
        <f>IF(F21="","",F21+1)</f>
        <v/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Q21" s="22" t="n">
        <v>10</v>
      </c>
      <c r="R21" s="20">
        <f>R$6+$Q21/100*$B$8*W$88-R$8</f>
        <v/>
      </c>
      <c r="S21" s="20">
        <f>S$6+$Q21/100*$B$8*AE$88-S$8</f>
        <v/>
      </c>
      <c r="T21" s="20">
        <f>T$6+$Q21/100*$B$8*AM$88-T$8</f>
        <v/>
      </c>
      <c r="U21" s="20">
        <f>U$6+$Q21/100*$B$8*AU$88-U$8</f>
        <v/>
      </c>
      <c r="V21" s="20">
        <f>V$6+$Q21/100*$B$8*BC$88-V$8</f>
        <v/>
      </c>
      <c r="W21" s="20">
        <f>W$6+$Q21/100*$B$8*BK$88-W$8</f>
        <v/>
      </c>
      <c r="X21" s="20">
        <f>X$6+$Q21/100*$B$8*BS$88-X$8</f>
        <v/>
      </c>
      <c r="Y21" s="20">
        <f>Y$6+$Q21/100*$B$8*CA$88-Y$8</f>
        <v/>
      </c>
      <c r="Z21" s="23">
        <f>_xlfn.AGGREGATE(14,6,$BH21:$BO21,1)-_xlfn.AGGREGATE(15,6,$BH21:$BO21,1)</f>
        <v/>
      </c>
      <c r="AA21" s="20">
        <f>SUMPRODUCT($H$38:$O$38,$R21:$Y21)/MAX(0.0001,SUM($H$38:$O$38))</f>
        <v/>
      </c>
      <c r="AB21" s="23">
        <f>SQRT(MAX(0,SUMPRODUCT($H$38:$O$38,($R21:$Y21-AA21)^2)/MAX(0.0001,SUM($H$38:$O$38))))</f>
        <v/>
      </c>
      <c r="AE21" s="15">
        <f>A65</f>
        <v/>
      </c>
      <c r="AF21" s="16">
        <f>$B$18/$B$8*INDEX($A65:$CB65,16+(MATCH($AF$5,$R$5:$Y$5,0)-1)*8+5)*INDEX($A65:$CB65,16+(MATCH($AF$5,$R$5:$Y$5,0)-1)*8+1)/100*$B65/360</f>
        <v/>
      </c>
      <c r="AG21" s="16">
        <f>$B$19/$B$8*INDEX($A65:$CB65,16+(MATCH($AF$5,$R$5:$Y$5,0)-1)*8+5)*INDEX($A65:$CB65,16+(MATCH($AF$5,$R$5:$Y$5,0)-1)*8+2)/100*$B65/360</f>
        <v/>
      </c>
      <c r="AH21" s="16">
        <f>$B$20/$B$8*INDEX($A65:$CB65,16+(MATCH($AF$5,$R$5:$Y$5,0)-1)*8+5)*INDEX($A65:$CB65,16+(MATCH($AF$5,$R$5:$Y$5,0)-1)*8+3)/100*$B65/360</f>
        <v/>
      </c>
      <c r="AI21" s="16">
        <f>$B$21/$B$8*INDEX($A65:$CB65,16+(MATCH($AF$5,$R$5:$Y$5,0)-1)*8+5)*INDEX($A65:$CB65,16+(MATCH($AF$5,$R$5:$Y$5,0)-1)*8+4)/100*$B65/360</f>
        <v/>
      </c>
      <c r="AJ21" s="16">
        <f>$B$14/100*$B$8*INDEX($A65:$CB65,16+(MATCH($AF$5,$R$5:$Y$5,0)-1)*8+7)</f>
        <v/>
      </c>
      <c r="AK21" s="16">
        <f>-$C65</f>
        <v/>
      </c>
      <c r="AL21" s="17">
        <f>SUM(AF21:AK21)</f>
        <v/>
      </c>
      <c r="BH21" s="24">
        <f>IF(H$38=0,NA(),R21)</f>
        <v/>
      </c>
      <c r="BI21" s="24">
        <f>IF(I$38=0,NA(),S21)</f>
        <v/>
      </c>
      <c r="BJ21" s="24">
        <f>IF(J$38=0,NA(),T21)</f>
        <v/>
      </c>
      <c r="BK21" s="24">
        <f>IF(K$38=0,NA(),U21)</f>
        <v/>
      </c>
      <c r="BL21" s="24">
        <f>IF(L$38=0,NA(),V21)</f>
        <v/>
      </c>
      <c r="BM21" s="24">
        <f>IF(M$38=0,NA(),W21)</f>
        <v/>
      </c>
      <c r="BN21" s="24">
        <f>IF(N$38=0,NA(),X21)</f>
        <v/>
      </c>
      <c r="BO21" s="24">
        <f>IF(O$38=0,NA(),Y21)</f>
        <v/>
      </c>
    </row>
    <row r="22">
      <c r="A22" s="4" t="inlineStr">
        <is>
          <t>Check</t>
        </is>
      </c>
      <c r="B22" s="25">
        <f>IF(SUM(B18:B21)&lt;&gt;B8,"SUM&lt;&gt;CASH",IF(B18&lt;B10,"ON&lt;MIN","OK"))</f>
        <v/>
      </c>
      <c r="F22" s="5" t="n">
        <v>46918</v>
      </c>
      <c r="G22" s="11">
        <f>IF(F22="","",F22+1)</f>
        <v/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Q22" s="22" t="n">
        <v>20</v>
      </c>
      <c r="R22" s="20">
        <f>R$6+$Q22/100*$B$8*W$88-R$8</f>
        <v/>
      </c>
      <c r="S22" s="20">
        <f>S$6+$Q22/100*$B$8*AE$88-S$8</f>
        <v/>
      </c>
      <c r="T22" s="20">
        <f>T$6+$Q22/100*$B$8*AM$88-T$8</f>
        <v/>
      </c>
      <c r="U22" s="20">
        <f>U$6+$Q22/100*$B$8*AU$88-U$8</f>
        <v/>
      </c>
      <c r="V22" s="20">
        <f>V$6+$Q22/100*$B$8*BC$88-V$8</f>
        <v/>
      </c>
      <c r="W22" s="20">
        <f>W$6+$Q22/100*$B$8*BK$88-W$8</f>
        <v/>
      </c>
      <c r="X22" s="20">
        <f>X$6+$Q22/100*$B$8*BS$88-X$8</f>
        <v/>
      </c>
      <c r="Y22" s="20">
        <f>Y$6+$Q22/100*$B$8*CA$88-Y$8</f>
        <v/>
      </c>
      <c r="Z22" s="23">
        <f>_xlfn.AGGREGATE(14,6,$BH22:$BO22,1)-_xlfn.AGGREGATE(15,6,$BH22:$BO22,1)</f>
        <v/>
      </c>
      <c r="AA22" s="20">
        <f>SUMPRODUCT($H$38:$O$38,$R22:$Y22)/MAX(0.0001,SUM($H$38:$O$38))</f>
        <v/>
      </c>
      <c r="AB22" s="23">
        <f>SQRT(MAX(0,SUMPRODUCT($H$38:$O$38,($R22:$Y22-AA22)^2)/MAX(0.0001,SUM($H$38:$O$38))))</f>
        <v/>
      </c>
      <c r="AE22" s="15">
        <f>A66</f>
        <v/>
      </c>
      <c r="AF22" s="16">
        <f>$B$18/$B$8*INDEX($A66:$CB66,16+(MATCH($AF$5,$R$5:$Y$5,0)-1)*8+5)*INDEX($A66:$CB66,16+(MATCH($AF$5,$R$5:$Y$5,0)-1)*8+1)/100*$B66/360</f>
        <v/>
      </c>
      <c r="AG22" s="16">
        <f>$B$19/$B$8*INDEX($A66:$CB66,16+(MATCH($AF$5,$R$5:$Y$5,0)-1)*8+5)*INDEX($A66:$CB66,16+(MATCH($AF$5,$R$5:$Y$5,0)-1)*8+2)/100*$B66/360</f>
        <v/>
      </c>
      <c r="AH22" s="16">
        <f>$B$20/$B$8*INDEX($A66:$CB66,16+(MATCH($AF$5,$R$5:$Y$5,0)-1)*8+5)*INDEX($A66:$CB66,16+(MATCH($AF$5,$R$5:$Y$5,0)-1)*8+3)/100*$B66/360</f>
        <v/>
      </c>
      <c r="AI22" s="16">
        <f>$B$21/$B$8*INDEX($A66:$CB66,16+(MATCH($AF$5,$R$5:$Y$5,0)-1)*8+5)*INDEX($A66:$CB66,16+(MATCH($AF$5,$R$5:$Y$5,0)-1)*8+4)/100*$B66/360</f>
        <v/>
      </c>
      <c r="AJ22" s="16">
        <f>$B$14/100*$B$8*INDEX($A66:$CB66,16+(MATCH($AF$5,$R$5:$Y$5,0)-1)*8+7)</f>
        <v/>
      </c>
      <c r="AK22" s="16">
        <f>-$C66</f>
        <v/>
      </c>
      <c r="AL22" s="17">
        <f>SUM(AF22:AK22)</f>
        <v/>
      </c>
      <c r="BH22" s="24">
        <f>IF(H$38=0,NA(),R22)</f>
        <v/>
      </c>
      <c r="BI22" s="24">
        <f>IF(I$38=0,NA(),S22)</f>
        <v/>
      </c>
      <c r="BJ22" s="24">
        <f>IF(J$38=0,NA(),T22)</f>
        <v/>
      </c>
      <c r="BK22" s="24">
        <f>IF(K$38=0,NA(),U22)</f>
        <v/>
      </c>
      <c r="BL22" s="24">
        <f>IF(L$38=0,NA(),V22)</f>
        <v/>
      </c>
      <c r="BM22" s="24">
        <f>IF(M$38=0,NA(),W22)</f>
        <v/>
      </c>
      <c r="BN22" s="24">
        <f>IF(N$38=0,NA(),X22)</f>
        <v/>
      </c>
      <c r="BO22" s="24">
        <f>IF(O$38=0,NA(),Y22)</f>
        <v/>
      </c>
    </row>
    <row r="23">
      <c r="F23" s="5" t="n">
        <v>46960</v>
      </c>
      <c r="G23" s="11">
        <f>IF(F23="","",F23+1)</f>
        <v/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Q23" s="22" t="n">
        <v>30</v>
      </c>
      <c r="R23" s="20">
        <f>R$6+$Q23/100*$B$8*W$88-R$8</f>
        <v/>
      </c>
      <c r="S23" s="20">
        <f>S$6+$Q23/100*$B$8*AE$88-S$8</f>
        <v/>
      </c>
      <c r="T23" s="20">
        <f>T$6+$Q23/100*$B$8*AM$88-T$8</f>
        <v/>
      </c>
      <c r="U23" s="20">
        <f>U$6+$Q23/100*$B$8*AU$88-U$8</f>
        <v/>
      </c>
      <c r="V23" s="20">
        <f>V$6+$Q23/100*$B$8*BC$88-V$8</f>
        <v/>
      </c>
      <c r="W23" s="20">
        <f>W$6+$Q23/100*$B$8*BK$88-W$8</f>
        <v/>
      </c>
      <c r="X23" s="20">
        <f>X$6+$Q23/100*$B$8*BS$88-X$8</f>
        <v/>
      </c>
      <c r="Y23" s="20">
        <f>Y$6+$Q23/100*$B$8*CA$88-Y$8</f>
        <v/>
      </c>
      <c r="Z23" s="23">
        <f>_xlfn.AGGREGATE(14,6,$BH23:$BO23,1)-_xlfn.AGGREGATE(15,6,$BH23:$BO23,1)</f>
        <v/>
      </c>
      <c r="AA23" s="20">
        <f>SUMPRODUCT($H$38:$O$38,$R23:$Y23)/MAX(0.0001,SUM($H$38:$O$38))</f>
        <v/>
      </c>
      <c r="AB23" s="23">
        <f>SQRT(MAX(0,SUMPRODUCT($H$38:$O$38,($R23:$Y23-AA23)^2)/MAX(0.0001,SUM($H$38:$O$38))))</f>
        <v/>
      </c>
      <c r="AE23" s="15">
        <f>A67</f>
        <v/>
      </c>
      <c r="AF23" s="16">
        <f>$B$18/$B$8*INDEX($A67:$CB67,16+(MATCH($AF$5,$R$5:$Y$5,0)-1)*8+5)*INDEX($A67:$CB67,16+(MATCH($AF$5,$R$5:$Y$5,0)-1)*8+1)/100*$B67/360</f>
        <v/>
      </c>
      <c r="AG23" s="16">
        <f>$B$19/$B$8*INDEX($A67:$CB67,16+(MATCH($AF$5,$R$5:$Y$5,0)-1)*8+5)*INDEX($A67:$CB67,16+(MATCH($AF$5,$R$5:$Y$5,0)-1)*8+2)/100*$B67/360</f>
        <v/>
      </c>
      <c r="AH23" s="16">
        <f>$B$20/$B$8*INDEX($A67:$CB67,16+(MATCH($AF$5,$R$5:$Y$5,0)-1)*8+5)*INDEX($A67:$CB67,16+(MATCH($AF$5,$R$5:$Y$5,0)-1)*8+3)/100*$B67/360</f>
        <v/>
      </c>
      <c r="AI23" s="16">
        <f>$B$21/$B$8*INDEX($A67:$CB67,16+(MATCH($AF$5,$R$5:$Y$5,0)-1)*8+5)*INDEX($A67:$CB67,16+(MATCH($AF$5,$R$5:$Y$5,0)-1)*8+4)/100*$B67/360</f>
        <v/>
      </c>
      <c r="AJ23" s="16">
        <f>$B$14/100*$B$8*INDEX($A67:$CB67,16+(MATCH($AF$5,$R$5:$Y$5,0)-1)*8+7)</f>
        <v/>
      </c>
      <c r="AK23" s="16">
        <f>-$C67</f>
        <v/>
      </c>
      <c r="AL23" s="17">
        <f>SUM(AF23:AK23)</f>
        <v/>
      </c>
      <c r="BH23" s="24">
        <f>IF(H$38=0,NA(),R23)</f>
        <v/>
      </c>
      <c r="BI23" s="24">
        <f>IF(I$38=0,NA(),S23)</f>
        <v/>
      </c>
      <c r="BJ23" s="24">
        <f>IF(J$38=0,NA(),T23)</f>
        <v/>
      </c>
      <c r="BK23" s="24">
        <f>IF(K$38=0,NA(),U23)</f>
        <v/>
      </c>
      <c r="BL23" s="24">
        <f>IF(L$38=0,NA(),V23)</f>
        <v/>
      </c>
      <c r="BM23" s="24">
        <f>IF(M$38=0,NA(),W23)</f>
        <v/>
      </c>
      <c r="BN23" s="24">
        <f>IF(N$38=0,NA(),X23)</f>
        <v/>
      </c>
      <c r="BO23" s="24">
        <f>IF(O$38=0,NA(),Y23)</f>
        <v/>
      </c>
    </row>
    <row r="24">
      <c r="A24" s="3" t="inlineStr">
        <is>
          <t>FIXED-RATE DEBT (blank rows ignored)</t>
        </is>
      </c>
      <c r="F24" s="5" t="n">
        <v>47009</v>
      </c>
      <c r="G24" s="11">
        <f>IF(F24="","",F24+1)</f>
        <v/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Q24" s="22" t="n">
        <v>40</v>
      </c>
      <c r="R24" s="20">
        <f>R$6+$Q24/100*$B$8*W$88-R$8</f>
        <v/>
      </c>
      <c r="S24" s="20">
        <f>S$6+$Q24/100*$B$8*AE$88-S$8</f>
        <v/>
      </c>
      <c r="T24" s="20">
        <f>T$6+$Q24/100*$B$8*AM$88-T$8</f>
        <v/>
      </c>
      <c r="U24" s="20">
        <f>U$6+$Q24/100*$B$8*AU$88-U$8</f>
        <v/>
      </c>
      <c r="V24" s="20">
        <f>V$6+$Q24/100*$B$8*BC$88-V$8</f>
        <v/>
      </c>
      <c r="W24" s="20">
        <f>W$6+$Q24/100*$B$8*BK$88-W$8</f>
        <v/>
      </c>
      <c r="X24" s="20">
        <f>X$6+$Q24/100*$B$8*BS$88-X$8</f>
        <v/>
      </c>
      <c r="Y24" s="20">
        <f>Y$6+$Q24/100*$B$8*CA$88-Y$8</f>
        <v/>
      </c>
      <c r="Z24" s="23">
        <f>_xlfn.AGGREGATE(14,6,$BH24:$BO24,1)-_xlfn.AGGREGATE(15,6,$BH24:$BO24,1)</f>
        <v/>
      </c>
      <c r="AA24" s="20">
        <f>SUMPRODUCT($H$38:$O$38,$R24:$Y24)/MAX(0.0001,SUM($H$38:$O$38))</f>
        <v/>
      </c>
      <c r="AB24" s="23">
        <f>SQRT(MAX(0,SUMPRODUCT($H$38:$O$38,($R24:$Y24-AA24)^2)/MAX(0.0001,SUM($H$38:$O$38))))</f>
        <v/>
      </c>
      <c r="AE24" s="15">
        <f>A68</f>
        <v/>
      </c>
      <c r="AF24" s="16">
        <f>$B$18/$B$8*INDEX($A68:$CB68,16+(MATCH($AF$5,$R$5:$Y$5,0)-1)*8+5)*INDEX($A68:$CB68,16+(MATCH($AF$5,$R$5:$Y$5,0)-1)*8+1)/100*$B68/360</f>
        <v/>
      </c>
      <c r="AG24" s="16">
        <f>$B$19/$B$8*INDEX($A68:$CB68,16+(MATCH($AF$5,$R$5:$Y$5,0)-1)*8+5)*INDEX($A68:$CB68,16+(MATCH($AF$5,$R$5:$Y$5,0)-1)*8+2)/100*$B68/360</f>
        <v/>
      </c>
      <c r="AH24" s="16">
        <f>$B$20/$B$8*INDEX($A68:$CB68,16+(MATCH($AF$5,$R$5:$Y$5,0)-1)*8+5)*INDEX($A68:$CB68,16+(MATCH($AF$5,$R$5:$Y$5,0)-1)*8+3)/100*$B68/360</f>
        <v/>
      </c>
      <c r="AI24" s="16">
        <f>$B$21/$B$8*INDEX($A68:$CB68,16+(MATCH($AF$5,$R$5:$Y$5,0)-1)*8+5)*INDEX($A68:$CB68,16+(MATCH($AF$5,$R$5:$Y$5,0)-1)*8+4)/100*$B68/360</f>
        <v/>
      </c>
      <c r="AJ24" s="16">
        <f>$B$14/100*$B$8*INDEX($A68:$CB68,16+(MATCH($AF$5,$R$5:$Y$5,0)-1)*8+7)</f>
        <v/>
      </c>
      <c r="AK24" s="16">
        <f>-$C68</f>
        <v/>
      </c>
      <c r="AL24" s="17">
        <f>SUM(AF24:AK24)</f>
        <v/>
      </c>
      <c r="BH24" s="24">
        <f>IF(H$38=0,NA(),R24)</f>
        <v/>
      </c>
      <c r="BI24" s="24">
        <f>IF(I$38=0,NA(),S24)</f>
        <v/>
      </c>
      <c r="BJ24" s="24">
        <f>IF(J$38=0,NA(),T24)</f>
        <v/>
      </c>
      <c r="BK24" s="24">
        <f>IF(K$38=0,NA(),U24)</f>
        <v/>
      </c>
      <c r="BL24" s="24">
        <f>IF(L$38=0,NA(),V24)</f>
        <v/>
      </c>
      <c r="BM24" s="24">
        <f>IF(M$38=0,NA(),W24)</f>
        <v/>
      </c>
      <c r="BN24" s="24">
        <f>IF(N$38=0,NA(),X24)</f>
        <v/>
      </c>
      <c r="BO24" s="24">
        <f>IF(O$38=0,NA(),Y24)</f>
        <v/>
      </c>
    </row>
    <row r="25">
      <c r="A25" s="6" t="inlineStr">
        <is>
          <t>Issue</t>
        </is>
      </c>
      <c r="B25" s="6" t="inlineStr">
        <is>
          <t>$mm</t>
        </is>
      </c>
      <c r="C25" s="6" t="inlineStr">
        <is>
          <t>Cpn %</t>
        </is>
      </c>
      <c r="D25" s="6" t="inlineStr">
        <is>
          <t>Maturity</t>
        </is>
      </c>
      <c r="F25" s="5" t="n">
        <v>47058</v>
      </c>
      <c r="G25" s="11">
        <f>IF(F25="","",F25+1)</f>
        <v/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Q25" s="22" t="n">
        <v>50</v>
      </c>
      <c r="R25" s="20">
        <f>R$6+$Q25/100*$B$8*W$88-R$8</f>
        <v/>
      </c>
      <c r="S25" s="20">
        <f>S$6+$Q25/100*$B$8*AE$88-S$8</f>
        <v/>
      </c>
      <c r="T25" s="20">
        <f>T$6+$Q25/100*$B$8*AM$88-T$8</f>
        <v/>
      </c>
      <c r="U25" s="20">
        <f>U$6+$Q25/100*$B$8*AU$88-U$8</f>
        <v/>
      </c>
      <c r="V25" s="20">
        <f>V$6+$Q25/100*$B$8*BC$88-V$8</f>
        <v/>
      </c>
      <c r="W25" s="20">
        <f>W$6+$Q25/100*$B$8*BK$88-W$8</f>
        <v/>
      </c>
      <c r="X25" s="20">
        <f>X$6+$Q25/100*$B$8*BS$88-X$8</f>
        <v/>
      </c>
      <c r="Y25" s="20">
        <f>Y$6+$Q25/100*$B$8*CA$88-Y$8</f>
        <v/>
      </c>
      <c r="Z25" s="23">
        <f>_xlfn.AGGREGATE(14,6,$BH25:$BO25,1)-_xlfn.AGGREGATE(15,6,$BH25:$BO25,1)</f>
        <v/>
      </c>
      <c r="AA25" s="20">
        <f>SUMPRODUCT($H$38:$O$38,$R25:$Y25)/MAX(0.0001,SUM($H$38:$O$38))</f>
        <v/>
      </c>
      <c r="AB25" s="23">
        <f>SQRT(MAX(0,SUMPRODUCT($H$38:$O$38,($R25:$Y25-AA25)^2)/MAX(0.0001,SUM($H$38:$O$38))))</f>
        <v/>
      </c>
      <c r="AE25" s="15">
        <f>A69</f>
        <v/>
      </c>
      <c r="AF25" s="16">
        <f>$B$18/$B$8*INDEX($A69:$CB69,16+(MATCH($AF$5,$R$5:$Y$5,0)-1)*8+5)*INDEX($A69:$CB69,16+(MATCH($AF$5,$R$5:$Y$5,0)-1)*8+1)/100*$B69/360</f>
        <v/>
      </c>
      <c r="AG25" s="16">
        <f>$B$19/$B$8*INDEX($A69:$CB69,16+(MATCH($AF$5,$R$5:$Y$5,0)-1)*8+5)*INDEX($A69:$CB69,16+(MATCH($AF$5,$R$5:$Y$5,0)-1)*8+2)/100*$B69/360</f>
        <v/>
      </c>
      <c r="AH25" s="16">
        <f>$B$20/$B$8*INDEX($A69:$CB69,16+(MATCH($AF$5,$R$5:$Y$5,0)-1)*8+5)*INDEX($A69:$CB69,16+(MATCH($AF$5,$R$5:$Y$5,0)-1)*8+3)/100*$B69/360</f>
        <v/>
      </c>
      <c r="AI25" s="16">
        <f>$B$21/$B$8*INDEX($A69:$CB69,16+(MATCH($AF$5,$R$5:$Y$5,0)-1)*8+5)*INDEX($A69:$CB69,16+(MATCH($AF$5,$R$5:$Y$5,0)-1)*8+4)/100*$B69/360</f>
        <v/>
      </c>
      <c r="AJ25" s="16">
        <f>$B$14/100*$B$8*INDEX($A69:$CB69,16+(MATCH($AF$5,$R$5:$Y$5,0)-1)*8+7)</f>
        <v/>
      </c>
      <c r="AK25" s="16">
        <f>-$C69</f>
        <v/>
      </c>
      <c r="AL25" s="17">
        <f>SUM(AF25:AK25)</f>
        <v/>
      </c>
      <c r="BH25" s="24">
        <f>IF(H$38=0,NA(),R25)</f>
        <v/>
      </c>
      <c r="BI25" s="24">
        <f>IF(I$38=0,NA(),S25)</f>
        <v/>
      </c>
      <c r="BJ25" s="24">
        <f>IF(J$38=0,NA(),T25)</f>
        <v/>
      </c>
      <c r="BK25" s="24">
        <f>IF(K$38=0,NA(),U25)</f>
        <v/>
      </c>
      <c r="BL25" s="24">
        <f>IF(L$38=0,NA(),V25)</f>
        <v/>
      </c>
      <c r="BM25" s="24">
        <f>IF(M$38=0,NA(),W25)</f>
        <v/>
      </c>
      <c r="BN25" s="24">
        <f>IF(N$38=0,NA(),X25)</f>
        <v/>
      </c>
      <c r="BO25" s="24">
        <f>IF(O$38=0,NA(),Y25)</f>
        <v/>
      </c>
    </row>
    <row r="26">
      <c r="A26" s="26" t="inlineStr">
        <is>
          <t>3.50% '27</t>
        </is>
      </c>
      <c r="B26" s="18" t="n">
        <v>476.4</v>
      </c>
      <c r="C26" s="14" t="n">
        <v>3.5</v>
      </c>
      <c r="D26" s="5" t="n">
        <v>46645</v>
      </c>
      <c r="F26" s="5" t="n">
        <v>47100</v>
      </c>
      <c r="G26" s="11">
        <f>IF(F26="","",F26+1)</f>
        <v/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Q26" s="22" t="n">
        <v>60</v>
      </c>
      <c r="R26" s="20">
        <f>R$6+$Q26/100*$B$8*W$88-R$8</f>
        <v/>
      </c>
      <c r="S26" s="20">
        <f>S$6+$Q26/100*$B$8*AE$88-S$8</f>
        <v/>
      </c>
      <c r="T26" s="20">
        <f>T$6+$Q26/100*$B$8*AM$88-T$8</f>
        <v/>
      </c>
      <c r="U26" s="20">
        <f>U$6+$Q26/100*$B$8*AU$88-U$8</f>
        <v/>
      </c>
      <c r="V26" s="20">
        <f>V$6+$Q26/100*$B$8*BC$88-V$8</f>
        <v/>
      </c>
      <c r="W26" s="20">
        <f>W$6+$Q26/100*$B$8*BK$88-W$8</f>
        <v/>
      </c>
      <c r="X26" s="20">
        <f>X$6+$Q26/100*$B$8*BS$88-X$8</f>
        <v/>
      </c>
      <c r="Y26" s="20">
        <f>Y$6+$Q26/100*$B$8*CA$88-Y$8</f>
        <v/>
      </c>
      <c r="Z26" s="23">
        <f>_xlfn.AGGREGATE(14,6,$BH26:$BO26,1)-_xlfn.AGGREGATE(15,6,$BH26:$BO26,1)</f>
        <v/>
      </c>
      <c r="AA26" s="20">
        <f>SUMPRODUCT($H$38:$O$38,$R26:$Y26)/MAX(0.0001,SUM($H$38:$O$38))</f>
        <v/>
      </c>
      <c r="AB26" s="23">
        <f>SQRT(MAX(0,SUMPRODUCT($H$38:$O$38,($R26:$Y26-AA26)^2)/MAX(0.0001,SUM($H$38:$O$38))))</f>
        <v/>
      </c>
      <c r="AE26" s="15">
        <f>A70</f>
        <v/>
      </c>
      <c r="AF26" s="16">
        <f>$B$18/$B$8*INDEX($A70:$CB70,16+(MATCH($AF$5,$R$5:$Y$5,0)-1)*8+5)*INDEX($A70:$CB70,16+(MATCH($AF$5,$R$5:$Y$5,0)-1)*8+1)/100*$B70/360</f>
        <v/>
      </c>
      <c r="AG26" s="16">
        <f>$B$19/$B$8*INDEX($A70:$CB70,16+(MATCH($AF$5,$R$5:$Y$5,0)-1)*8+5)*INDEX($A70:$CB70,16+(MATCH($AF$5,$R$5:$Y$5,0)-1)*8+2)/100*$B70/360</f>
        <v/>
      </c>
      <c r="AH26" s="16">
        <f>$B$20/$B$8*INDEX($A70:$CB70,16+(MATCH($AF$5,$R$5:$Y$5,0)-1)*8+5)*INDEX($A70:$CB70,16+(MATCH($AF$5,$R$5:$Y$5,0)-1)*8+3)/100*$B70/360</f>
        <v/>
      </c>
      <c r="AI26" s="16">
        <f>$B$21/$B$8*INDEX($A70:$CB70,16+(MATCH($AF$5,$R$5:$Y$5,0)-1)*8+5)*INDEX($A70:$CB70,16+(MATCH($AF$5,$R$5:$Y$5,0)-1)*8+4)/100*$B70/360</f>
        <v/>
      </c>
      <c r="AJ26" s="16">
        <f>$B$14/100*$B$8*INDEX($A70:$CB70,16+(MATCH($AF$5,$R$5:$Y$5,0)-1)*8+7)</f>
        <v/>
      </c>
      <c r="AK26" s="16">
        <f>-$C70</f>
        <v/>
      </c>
      <c r="AL26" s="17">
        <f>SUM(AF26:AK26)</f>
        <v/>
      </c>
      <c r="BH26" s="24">
        <f>IF(H$38=0,NA(),R26)</f>
        <v/>
      </c>
      <c r="BI26" s="24">
        <f>IF(I$38=0,NA(),S26)</f>
        <v/>
      </c>
      <c r="BJ26" s="24">
        <f>IF(J$38=0,NA(),T26)</f>
        <v/>
      </c>
      <c r="BK26" s="24">
        <f>IF(K$38=0,NA(),U26)</f>
        <v/>
      </c>
      <c r="BL26" s="24">
        <f>IF(L$38=0,NA(),V26)</f>
        <v/>
      </c>
      <c r="BM26" s="24">
        <f>IF(M$38=0,NA(),W26)</f>
        <v/>
      </c>
      <c r="BN26" s="24">
        <f>IF(N$38=0,NA(),X26)</f>
        <v/>
      </c>
      <c r="BO26" s="24">
        <f>IF(O$38=0,NA(),Y26)</f>
        <v/>
      </c>
    </row>
    <row r="27">
      <c r="A27" s="26" t="inlineStr">
        <is>
          <t>6.60% '28</t>
        </is>
      </c>
      <c r="B27" s="18" t="n">
        <v>109.9</v>
      </c>
      <c r="C27" s="14" t="n">
        <v>6.6</v>
      </c>
      <c r="D27" s="5" t="n">
        <v>46949</v>
      </c>
      <c r="F27" s="5" t="n"/>
      <c r="G27" s="11">
        <f>IF(F27="","",F27+1)</f>
        <v/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Q27" s="22" t="n">
        <v>70</v>
      </c>
      <c r="R27" s="20">
        <f>R$6+$Q27/100*$B$8*W$88-R$8</f>
        <v/>
      </c>
      <c r="S27" s="20">
        <f>S$6+$Q27/100*$B$8*AE$88-S$8</f>
        <v/>
      </c>
      <c r="T27" s="20">
        <f>T$6+$Q27/100*$B$8*AM$88-T$8</f>
        <v/>
      </c>
      <c r="U27" s="20">
        <f>U$6+$Q27/100*$B$8*AU$88-U$8</f>
        <v/>
      </c>
      <c r="V27" s="20">
        <f>V$6+$Q27/100*$B$8*BC$88-V$8</f>
        <v/>
      </c>
      <c r="W27" s="20">
        <f>W$6+$Q27/100*$B$8*BK$88-W$8</f>
        <v/>
      </c>
      <c r="X27" s="20">
        <f>X$6+$Q27/100*$B$8*BS$88-X$8</f>
        <v/>
      </c>
      <c r="Y27" s="20">
        <f>Y$6+$Q27/100*$B$8*CA$88-Y$8</f>
        <v/>
      </c>
      <c r="Z27" s="23">
        <f>_xlfn.AGGREGATE(14,6,$BH27:$BO27,1)-_xlfn.AGGREGATE(15,6,$BH27:$BO27,1)</f>
        <v/>
      </c>
      <c r="AA27" s="20">
        <f>SUMPRODUCT($H$38:$O$38,$R27:$Y27)/MAX(0.0001,SUM($H$38:$O$38))</f>
        <v/>
      </c>
      <c r="AB27" s="23">
        <f>SQRT(MAX(0,SUMPRODUCT($H$38:$O$38,($R27:$Y27-AA27)^2)/MAX(0.0001,SUM($H$38:$O$38))))</f>
        <v/>
      </c>
      <c r="AE27" s="15">
        <f>A71</f>
        <v/>
      </c>
      <c r="AF27" s="16">
        <f>$B$18/$B$8*INDEX($A71:$CB71,16+(MATCH($AF$5,$R$5:$Y$5,0)-1)*8+5)*INDEX($A71:$CB71,16+(MATCH($AF$5,$R$5:$Y$5,0)-1)*8+1)/100*$B71/360</f>
        <v/>
      </c>
      <c r="AG27" s="16">
        <f>$B$19/$B$8*INDEX($A71:$CB71,16+(MATCH($AF$5,$R$5:$Y$5,0)-1)*8+5)*INDEX($A71:$CB71,16+(MATCH($AF$5,$R$5:$Y$5,0)-1)*8+2)/100*$B71/360</f>
        <v/>
      </c>
      <c r="AH27" s="16">
        <f>$B$20/$B$8*INDEX($A71:$CB71,16+(MATCH($AF$5,$R$5:$Y$5,0)-1)*8+5)*INDEX($A71:$CB71,16+(MATCH($AF$5,$R$5:$Y$5,0)-1)*8+3)/100*$B71/360</f>
        <v/>
      </c>
      <c r="AI27" s="16">
        <f>$B$21/$B$8*INDEX($A71:$CB71,16+(MATCH($AF$5,$R$5:$Y$5,0)-1)*8+5)*INDEX($A71:$CB71,16+(MATCH($AF$5,$R$5:$Y$5,0)-1)*8+4)/100*$B71/360</f>
        <v/>
      </c>
      <c r="AJ27" s="16">
        <f>$B$14/100*$B$8*INDEX($A71:$CB71,16+(MATCH($AF$5,$R$5:$Y$5,0)-1)*8+7)</f>
        <v/>
      </c>
      <c r="AK27" s="16">
        <f>-$C71</f>
        <v/>
      </c>
      <c r="AL27" s="17">
        <f>SUM(AF27:AK27)</f>
        <v/>
      </c>
      <c r="BH27" s="24">
        <f>IF(H$38=0,NA(),R27)</f>
        <v/>
      </c>
      <c r="BI27" s="24">
        <f>IF(I$38=0,NA(),S27)</f>
        <v/>
      </c>
      <c r="BJ27" s="24">
        <f>IF(J$38=0,NA(),T27)</f>
        <v/>
      </c>
      <c r="BK27" s="24">
        <f>IF(K$38=0,NA(),U27)</f>
        <v/>
      </c>
      <c r="BL27" s="24">
        <f>IF(L$38=0,NA(),V27)</f>
        <v/>
      </c>
      <c r="BM27" s="24">
        <f>IF(M$38=0,NA(),W27)</f>
        <v/>
      </c>
      <c r="BN27" s="24">
        <f>IF(N$38=0,NA(),X27)</f>
        <v/>
      </c>
      <c r="BO27" s="24">
        <f>IF(O$38=0,NA(),Y27)</f>
        <v/>
      </c>
    </row>
    <row r="28">
      <c r="A28" s="26" t="inlineStr">
        <is>
          <t>3.90% '29</t>
        </is>
      </c>
      <c r="B28" s="18" t="n">
        <v>900</v>
      </c>
      <c r="C28" s="14" t="n">
        <v>3.9</v>
      </c>
      <c r="D28" s="5" t="n">
        <v>47441</v>
      </c>
      <c r="F28" s="5" t="n"/>
      <c r="G28" s="11">
        <f>IF(F28="","",F28+1)</f>
        <v/>
      </c>
      <c r="H28" s="12" t="n"/>
      <c r="I28" s="12" t="n"/>
      <c r="J28" s="12" t="n"/>
      <c r="K28" s="12" t="n"/>
      <c r="L28" s="12" t="n"/>
      <c r="M28" s="12" t="n"/>
      <c r="N28" s="12" t="n"/>
      <c r="O28" s="12" t="n"/>
      <c r="Q28" s="22" t="n">
        <v>80</v>
      </c>
      <c r="R28" s="20">
        <f>R$6+$Q28/100*$B$8*W$88-R$8</f>
        <v/>
      </c>
      <c r="S28" s="20">
        <f>S$6+$Q28/100*$B$8*AE$88-S$8</f>
        <v/>
      </c>
      <c r="T28" s="20">
        <f>T$6+$Q28/100*$B$8*AM$88-T$8</f>
        <v/>
      </c>
      <c r="U28" s="20">
        <f>U$6+$Q28/100*$B$8*AU$88-U$8</f>
        <v/>
      </c>
      <c r="V28" s="20">
        <f>V$6+$Q28/100*$B$8*BC$88-V$8</f>
        <v/>
      </c>
      <c r="W28" s="20">
        <f>W$6+$Q28/100*$B$8*BK$88-W$8</f>
        <v/>
      </c>
      <c r="X28" s="20">
        <f>X$6+$Q28/100*$B$8*BS$88-X$8</f>
        <v/>
      </c>
      <c r="Y28" s="20">
        <f>Y$6+$Q28/100*$B$8*CA$88-Y$8</f>
        <v/>
      </c>
      <c r="Z28" s="23">
        <f>_xlfn.AGGREGATE(14,6,$BH28:$BO28,1)-_xlfn.AGGREGATE(15,6,$BH28:$BO28,1)</f>
        <v/>
      </c>
      <c r="AA28" s="20">
        <f>SUMPRODUCT($H$38:$O$38,$R28:$Y28)/MAX(0.0001,SUM($H$38:$O$38))</f>
        <v/>
      </c>
      <c r="AB28" s="23">
        <f>SQRT(MAX(0,SUMPRODUCT($H$38:$O$38,($R28:$Y28-AA28)^2)/MAX(0.0001,SUM($H$38:$O$38))))</f>
        <v/>
      </c>
      <c r="AE28" s="15">
        <f>A72</f>
        <v/>
      </c>
      <c r="AF28" s="16">
        <f>$B$18/$B$8*INDEX($A72:$CB72,16+(MATCH($AF$5,$R$5:$Y$5,0)-1)*8+5)*INDEX($A72:$CB72,16+(MATCH($AF$5,$R$5:$Y$5,0)-1)*8+1)/100*$B72/360</f>
        <v/>
      </c>
      <c r="AG28" s="16">
        <f>$B$19/$B$8*INDEX($A72:$CB72,16+(MATCH($AF$5,$R$5:$Y$5,0)-1)*8+5)*INDEX($A72:$CB72,16+(MATCH($AF$5,$R$5:$Y$5,0)-1)*8+2)/100*$B72/360</f>
        <v/>
      </c>
      <c r="AH28" s="16">
        <f>$B$20/$B$8*INDEX($A72:$CB72,16+(MATCH($AF$5,$R$5:$Y$5,0)-1)*8+5)*INDEX($A72:$CB72,16+(MATCH($AF$5,$R$5:$Y$5,0)-1)*8+3)/100*$B72/360</f>
        <v/>
      </c>
      <c r="AI28" s="16">
        <f>$B$21/$B$8*INDEX($A72:$CB72,16+(MATCH($AF$5,$R$5:$Y$5,0)-1)*8+5)*INDEX($A72:$CB72,16+(MATCH($AF$5,$R$5:$Y$5,0)-1)*8+4)/100*$B72/360</f>
        <v/>
      </c>
      <c r="AJ28" s="16">
        <f>$B$14/100*$B$8*INDEX($A72:$CB72,16+(MATCH($AF$5,$R$5:$Y$5,0)-1)*8+7)</f>
        <v/>
      </c>
      <c r="AK28" s="16">
        <f>-$C72</f>
        <v/>
      </c>
      <c r="AL28" s="17">
        <f>SUM(AF28:AK28)</f>
        <v/>
      </c>
      <c r="BH28" s="24">
        <f>IF(H$38=0,NA(),R28)</f>
        <v/>
      </c>
      <c r="BI28" s="24">
        <f>IF(I$38=0,NA(),S28)</f>
        <v/>
      </c>
      <c r="BJ28" s="24">
        <f>IF(J$38=0,NA(),T28)</f>
        <v/>
      </c>
      <c r="BK28" s="24">
        <f>IF(K$38=0,NA(),U28)</f>
        <v/>
      </c>
      <c r="BL28" s="24">
        <f>IF(L$38=0,NA(),V28)</f>
        <v/>
      </c>
      <c r="BM28" s="24">
        <f>IF(M$38=0,NA(),W28)</f>
        <v/>
      </c>
      <c r="BN28" s="24">
        <f>IF(N$38=0,NA(),X28)</f>
        <v/>
      </c>
      <c r="BO28" s="24">
        <f>IF(O$38=0,NA(),Y28)</f>
        <v/>
      </c>
    </row>
    <row r="29">
      <c r="A29" s="26" t="inlineStr">
        <is>
          <t>4.65% '31</t>
        </is>
      </c>
      <c r="B29" s="18" t="n">
        <v>400</v>
      </c>
      <c r="C29" s="14" t="n">
        <v>4.65</v>
      </c>
      <c r="D29" s="5" t="n">
        <v>47919</v>
      </c>
      <c r="F29" s="5" t="n"/>
      <c r="G29" s="11">
        <f>IF(F29="","",F29+1)</f>
        <v/>
      </c>
      <c r="H29" s="12" t="n"/>
      <c r="I29" s="12" t="n"/>
      <c r="J29" s="12" t="n"/>
      <c r="K29" s="12" t="n"/>
      <c r="L29" s="12" t="n"/>
      <c r="M29" s="12" t="n"/>
      <c r="N29" s="12" t="n"/>
      <c r="O29" s="12" t="n"/>
      <c r="Q29" s="22" t="n">
        <v>90</v>
      </c>
      <c r="R29" s="20">
        <f>R$6+$Q29/100*$B$8*W$88-R$8</f>
        <v/>
      </c>
      <c r="S29" s="20">
        <f>S$6+$Q29/100*$B$8*AE$88-S$8</f>
        <v/>
      </c>
      <c r="T29" s="20">
        <f>T$6+$Q29/100*$B$8*AM$88-T$8</f>
        <v/>
      </c>
      <c r="U29" s="20">
        <f>U$6+$Q29/100*$B$8*AU$88-U$8</f>
        <v/>
      </c>
      <c r="V29" s="20">
        <f>V$6+$Q29/100*$B$8*BC$88-V$8</f>
        <v/>
      </c>
      <c r="W29" s="20">
        <f>W$6+$Q29/100*$B$8*BK$88-W$8</f>
        <v/>
      </c>
      <c r="X29" s="20">
        <f>X$6+$Q29/100*$B$8*BS$88-X$8</f>
        <v/>
      </c>
      <c r="Y29" s="20">
        <f>Y$6+$Q29/100*$B$8*CA$88-Y$8</f>
        <v/>
      </c>
      <c r="Z29" s="23">
        <f>_xlfn.AGGREGATE(14,6,$BH29:$BO29,1)-_xlfn.AGGREGATE(15,6,$BH29:$BO29,1)</f>
        <v/>
      </c>
      <c r="AA29" s="20">
        <f>SUMPRODUCT($H$38:$O$38,$R29:$Y29)/MAX(0.0001,SUM($H$38:$O$38))</f>
        <v/>
      </c>
      <c r="AB29" s="23">
        <f>SQRT(MAX(0,SUMPRODUCT($H$38:$O$38,($R29:$Y29-AA29)^2)/MAX(0.0001,SUM($H$38:$O$38))))</f>
        <v/>
      </c>
      <c r="AE29" s="15">
        <f>A73</f>
        <v/>
      </c>
      <c r="AF29" s="16">
        <f>$B$18/$B$8*INDEX($A73:$CB73,16+(MATCH($AF$5,$R$5:$Y$5,0)-1)*8+5)*INDEX($A73:$CB73,16+(MATCH($AF$5,$R$5:$Y$5,0)-1)*8+1)/100*$B73/360</f>
        <v/>
      </c>
      <c r="AG29" s="16">
        <f>$B$19/$B$8*INDEX($A73:$CB73,16+(MATCH($AF$5,$R$5:$Y$5,0)-1)*8+5)*INDEX($A73:$CB73,16+(MATCH($AF$5,$R$5:$Y$5,0)-1)*8+2)/100*$B73/360</f>
        <v/>
      </c>
      <c r="AH29" s="16">
        <f>$B$20/$B$8*INDEX($A73:$CB73,16+(MATCH($AF$5,$R$5:$Y$5,0)-1)*8+5)*INDEX($A73:$CB73,16+(MATCH($AF$5,$R$5:$Y$5,0)-1)*8+3)/100*$B73/360</f>
        <v/>
      </c>
      <c r="AI29" s="16">
        <f>$B$21/$B$8*INDEX($A73:$CB73,16+(MATCH($AF$5,$R$5:$Y$5,0)-1)*8+5)*INDEX($A73:$CB73,16+(MATCH($AF$5,$R$5:$Y$5,0)-1)*8+4)/100*$B73/360</f>
        <v/>
      </c>
      <c r="AJ29" s="16">
        <f>$B$14/100*$B$8*INDEX($A73:$CB73,16+(MATCH($AF$5,$R$5:$Y$5,0)-1)*8+7)</f>
        <v/>
      </c>
      <c r="AK29" s="16">
        <f>-$C73</f>
        <v/>
      </c>
      <c r="AL29" s="17">
        <f>SUM(AF29:AK29)</f>
        <v/>
      </c>
      <c r="BH29" s="24">
        <f>IF(H$38=0,NA(),R29)</f>
        <v/>
      </c>
      <c r="BI29" s="24">
        <f>IF(I$38=0,NA(),S29)</f>
        <v/>
      </c>
      <c r="BJ29" s="24">
        <f>IF(J$38=0,NA(),T29)</f>
        <v/>
      </c>
      <c r="BK29" s="24">
        <f>IF(K$38=0,NA(),U29)</f>
        <v/>
      </c>
      <c r="BL29" s="24">
        <f>IF(L$38=0,NA(),V29)</f>
        <v/>
      </c>
      <c r="BM29" s="24">
        <f>IF(M$38=0,NA(),W29)</f>
        <v/>
      </c>
      <c r="BN29" s="24">
        <f>IF(N$38=0,NA(),X29)</f>
        <v/>
      </c>
      <c r="BO29" s="24">
        <f>IF(O$38=0,NA(),Y29)</f>
        <v/>
      </c>
    </row>
    <row r="30">
      <c r="A30" s="26" t="inlineStr">
        <is>
          <t>6.05% '34</t>
        </is>
      </c>
      <c r="B30" s="18" t="n">
        <v>500</v>
      </c>
      <c r="C30" s="14" t="n">
        <v>6.05</v>
      </c>
      <c r="D30" s="5" t="n">
        <v>49078</v>
      </c>
      <c r="F30" s="5" t="n"/>
      <c r="G30" s="11">
        <f>IF(F30="","",F30+1)</f>
        <v/>
      </c>
      <c r="H30" s="12" t="n"/>
      <c r="I30" s="12" t="n"/>
      <c r="J30" s="12" t="n"/>
      <c r="K30" s="12" t="n"/>
      <c r="L30" s="12" t="n"/>
      <c r="M30" s="12" t="n"/>
      <c r="N30" s="12" t="n"/>
      <c r="O30" s="12" t="n"/>
      <c r="Q30" s="22" t="n">
        <v>100</v>
      </c>
      <c r="R30" s="20">
        <f>R$6+$Q30/100*$B$8*W$88-R$8</f>
        <v/>
      </c>
      <c r="S30" s="20">
        <f>S$6+$Q30/100*$B$8*AE$88-S$8</f>
        <v/>
      </c>
      <c r="T30" s="20">
        <f>T$6+$Q30/100*$B$8*AM$88-T$8</f>
        <v/>
      </c>
      <c r="U30" s="20">
        <f>U$6+$Q30/100*$B$8*AU$88-U$8</f>
        <v/>
      </c>
      <c r="V30" s="20">
        <f>V$6+$Q30/100*$B$8*BC$88-V$8</f>
        <v/>
      </c>
      <c r="W30" s="20">
        <f>W$6+$Q30/100*$B$8*BK$88-W$8</f>
        <v/>
      </c>
      <c r="X30" s="20">
        <f>X$6+$Q30/100*$B$8*BS$88-X$8</f>
        <v/>
      </c>
      <c r="Y30" s="20">
        <f>Y$6+$Q30/100*$B$8*CA$88-Y$8</f>
        <v/>
      </c>
      <c r="Z30" s="23">
        <f>_xlfn.AGGREGATE(14,6,$BH30:$BO30,1)-_xlfn.AGGREGATE(15,6,$BH30:$BO30,1)</f>
        <v/>
      </c>
      <c r="AA30" s="20">
        <f>SUMPRODUCT($H$38:$O$38,$R30:$Y30)/MAX(0.0001,SUM($H$38:$O$38))</f>
        <v/>
      </c>
      <c r="AB30" s="23">
        <f>SQRT(MAX(0,SUMPRODUCT($H$38:$O$38,($R30:$Y30-AA30)^2)/MAX(0.0001,SUM($H$38:$O$38))))</f>
        <v/>
      </c>
      <c r="AE30" s="15">
        <f>A74</f>
        <v/>
      </c>
      <c r="AF30" s="16">
        <f>$B$18/$B$8*INDEX($A74:$CB74,16+(MATCH($AF$5,$R$5:$Y$5,0)-1)*8+5)*INDEX($A74:$CB74,16+(MATCH($AF$5,$R$5:$Y$5,0)-1)*8+1)/100*$B74/360</f>
        <v/>
      </c>
      <c r="AG30" s="16">
        <f>$B$19/$B$8*INDEX($A74:$CB74,16+(MATCH($AF$5,$R$5:$Y$5,0)-1)*8+5)*INDEX($A74:$CB74,16+(MATCH($AF$5,$R$5:$Y$5,0)-1)*8+2)/100*$B74/360</f>
        <v/>
      </c>
      <c r="AH30" s="16">
        <f>$B$20/$B$8*INDEX($A74:$CB74,16+(MATCH($AF$5,$R$5:$Y$5,0)-1)*8+5)*INDEX($A74:$CB74,16+(MATCH($AF$5,$R$5:$Y$5,0)-1)*8+3)/100*$B74/360</f>
        <v/>
      </c>
      <c r="AI30" s="16">
        <f>$B$21/$B$8*INDEX($A74:$CB74,16+(MATCH($AF$5,$R$5:$Y$5,0)-1)*8+5)*INDEX($A74:$CB74,16+(MATCH($AF$5,$R$5:$Y$5,0)-1)*8+4)/100*$B74/360</f>
        <v/>
      </c>
      <c r="AJ30" s="16">
        <f>$B$14/100*$B$8*INDEX($A74:$CB74,16+(MATCH($AF$5,$R$5:$Y$5,0)-1)*8+7)</f>
        <v/>
      </c>
      <c r="AK30" s="16">
        <f>-$C74</f>
        <v/>
      </c>
      <c r="AL30" s="17">
        <f>SUM(AF30:AK30)</f>
        <v/>
      </c>
      <c r="BH30" s="24">
        <f>IF(H$38=0,NA(),R30)</f>
        <v/>
      </c>
      <c r="BI30" s="24">
        <f>IF(I$38=0,NA(),S30)</f>
        <v/>
      </c>
      <c r="BJ30" s="24">
        <f>IF(J$38=0,NA(),T30)</f>
        <v/>
      </c>
      <c r="BK30" s="24">
        <f>IF(K$38=0,NA(),U30)</f>
        <v/>
      </c>
      <c r="BL30" s="24">
        <f>IF(L$38=0,NA(),V30)</f>
        <v/>
      </c>
      <c r="BM30" s="24">
        <f>IF(M$38=0,NA(),W30)</f>
        <v/>
      </c>
      <c r="BN30" s="24">
        <f>IF(N$38=0,NA(),X30)</f>
        <v/>
      </c>
      <c r="BO30" s="24">
        <f>IF(O$38=0,NA(),Y30)</f>
        <v/>
      </c>
    </row>
    <row r="31">
      <c r="A31" s="26" t="inlineStr">
        <is>
          <t>6.35% '40</t>
        </is>
      </c>
      <c r="B31" s="18" t="n">
        <v>500</v>
      </c>
      <c r="C31" s="14" t="n">
        <v>6.35</v>
      </c>
      <c r="D31" s="5" t="n">
        <v>51210</v>
      </c>
      <c r="F31" s="5" t="n"/>
      <c r="G31" s="11">
        <f>IF(F31="","",F31+1)</f>
        <v/>
      </c>
      <c r="H31" s="12" t="n"/>
      <c r="I31" s="12" t="n"/>
      <c r="J31" s="12" t="n"/>
      <c r="K31" s="12" t="n"/>
      <c r="L31" s="12" t="n"/>
      <c r="M31" s="12" t="n"/>
      <c r="N31" s="12" t="n"/>
      <c r="O31" s="12" t="n"/>
      <c r="Q31" s="6" t="inlineStr">
        <is>
          <t>Min dispersion @ notional %</t>
        </is>
      </c>
      <c r="S31" s="27">
        <f>INDEX($Q$20:$Q$30,MATCH(MIN($Z$20:$Z$30),$Z$20:$Z$30,0))</f>
        <v/>
      </c>
      <c r="T31" s="21">
        <f>MIN($Z$20:$Z$30)</f>
        <v/>
      </c>
      <c r="AE31" s="15">
        <f>A75</f>
        <v/>
      </c>
      <c r="AF31" s="16">
        <f>$B$18/$B$8*INDEX($A75:$CB75,16+(MATCH($AF$5,$R$5:$Y$5,0)-1)*8+5)*INDEX($A75:$CB75,16+(MATCH($AF$5,$R$5:$Y$5,0)-1)*8+1)/100*$B75/360</f>
        <v/>
      </c>
      <c r="AG31" s="16">
        <f>$B$19/$B$8*INDEX($A75:$CB75,16+(MATCH($AF$5,$R$5:$Y$5,0)-1)*8+5)*INDEX($A75:$CB75,16+(MATCH($AF$5,$R$5:$Y$5,0)-1)*8+2)/100*$B75/360</f>
        <v/>
      </c>
      <c r="AH31" s="16">
        <f>$B$20/$B$8*INDEX($A75:$CB75,16+(MATCH($AF$5,$R$5:$Y$5,0)-1)*8+5)*INDEX($A75:$CB75,16+(MATCH($AF$5,$R$5:$Y$5,0)-1)*8+3)/100*$B75/360</f>
        <v/>
      </c>
      <c r="AI31" s="16">
        <f>$B$21/$B$8*INDEX($A75:$CB75,16+(MATCH($AF$5,$R$5:$Y$5,0)-1)*8+5)*INDEX($A75:$CB75,16+(MATCH($AF$5,$R$5:$Y$5,0)-1)*8+4)/100*$B75/360</f>
        <v/>
      </c>
      <c r="AJ31" s="16">
        <f>$B$14/100*$B$8*INDEX($A75:$CB75,16+(MATCH($AF$5,$R$5:$Y$5,0)-1)*8+7)</f>
        <v/>
      </c>
      <c r="AK31" s="16">
        <f>-$C75</f>
        <v/>
      </c>
      <c r="AL31" s="17">
        <f>SUM(AF31:AK31)</f>
        <v/>
      </c>
    </row>
    <row r="32">
      <c r="A32" s="26" t="inlineStr">
        <is>
          <t>5.10% '44</t>
        </is>
      </c>
      <c r="B32" s="18" t="n">
        <v>300</v>
      </c>
      <c r="C32" s="14" t="n">
        <v>5.1</v>
      </c>
      <c r="D32" s="5" t="n">
        <v>52732</v>
      </c>
      <c r="F32" s="5" t="n"/>
      <c r="G32" s="11">
        <f>IF(F32="","",F32+1)</f>
        <v/>
      </c>
      <c r="H32" s="12" t="n"/>
      <c r="I32" s="12" t="n"/>
      <c r="J32" s="12" t="n"/>
      <c r="K32" s="12" t="n"/>
      <c r="L32" s="12" t="n"/>
      <c r="M32" s="12" t="n"/>
      <c r="N32" s="12" t="n"/>
      <c r="O32" s="12" t="n"/>
      <c r="AE32" s="15">
        <f>A76</f>
        <v/>
      </c>
      <c r="AF32" s="16">
        <f>$B$18/$B$8*INDEX($A76:$CB76,16+(MATCH($AF$5,$R$5:$Y$5,0)-1)*8+5)*INDEX($A76:$CB76,16+(MATCH($AF$5,$R$5:$Y$5,0)-1)*8+1)/100*$B76/360</f>
        <v/>
      </c>
      <c r="AG32" s="16">
        <f>$B$19/$B$8*INDEX($A76:$CB76,16+(MATCH($AF$5,$R$5:$Y$5,0)-1)*8+5)*INDEX($A76:$CB76,16+(MATCH($AF$5,$R$5:$Y$5,0)-1)*8+2)/100*$B76/360</f>
        <v/>
      </c>
      <c r="AH32" s="16">
        <f>$B$20/$B$8*INDEX($A76:$CB76,16+(MATCH($AF$5,$R$5:$Y$5,0)-1)*8+5)*INDEX($A76:$CB76,16+(MATCH($AF$5,$R$5:$Y$5,0)-1)*8+3)/100*$B76/360</f>
        <v/>
      </c>
      <c r="AI32" s="16">
        <f>$B$21/$B$8*INDEX($A76:$CB76,16+(MATCH($AF$5,$R$5:$Y$5,0)-1)*8+5)*INDEX($A76:$CB76,16+(MATCH($AF$5,$R$5:$Y$5,0)-1)*8+4)/100*$B76/360</f>
        <v/>
      </c>
      <c r="AJ32" s="16">
        <f>$B$14/100*$B$8*INDEX($A76:$CB76,16+(MATCH($AF$5,$R$5:$Y$5,0)-1)*8+7)</f>
        <v/>
      </c>
      <c r="AK32" s="16">
        <f>-$C76</f>
        <v/>
      </c>
      <c r="AL32" s="17">
        <f>SUM(AF32:AK32)</f>
        <v/>
      </c>
    </row>
    <row r="33">
      <c r="A33" s="9" t="n"/>
      <c r="B33" s="18" t="n"/>
      <c r="C33" s="14" t="n"/>
      <c r="D33" s="5" t="n"/>
      <c r="F33" s="5" t="n"/>
      <c r="G33" s="11">
        <f>IF(F33="","",F33+1)</f>
        <v/>
      </c>
      <c r="H33" s="12" t="n"/>
      <c r="I33" s="12" t="n"/>
      <c r="J33" s="12" t="n"/>
      <c r="K33" s="12" t="n"/>
      <c r="L33" s="12" t="n"/>
      <c r="M33" s="12" t="n"/>
      <c r="N33" s="12" t="n"/>
      <c r="O33" s="12" t="n"/>
      <c r="AE33" s="15">
        <f>A77</f>
        <v/>
      </c>
      <c r="AF33" s="16">
        <f>$B$18/$B$8*INDEX($A77:$CB77,16+(MATCH($AF$5,$R$5:$Y$5,0)-1)*8+5)*INDEX($A77:$CB77,16+(MATCH($AF$5,$R$5:$Y$5,0)-1)*8+1)/100*$B77/360</f>
        <v/>
      </c>
      <c r="AG33" s="16">
        <f>$B$19/$B$8*INDEX($A77:$CB77,16+(MATCH($AF$5,$R$5:$Y$5,0)-1)*8+5)*INDEX($A77:$CB77,16+(MATCH($AF$5,$R$5:$Y$5,0)-1)*8+2)/100*$B77/360</f>
        <v/>
      </c>
      <c r="AH33" s="16">
        <f>$B$20/$B$8*INDEX($A77:$CB77,16+(MATCH($AF$5,$R$5:$Y$5,0)-1)*8+5)*INDEX($A77:$CB77,16+(MATCH($AF$5,$R$5:$Y$5,0)-1)*8+3)/100*$B77/360</f>
        <v/>
      </c>
      <c r="AI33" s="16">
        <f>$B$21/$B$8*INDEX($A77:$CB77,16+(MATCH($AF$5,$R$5:$Y$5,0)-1)*8+5)*INDEX($A77:$CB77,16+(MATCH($AF$5,$R$5:$Y$5,0)-1)*8+4)/100*$B77/360</f>
        <v/>
      </c>
      <c r="AJ33" s="16">
        <f>$B$14/100*$B$8*INDEX($A77:$CB77,16+(MATCH($AF$5,$R$5:$Y$5,0)-1)*8+7)</f>
        <v/>
      </c>
      <c r="AK33" s="16">
        <f>-$C77</f>
        <v/>
      </c>
      <c r="AL33" s="17">
        <f>SUM(AF33:AK33)</f>
        <v/>
      </c>
    </row>
    <row r="34">
      <c r="A34" s="9" t="n"/>
      <c r="B34" s="18" t="n"/>
      <c r="C34" s="14" t="n"/>
      <c r="D34" s="5" t="n"/>
      <c r="F34" s="5" t="n"/>
      <c r="G34" s="11">
        <f>IF(F34="","",F34+1)</f>
        <v/>
      </c>
      <c r="H34" s="12" t="n"/>
      <c r="I34" s="12" t="n"/>
      <c r="J34" s="12" t="n"/>
      <c r="K34" s="12" t="n"/>
      <c r="L34" s="12" t="n"/>
      <c r="M34" s="12" t="n"/>
      <c r="N34" s="12" t="n"/>
      <c r="O34" s="12" t="n"/>
      <c r="AE34" s="15">
        <f>A78</f>
        <v/>
      </c>
      <c r="AF34" s="16">
        <f>$B$18/$B$8*INDEX($A78:$CB78,16+(MATCH($AF$5,$R$5:$Y$5,0)-1)*8+5)*INDEX($A78:$CB78,16+(MATCH($AF$5,$R$5:$Y$5,0)-1)*8+1)/100*$B78/360</f>
        <v/>
      </c>
      <c r="AG34" s="16">
        <f>$B$19/$B$8*INDEX($A78:$CB78,16+(MATCH($AF$5,$R$5:$Y$5,0)-1)*8+5)*INDEX($A78:$CB78,16+(MATCH($AF$5,$R$5:$Y$5,0)-1)*8+2)/100*$B78/360</f>
        <v/>
      </c>
      <c r="AH34" s="16">
        <f>$B$20/$B$8*INDEX($A78:$CB78,16+(MATCH($AF$5,$R$5:$Y$5,0)-1)*8+5)*INDEX($A78:$CB78,16+(MATCH($AF$5,$R$5:$Y$5,0)-1)*8+3)/100*$B78/360</f>
        <v/>
      </c>
      <c r="AI34" s="16">
        <f>$B$21/$B$8*INDEX($A78:$CB78,16+(MATCH($AF$5,$R$5:$Y$5,0)-1)*8+5)*INDEX($A78:$CB78,16+(MATCH($AF$5,$R$5:$Y$5,0)-1)*8+4)/100*$B78/360</f>
        <v/>
      </c>
      <c r="AJ34" s="16">
        <f>$B$14/100*$B$8*INDEX($A78:$CB78,16+(MATCH($AF$5,$R$5:$Y$5,0)-1)*8+7)</f>
        <v/>
      </c>
      <c r="AK34" s="16">
        <f>-$C78</f>
        <v/>
      </c>
      <c r="AL34" s="17">
        <f>SUM(AF34:AK34)</f>
        <v/>
      </c>
    </row>
    <row r="35">
      <c r="A35" s="9" t="n"/>
      <c r="B35" s="18" t="n"/>
      <c r="C35" s="14" t="n"/>
      <c r="D35" s="5" t="n"/>
      <c r="F35" s="5" t="n"/>
      <c r="G35" s="11">
        <f>IF(F35="","",F35+1)</f>
        <v/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AE35" s="15">
        <f>A79</f>
        <v/>
      </c>
      <c r="AF35" s="16">
        <f>$B$18/$B$8*INDEX($A79:$CB79,16+(MATCH($AF$5,$R$5:$Y$5,0)-1)*8+5)*INDEX($A79:$CB79,16+(MATCH($AF$5,$R$5:$Y$5,0)-1)*8+1)/100*$B79/360</f>
        <v/>
      </c>
      <c r="AG35" s="16">
        <f>$B$19/$B$8*INDEX($A79:$CB79,16+(MATCH($AF$5,$R$5:$Y$5,0)-1)*8+5)*INDEX($A79:$CB79,16+(MATCH($AF$5,$R$5:$Y$5,0)-1)*8+2)/100*$B79/360</f>
        <v/>
      </c>
      <c r="AH35" s="16">
        <f>$B$20/$B$8*INDEX($A79:$CB79,16+(MATCH($AF$5,$R$5:$Y$5,0)-1)*8+5)*INDEX($A79:$CB79,16+(MATCH($AF$5,$R$5:$Y$5,0)-1)*8+3)/100*$B79/360</f>
        <v/>
      </c>
      <c r="AI35" s="16">
        <f>$B$21/$B$8*INDEX($A79:$CB79,16+(MATCH($AF$5,$R$5:$Y$5,0)-1)*8+5)*INDEX($A79:$CB79,16+(MATCH($AF$5,$R$5:$Y$5,0)-1)*8+4)/100*$B79/360</f>
        <v/>
      </c>
      <c r="AJ35" s="16">
        <f>$B$14/100*$B$8*INDEX($A79:$CB79,16+(MATCH($AF$5,$R$5:$Y$5,0)-1)*8+7)</f>
        <v/>
      </c>
      <c r="AK35" s="16">
        <f>-$C79</f>
        <v/>
      </c>
      <c r="AL35" s="17">
        <f>SUM(AF35:AK35)</f>
        <v/>
      </c>
    </row>
    <row r="36">
      <c r="A36" s="9" t="n"/>
      <c r="B36" s="18" t="n"/>
      <c r="C36" s="14" t="n"/>
      <c r="D36" s="5" t="n"/>
      <c r="AE36" s="15">
        <f>A80</f>
        <v/>
      </c>
      <c r="AF36" s="16">
        <f>$B$18/$B$8*INDEX($A80:$CB80,16+(MATCH($AF$5,$R$5:$Y$5,0)-1)*8+5)*INDEX($A80:$CB80,16+(MATCH($AF$5,$R$5:$Y$5,0)-1)*8+1)/100*$B80/360</f>
        <v/>
      </c>
      <c r="AG36" s="16">
        <f>$B$19/$B$8*INDEX($A80:$CB80,16+(MATCH($AF$5,$R$5:$Y$5,0)-1)*8+5)*INDEX($A80:$CB80,16+(MATCH($AF$5,$R$5:$Y$5,0)-1)*8+2)/100*$B80/360</f>
        <v/>
      </c>
      <c r="AH36" s="16">
        <f>$B$20/$B$8*INDEX($A80:$CB80,16+(MATCH($AF$5,$R$5:$Y$5,0)-1)*8+5)*INDEX($A80:$CB80,16+(MATCH($AF$5,$R$5:$Y$5,0)-1)*8+3)/100*$B80/360</f>
        <v/>
      </c>
      <c r="AI36" s="16">
        <f>$B$21/$B$8*INDEX($A80:$CB80,16+(MATCH($AF$5,$R$5:$Y$5,0)-1)*8+5)*INDEX($A80:$CB80,16+(MATCH($AF$5,$R$5:$Y$5,0)-1)*8+4)/100*$B80/360</f>
        <v/>
      </c>
      <c r="AJ36" s="16">
        <f>$B$14/100*$B$8*INDEX($A80:$CB80,16+(MATCH($AF$5,$R$5:$Y$5,0)-1)*8+7)</f>
        <v/>
      </c>
      <c r="AK36" s="16">
        <f>-$C80</f>
        <v/>
      </c>
      <c r="AL36" s="17">
        <f>SUM(AF36:AK36)</f>
        <v/>
      </c>
    </row>
    <row r="37">
      <c r="A37" s="9" t="n"/>
      <c r="B37" s="18" t="n"/>
      <c r="C37" s="14" t="n"/>
      <c r="D37" s="5" t="n"/>
      <c r="F37" s="6" t="inlineStr">
        <is>
          <t>Scale ×</t>
        </is>
      </c>
      <c r="H37" s="28" t="n">
        <v>1</v>
      </c>
      <c r="I37" s="28" t="n">
        <v>1</v>
      </c>
      <c r="J37" s="28" t="n">
        <v>1</v>
      </c>
      <c r="K37" s="28" t="n">
        <v>1</v>
      </c>
      <c r="L37" s="28" t="n">
        <v>1</v>
      </c>
      <c r="M37" s="28" t="n">
        <v>1</v>
      </c>
      <c r="N37" s="28" t="n">
        <v>1</v>
      </c>
      <c r="O37" s="28" t="n">
        <v>1</v>
      </c>
      <c r="AE37" s="15">
        <f>A81</f>
        <v/>
      </c>
      <c r="AF37" s="16">
        <f>$B$18/$B$8*INDEX($A81:$CB81,16+(MATCH($AF$5,$R$5:$Y$5,0)-1)*8+5)*INDEX($A81:$CB81,16+(MATCH($AF$5,$R$5:$Y$5,0)-1)*8+1)/100*$B81/360</f>
        <v/>
      </c>
      <c r="AG37" s="16">
        <f>$B$19/$B$8*INDEX($A81:$CB81,16+(MATCH($AF$5,$R$5:$Y$5,0)-1)*8+5)*INDEX($A81:$CB81,16+(MATCH($AF$5,$R$5:$Y$5,0)-1)*8+2)/100*$B81/360</f>
        <v/>
      </c>
      <c r="AH37" s="16">
        <f>$B$20/$B$8*INDEX($A81:$CB81,16+(MATCH($AF$5,$R$5:$Y$5,0)-1)*8+5)*INDEX($A81:$CB81,16+(MATCH($AF$5,$R$5:$Y$5,0)-1)*8+3)/100*$B81/360</f>
        <v/>
      </c>
      <c r="AI37" s="16">
        <f>$B$21/$B$8*INDEX($A81:$CB81,16+(MATCH($AF$5,$R$5:$Y$5,0)-1)*8+5)*INDEX($A81:$CB81,16+(MATCH($AF$5,$R$5:$Y$5,0)-1)*8+4)/100*$B81/360</f>
        <v/>
      </c>
      <c r="AJ37" s="16">
        <f>$B$14/100*$B$8*INDEX($A81:$CB81,16+(MATCH($AF$5,$R$5:$Y$5,0)-1)*8+7)</f>
        <v/>
      </c>
      <c r="AK37" s="16">
        <f>-$C81</f>
        <v/>
      </c>
      <c r="AL37" s="17">
        <f>SUM(AF37:AK37)</f>
        <v/>
      </c>
    </row>
    <row r="38">
      <c r="F38" s="6" t="inlineStr">
        <is>
          <t>Weight</t>
        </is>
      </c>
      <c r="H38" s="29" t="n">
        <v>0.125</v>
      </c>
      <c r="I38" s="29" t="n">
        <v>0.125</v>
      </c>
      <c r="J38" s="29" t="n">
        <v>0.125</v>
      </c>
      <c r="K38" s="29" t="n">
        <v>0.125</v>
      </c>
      <c r="L38" s="29" t="n">
        <v>0.125</v>
      </c>
      <c r="M38" s="29" t="n">
        <v>0.125</v>
      </c>
      <c r="N38" s="29" t="n">
        <v>0.125</v>
      </c>
      <c r="O38" s="29" t="n">
        <v>0.125</v>
      </c>
      <c r="AE38" s="15">
        <f>A82</f>
        <v/>
      </c>
      <c r="AF38" s="16">
        <f>$B$18/$B$8*INDEX($A82:$CB82,16+(MATCH($AF$5,$R$5:$Y$5,0)-1)*8+5)*INDEX($A82:$CB82,16+(MATCH($AF$5,$R$5:$Y$5,0)-1)*8+1)/100*$B82/360</f>
        <v/>
      </c>
      <c r="AG38" s="16">
        <f>$B$19/$B$8*INDEX($A82:$CB82,16+(MATCH($AF$5,$R$5:$Y$5,0)-1)*8+5)*INDEX($A82:$CB82,16+(MATCH($AF$5,$R$5:$Y$5,0)-1)*8+2)/100*$B82/360</f>
        <v/>
      </c>
      <c r="AH38" s="16">
        <f>$B$20/$B$8*INDEX($A82:$CB82,16+(MATCH($AF$5,$R$5:$Y$5,0)-1)*8+5)*INDEX($A82:$CB82,16+(MATCH($AF$5,$R$5:$Y$5,0)-1)*8+3)/100*$B82/360</f>
        <v/>
      </c>
      <c r="AI38" s="16">
        <f>$B$21/$B$8*INDEX($A82:$CB82,16+(MATCH($AF$5,$R$5:$Y$5,0)-1)*8+5)*INDEX($A82:$CB82,16+(MATCH($AF$5,$R$5:$Y$5,0)-1)*8+4)/100*$B82/360</f>
        <v/>
      </c>
      <c r="AJ38" s="16">
        <f>$B$14/100*$B$8*INDEX($A82:$CB82,16+(MATCH($AF$5,$R$5:$Y$5,0)-1)*8+7)</f>
        <v/>
      </c>
      <c r="AK38" s="16">
        <f>-$C82</f>
        <v/>
      </c>
      <c r="AL38" s="17">
        <f>SUM(AF38:AK38)</f>
        <v/>
      </c>
    </row>
    <row r="39">
      <c r="AE39" s="15">
        <f>A83</f>
        <v/>
      </c>
      <c r="AF39" s="16">
        <f>$B$18/$B$8*INDEX($A83:$CB83,16+(MATCH($AF$5,$R$5:$Y$5,0)-1)*8+5)*INDEX($A83:$CB83,16+(MATCH($AF$5,$R$5:$Y$5,0)-1)*8+1)/100*$B83/360</f>
        <v/>
      </c>
      <c r="AG39" s="16">
        <f>$B$19/$B$8*INDEX($A83:$CB83,16+(MATCH($AF$5,$R$5:$Y$5,0)-1)*8+5)*INDEX($A83:$CB83,16+(MATCH($AF$5,$R$5:$Y$5,0)-1)*8+2)/100*$B83/360</f>
        <v/>
      </c>
      <c r="AH39" s="16">
        <f>$B$20/$B$8*INDEX($A83:$CB83,16+(MATCH($AF$5,$R$5:$Y$5,0)-1)*8+5)*INDEX($A83:$CB83,16+(MATCH($AF$5,$R$5:$Y$5,0)-1)*8+3)/100*$B83/360</f>
        <v/>
      </c>
      <c r="AI39" s="16">
        <f>$B$21/$B$8*INDEX($A83:$CB83,16+(MATCH($AF$5,$R$5:$Y$5,0)-1)*8+5)*INDEX($A83:$CB83,16+(MATCH($AF$5,$R$5:$Y$5,0)-1)*8+4)/100*$B83/360</f>
        <v/>
      </c>
      <c r="AJ39" s="16">
        <f>$B$14/100*$B$8*INDEX($A83:$CB83,16+(MATCH($AF$5,$R$5:$Y$5,0)-1)*8+7)</f>
        <v/>
      </c>
      <c r="AK39" s="16">
        <f>-$C83</f>
        <v/>
      </c>
      <c r="AL39" s="17">
        <f>SUM(AF39:AK39)</f>
        <v/>
      </c>
    </row>
    <row r="40">
      <c r="A40" s="3" t="inlineStr">
        <is>
          <t>SELF-TESTS</t>
        </is>
      </c>
      <c r="AE40" s="15">
        <f>A84</f>
        <v/>
      </c>
      <c r="AF40" s="16">
        <f>$B$18/$B$8*INDEX($A84:$CB84,16+(MATCH($AF$5,$R$5:$Y$5,0)-1)*8+5)*INDEX($A84:$CB84,16+(MATCH($AF$5,$R$5:$Y$5,0)-1)*8+1)/100*$B84/360</f>
        <v/>
      </c>
      <c r="AG40" s="16">
        <f>$B$19/$B$8*INDEX($A84:$CB84,16+(MATCH($AF$5,$R$5:$Y$5,0)-1)*8+5)*INDEX($A84:$CB84,16+(MATCH($AF$5,$R$5:$Y$5,0)-1)*8+2)/100*$B84/360</f>
        <v/>
      </c>
      <c r="AH40" s="16">
        <f>$B$20/$B$8*INDEX($A84:$CB84,16+(MATCH($AF$5,$R$5:$Y$5,0)-1)*8+5)*INDEX($A84:$CB84,16+(MATCH($AF$5,$R$5:$Y$5,0)-1)*8+3)/100*$B84/360</f>
        <v/>
      </c>
      <c r="AI40" s="16">
        <f>$B$21/$B$8*INDEX($A84:$CB84,16+(MATCH($AF$5,$R$5:$Y$5,0)-1)*8+5)*INDEX($A84:$CB84,16+(MATCH($AF$5,$R$5:$Y$5,0)-1)*8+4)/100*$B84/360</f>
        <v/>
      </c>
      <c r="AJ40" s="16">
        <f>$B$14/100*$B$8*INDEX($A84:$CB84,16+(MATCH($AF$5,$R$5:$Y$5,0)-1)*8+7)</f>
        <v/>
      </c>
      <c r="AK40" s="16">
        <f>-$C84</f>
        <v/>
      </c>
      <c r="AL40" s="17">
        <f>SUM(AF40:AK40)</f>
        <v/>
      </c>
    </row>
    <row r="41">
      <c r="A41" s="4" t="inlineStr">
        <is>
          <t>Weights sum 100%</t>
        </is>
      </c>
      <c r="B41" s="25">
        <f>IF(ABS(SUM(H38:O38)-1)&lt;0.001,"OK","FAIL")</f>
        <v/>
      </c>
      <c r="AE41" s="15">
        <f>A85</f>
        <v/>
      </c>
      <c r="AF41" s="16">
        <f>$B$18/$B$8*INDEX($A85:$CB85,16+(MATCH($AF$5,$R$5:$Y$5,0)-1)*8+5)*INDEX($A85:$CB85,16+(MATCH($AF$5,$R$5:$Y$5,0)-1)*8+1)/100*$B85/360</f>
        <v/>
      </c>
      <c r="AG41" s="16">
        <f>$B$19/$B$8*INDEX($A85:$CB85,16+(MATCH($AF$5,$R$5:$Y$5,0)-1)*8+5)*INDEX($A85:$CB85,16+(MATCH($AF$5,$R$5:$Y$5,0)-1)*8+2)/100*$B85/360</f>
        <v/>
      </c>
      <c r="AH41" s="16">
        <f>$B$20/$B$8*INDEX($A85:$CB85,16+(MATCH($AF$5,$R$5:$Y$5,0)-1)*8+5)*INDEX($A85:$CB85,16+(MATCH($AF$5,$R$5:$Y$5,0)-1)*8+3)/100*$B85/360</f>
        <v/>
      </c>
      <c r="AI41" s="16">
        <f>$B$21/$B$8*INDEX($A85:$CB85,16+(MATCH($AF$5,$R$5:$Y$5,0)-1)*8+5)*INDEX($A85:$CB85,16+(MATCH($AF$5,$R$5:$Y$5,0)-1)*8+4)/100*$B85/360</f>
        <v/>
      </c>
      <c r="AJ41" s="16">
        <f>$B$14/100*$B$8*INDEX($A85:$CB85,16+(MATCH($AF$5,$R$5:$Y$5,0)-1)*8+7)</f>
        <v/>
      </c>
      <c r="AK41" s="16">
        <f>-$C85</f>
        <v/>
      </c>
      <c r="AL41" s="17">
        <f>SUM(AF41:AK41)</f>
        <v/>
      </c>
    </row>
    <row r="42">
      <c r="A42" s="4" t="inlineStr">
        <is>
          <t>Allocation</t>
        </is>
      </c>
      <c r="B42" s="25">
        <f>IF(B22="OK","OK","FAIL")</f>
        <v/>
      </c>
      <c r="AE42" s="15">
        <f>A86</f>
        <v/>
      </c>
      <c r="AF42" s="16">
        <f>$B$18/$B$8*INDEX($A86:$CB86,16+(MATCH($AF$5,$R$5:$Y$5,0)-1)*8+5)*INDEX($A86:$CB86,16+(MATCH($AF$5,$R$5:$Y$5,0)-1)*8+1)/100*$B86/360</f>
        <v/>
      </c>
      <c r="AG42" s="16">
        <f>$B$19/$B$8*INDEX($A86:$CB86,16+(MATCH($AF$5,$R$5:$Y$5,0)-1)*8+5)*INDEX($A86:$CB86,16+(MATCH($AF$5,$R$5:$Y$5,0)-1)*8+2)/100*$B86/360</f>
        <v/>
      </c>
      <c r="AH42" s="16">
        <f>$B$20/$B$8*INDEX($A86:$CB86,16+(MATCH($AF$5,$R$5:$Y$5,0)-1)*8+5)*INDEX($A86:$CB86,16+(MATCH($AF$5,$R$5:$Y$5,0)-1)*8+3)/100*$B86/360</f>
        <v/>
      </c>
      <c r="AI42" s="16">
        <f>$B$21/$B$8*INDEX($A86:$CB86,16+(MATCH($AF$5,$R$5:$Y$5,0)-1)*8+5)*INDEX($A86:$CB86,16+(MATCH($AF$5,$R$5:$Y$5,0)-1)*8+4)/100*$B86/360</f>
        <v/>
      </c>
      <c r="AJ42" s="16">
        <f>$B$14/100*$B$8*INDEX($A86:$CB86,16+(MATCH($AF$5,$R$5:$Y$5,0)-1)*8+7)</f>
        <v/>
      </c>
      <c r="AK42" s="16">
        <f>-$C86</f>
        <v/>
      </c>
      <c r="AL42" s="17">
        <f>SUM(AF42:AK42)</f>
        <v/>
      </c>
    </row>
    <row r="43">
      <c r="A43" s="4" t="inlineStr">
        <is>
          <t>Tenor 6-36</t>
        </is>
      </c>
      <c r="B43" s="25">
        <f>IF(AND($B$6&gt;=6,$B$6&lt;=36),"OK","FAIL")</f>
        <v/>
      </c>
    </row>
    <row r="44">
      <c r="A44" s="4" t="inlineStr">
        <is>
          <t>NII identity</t>
        </is>
      </c>
      <c r="B44" s="25">
        <f>IF(SUMPRODUCT(ABS($R$9:$Y$9-($R$6:$Y$6+$R$7:$Y$7-$R$8:$Y$8)))&lt;0.001,"OK","FAIL")</f>
        <v/>
      </c>
    </row>
    <row r="45">
      <c r="A45" s="4" t="inlineStr">
        <is>
          <t>Timeline=NII</t>
        </is>
      </c>
      <c r="B45" s="25">
        <f>IF(ABS(SUM(AL7:AL42)-INDEX($R$9:$Y$9,MATCH($AF$5,$R$5:$Y$5,0)))&lt;0.01,"OK","FAIL")</f>
        <v/>
      </c>
    </row>
    <row r="46">
      <c r="A46" s="4" t="inlineStr">
        <is>
          <t>Balance recon</t>
        </is>
      </c>
      <c r="B46" s="25">
        <f>IF(ABS((U86+V86-$B$8)-V$88)&lt;0.01,"OK","FAIL")</f>
        <v/>
      </c>
    </row>
    <row r="47">
      <c r="A47" s="6" t="inlineStr">
        <is>
          <t>MODEL STATUS</t>
        </is>
      </c>
      <c r="B47" s="30">
        <f>IF(COUNTIF(B41:B46,"FAIL")=0,"OK — ALL TESTS PASS","CHECK FAILED TESTS")</f>
        <v/>
      </c>
    </row>
    <row r="48">
      <c r="A48" s="6" t="inlineStr">
        <is>
          <t>Version</t>
        </is>
      </c>
      <c r="B48" s="6" t="inlineStr">
        <is>
          <t>v4.0</t>
        </is>
      </c>
    </row>
    <row r="49">
      <c r="A49" s="3" t="inlineStr">
        <is>
          <t>CALCULATION GRID — monthly, per scenario (collapsible · do not edit)</t>
        </is>
      </c>
    </row>
    <row r="50">
      <c r="A50" s="31" t="inlineStr">
        <is>
          <t>Month</t>
        </is>
      </c>
      <c r="B50" s="31" t="inlineStr">
        <is>
          <t>Days</t>
        </is>
      </c>
      <c r="C50" s="31" t="inlineStr">
        <is>
          <t>Bond Σ</t>
        </is>
      </c>
      <c r="D50" s="31">
        <f>IF($A$26=0,"",$A$26)</f>
        <v/>
      </c>
      <c r="E50" s="31">
        <f>IF($A$27=0,"",$A$27)</f>
        <v/>
      </c>
      <c r="F50" s="31">
        <f>IF($A$28=0,"",$A$28)</f>
        <v/>
      </c>
      <c r="G50" s="31">
        <f>IF($A$29=0,"",$A$29)</f>
        <v/>
      </c>
      <c r="H50" s="31">
        <f>IF($A$30=0,"",$A$30)</f>
        <v/>
      </c>
      <c r="I50" s="31">
        <f>IF($A$31=0,"",$A$31)</f>
        <v/>
      </c>
      <c r="J50" s="31">
        <f>IF($A$32=0,"",$A$32)</f>
        <v/>
      </c>
      <c r="K50" s="31">
        <f>IF($A$33=0,"",$A$33)</f>
        <v/>
      </c>
      <c r="L50" s="31">
        <f>IF($A$34=0,"",$A$34)</f>
        <v/>
      </c>
      <c r="M50" s="31">
        <f>IF($A$35=0,"",$A$35)</f>
        <v/>
      </c>
      <c r="N50" s="31">
        <f>IF($A$36=0,"",$A$36)</f>
        <v/>
      </c>
      <c r="O50" s="31">
        <f>IF($A$37=0,"",$A$37)</f>
        <v/>
      </c>
      <c r="P50" s="31">
        <f>H5</f>
        <v/>
      </c>
      <c r="Q50" s="31" t="inlineStr">
        <is>
          <t>ON%</t>
        </is>
      </c>
      <c r="R50" s="31" t="inlineStr">
        <is>
          <t>1M%</t>
        </is>
      </c>
      <c r="S50" s="31" t="inlineStr">
        <is>
          <t>2M%</t>
        </is>
      </c>
      <c r="T50" s="31" t="inlineStr">
        <is>
          <t>3M%</t>
        </is>
      </c>
      <c r="U50" s="31" t="inlineStr">
        <is>
          <t>Balance</t>
        </is>
      </c>
      <c r="V50" s="31" t="inlineStr">
        <is>
          <t>Dep</t>
        </is>
      </c>
      <c r="W50" s="31" t="inlineStr">
        <is>
          <t>Swap/$</t>
        </is>
      </c>
      <c r="X50" s="31">
        <f>I5</f>
        <v/>
      </c>
      <c r="Y50" s="31" t="inlineStr">
        <is>
          <t>ON%</t>
        </is>
      </c>
      <c r="Z50" s="31" t="inlineStr">
        <is>
          <t>1M%</t>
        </is>
      </c>
      <c r="AA50" s="31" t="inlineStr">
        <is>
          <t>2M%</t>
        </is>
      </c>
      <c r="AB50" s="31" t="inlineStr">
        <is>
          <t>3M%</t>
        </is>
      </c>
      <c r="AC50" s="31" t="inlineStr">
        <is>
          <t>Balance</t>
        </is>
      </c>
      <c r="AD50" s="31" t="inlineStr">
        <is>
          <t>Dep</t>
        </is>
      </c>
      <c r="AE50" s="31" t="inlineStr">
        <is>
          <t>Swap/$</t>
        </is>
      </c>
      <c r="AF50" s="31">
        <f>J5</f>
        <v/>
      </c>
      <c r="AG50" s="31" t="inlineStr">
        <is>
          <t>ON%</t>
        </is>
      </c>
      <c r="AH50" s="31" t="inlineStr">
        <is>
          <t>1M%</t>
        </is>
      </c>
      <c r="AI50" s="31" t="inlineStr">
        <is>
          <t>2M%</t>
        </is>
      </c>
      <c r="AJ50" s="31" t="inlineStr">
        <is>
          <t>3M%</t>
        </is>
      </c>
      <c r="AK50" s="31" t="inlineStr">
        <is>
          <t>Balance</t>
        </is>
      </c>
      <c r="AL50" s="31" t="inlineStr">
        <is>
          <t>Dep</t>
        </is>
      </c>
      <c r="AM50" s="31" t="inlineStr">
        <is>
          <t>Swap/$</t>
        </is>
      </c>
      <c r="AN50" s="31">
        <f>K5</f>
        <v/>
      </c>
      <c r="AO50" s="31" t="inlineStr">
        <is>
          <t>ON%</t>
        </is>
      </c>
      <c r="AP50" s="31" t="inlineStr">
        <is>
          <t>1M%</t>
        </is>
      </c>
      <c r="AQ50" s="31" t="inlineStr">
        <is>
          <t>2M%</t>
        </is>
      </c>
      <c r="AR50" s="31" t="inlineStr">
        <is>
          <t>3M%</t>
        </is>
      </c>
      <c r="AS50" s="31" t="inlineStr">
        <is>
          <t>Balance</t>
        </is>
      </c>
      <c r="AT50" s="31" t="inlineStr">
        <is>
          <t>Dep</t>
        </is>
      </c>
      <c r="AU50" s="31" t="inlineStr">
        <is>
          <t>Swap/$</t>
        </is>
      </c>
      <c r="AV50" s="31">
        <f>L5</f>
        <v/>
      </c>
      <c r="AW50" s="31" t="inlineStr">
        <is>
          <t>ON%</t>
        </is>
      </c>
      <c r="AX50" s="31" t="inlineStr">
        <is>
          <t>1M%</t>
        </is>
      </c>
      <c r="AY50" s="31" t="inlineStr">
        <is>
          <t>2M%</t>
        </is>
      </c>
      <c r="AZ50" s="31" t="inlineStr">
        <is>
          <t>3M%</t>
        </is>
      </c>
      <c r="BA50" s="31" t="inlineStr">
        <is>
          <t>Balance</t>
        </is>
      </c>
      <c r="BB50" s="31" t="inlineStr">
        <is>
          <t>Dep</t>
        </is>
      </c>
      <c r="BC50" s="31" t="inlineStr">
        <is>
          <t>Swap/$</t>
        </is>
      </c>
      <c r="BD50" s="31">
        <f>M5</f>
        <v/>
      </c>
      <c r="BE50" s="31" t="inlineStr">
        <is>
          <t>ON%</t>
        </is>
      </c>
      <c r="BF50" s="31" t="inlineStr">
        <is>
          <t>1M%</t>
        </is>
      </c>
      <c r="BG50" s="31" t="inlineStr">
        <is>
          <t>2M%</t>
        </is>
      </c>
      <c r="BH50" s="31" t="inlineStr">
        <is>
          <t>3M%</t>
        </is>
      </c>
      <c r="BI50" s="31" t="inlineStr">
        <is>
          <t>Balance</t>
        </is>
      </c>
      <c r="BJ50" s="31" t="inlineStr">
        <is>
          <t>Dep</t>
        </is>
      </c>
      <c r="BK50" s="31" t="inlineStr">
        <is>
          <t>Swap/$</t>
        </is>
      </c>
      <c r="BL50" s="31">
        <f>N5</f>
        <v/>
      </c>
      <c r="BM50" s="31" t="inlineStr">
        <is>
          <t>ON%</t>
        </is>
      </c>
      <c r="BN50" s="31" t="inlineStr">
        <is>
          <t>1M%</t>
        </is>
      </c>
      <c r="BO50" s="31" t="inlineStr">
        <is>
          <t>2M%</t>
        </is>
      </c>
      <c r="BP50" s="31" t="inlineStr">
        <is>
          <t>3M%</t>
        </is>
      </c>
      <c r="BQ50" s="31" t="inlineStr">
        <is>
          <t>Balance</t>
        </is>
      </c>
      <c r="BR50" s="31" t="inlineStr">
        <is>
          <t>Dep</t>
        </is>
      </c>
      <c r="BS50" s="31" t="inlineStr">
        <is>
          <t>Swap/$</t>
        </is>
      </c>
      <c r="BT50" s="31">
        <f>O5</f>
        <v/>
      </c>
      <c r="BU50" s="31" t="inlineStr">
        <is>
          <t>ON%</t>
        </is>
      </c>
      <c r="BV50" s="31" t="inlineStr">
        <is>
          <t>1M%</t>
        </is>
      </c>
      <c r="BW50" s="31" t="inlineStr">
        <is>
          <t>2M%</t>
        </is>
      </c>
      <c r="BX50" s="31" t="inlineStr">
        <is>
          <t>3M%</t>
        </is>
      </c>
      <c r="BY50" s="31" t="inlineStr">
        <is>
          <t>Balance</t>
        </is>
      </c>
      <c r="BZ50" s="31" t="inlineStr">
        <is>
          <t>Dep</t>
        </is>
      </c>
      <c r="CA50" s="31" t="inlineStr">
        <is>
          <t>Swap/$</t>
        </is>
      </c>
    </row>
    <row r="51" outlineLevel="1">
      <c r="A51" s="15">
        <f>IF(0&lt;$B$6,EDATE($B$5,0),"")</f>
        <v/>
      </c>
      <c r="B51" s="24">
        <f>IF(A51="",0,EDATE(A51,1)-A51)</f>
        <v/>
      </c>
      <c r="C51" s="23">
        <f>SUM(D51:O51)</f>
        <v/>
      </c>
      <c r="D51" s="16">
        <f>IF($B51=0,0,IF(AND($B$26&gt;0,$D$26&gt;$A51),$B$26*$C$26/100/12,0))</f>
        <v/>
      </c>
      <c r="E51" s="16">
        <f>IF($B51=0,0,IF(AND($B$27&gt;0,$D$27&gt;$A51),$B$27*$C$27/100/12,0))</f>
        <v/>
      </c>
      <c r="F51" s="16">
        <f>IF($B51=0,0,IF(AND($B$28&gt;0,$D$28&gt;$A51),$B$28*$C$28/100/12,0))</f>
        <v/>
      </c>
      <c r="G51" s="16">
        <f>IF($B51=0,0,IF(AND($B$29&gt;0,$D$29&gt;$A51),$B$29*$C$29/100/12,0))</f>
        <v/>
      </c>
      <c r="H51" s="16">
        <f>IF($B51=0,0,IF(AND($B$30&gt;0,$D$30&gt;$A51),$B$30*$C$30/100/12,0))</f>
        <v/>
      </c>
      <c r="I51" s="16">
        <f>IF($B51=0,0,IF(AND($B$31&gt;0,$D$31&gt;$A51),$B$31*$C$31/100/12,0))</f>
        <v/>
      </c>
      <c r="J51" s="16">
        <f>IF($B51=0,0,IF(AND($B$32&gt;0,$D$32&gt;$A51),$B$32*$C$32/100/12,0))</f>
        <v/>
      </c>
      <c r="K51" s="16">
        <f>IF($B51=0,0,IF(AND($B$33&gt;0,$D$33&gt;$A51),$B$33*$C$33/100/12,0))</f>
        <v/>
      </c>
      <c r="L51" s="16">
        <f>IF($B51=0,0,IF(AND($B$34&gt;0,$D$34&gt;$A51),$B$34*$C$34/100/12,0))</f>
        <v/>
      </c>
      <c r="M51" s="16">
        <f>IF($B51=0,0,IF(AND($B$35&gt;0,$D$35&gt;$A51),$B$35*$C$35/100/12,0))</f>
        <v/>
      </c>
      <c r="N51" s="16">
        <f>IF($B51=0,0,IF(AND($B$36&gt;0,$D$36&gt;$A51),$B$36*$C$36/100/12,0))</f>
        <v/>
      </c>
      <c r="O51" s="16">
        <f>IF($B51=0,0,IF(AND($B$37&gt;0,$D$37&gt;$A51),$B$37*$C$37/100/12,0))</f>
        <v/>
      </c>
      <c r="P51" s="23">
        <f>$B$7+H$37*SUMIFS(H$6:H$35,$G$6:$G$35,"&lt;="&amp;IF($A51="",EDATE($B$5,0),$A51),$F$6:$F$35,"&lt;&gt;")/100</f>
        <v/>
      </c>
      <c r="Q51" s="23">
        <f>$B$7+$B$9*(P51-$B$7)+$C$18/100</f>
        <v/>
      </c>
      <c r="R51" s="23">
        <f>$B$7+$B$9*(P51-$B$7)+$C$19/100</f>
        <v/>
      </c>
      <c r="S51" s="23">
        <f>$B$7+$B$9*(AVERAGE(INDEX(P$51:P$86,MAX(1,0)):INDEX(P$51:P$86,1))-$B$7)+$C$20/100</f>
        <v/>
      </c>
      <c r="T51" s="23">
        <f>$B$7+$B$9*(AVERAGE(INDEX(P$51:P$86,MAX(1,-1)):INDEX(P$51:P$86,1))-$B$7)+$C$21/100</f>
        <v/>
      </c>
      <c r="U51" s="20">
        <f>$B$8</f>
        <v/>
      </c>
      <c r="V51" s="32">
        <f>U51*(($B$18*Q51+$B$19*R51+$B$20*S51+$B$21*T51)/$B$8)/100*$B51/360</f>
        <v/>
      </c>
      <c r="W51" s="33">
        <f>IF($B$11="RCV",1,-1)*(($B$12/100)-(P51/100+$B$13/10000))*$B51/360</f>
        <v/>
      </c>
      <c r="X51" s="23">
        <f>$B$7+I$37*SUMIFS(I$6:I$35,$G$6:$G$35,"&lt;="&amp;IF($A51="",EDATE($B$5,0),$A51),$F$6:$F$35,"&lt;&gt;")/100</f>
        <v/>
      </c>
      <c r="Y51" s="23">
        <f>$B$7+$B$9*(X51-$B$7)+$C$18/100</f>
        <v/>
      </c>
      <c r="Z51" s="23">
        <f>$B$7+$B$9*(X51-$B$7)+$C$19/100</f>
        <v/>
      </c>
      <c r="AA51" s="23">
        <f>$B$7+$B$9*(AVERAGE(INDEX(X$51:X$86,MAX(1,0)):INDEX(X$51:X$86,1))-$B$7)+$C$20/100</f>
        <v/>
      </c>
      <c r="AB51" s="23">
        <f>$B$7+$B$9*(AVERAGE(INDEX(X$51:X$86,MAX(1,-1)):INDEX(X$51:X$86,1))-$B$7)+$C$21/100</f>
        <v/>
      </c>
      <c r="AC51" s="20">
        <f>$B$8</f>
        <v/>
      </c>
      <c r="AD51" s="32">
        <f>AC51*(($B$18*Y51+$B$19*Z51+$B$20*AA51+$B$21*AB51)/$B$8)/100*$B51/360</f>
        <v/>
      </c>
      <c r="AE51" s="33">
        <f>IF($B$11="RCV",1,-1)*(($B$12/100)-(X51/100+$B$13/10000))*$B51/360</f>
        <v/>
      </c>
      <c r="AF51" s="23">
        <f>$B$7+J$37*SUMIFS(J$6:J$35,$G$6:$G$35,"&lt;="&amp;IF($A51="",EDATE($B$5,0),$A51),$F$6:$F$35,"&lt;&gt;")/100</f>
        <v/>
      </c>
      <c r="AG51" s="23">
        <f>$B$7+$B$9*(AF51-$B$7)+$C$18/100</f>
        <v/>
      </c>
      <c r="AH51" s="23">
        <f>$B$7+$B$9*(AF51-$B$7)+$C$19/100</f>
        <v/>
      </c>
      <c r="AI51" s="23">
        <f>$B$7+$B$9*(AVERAGE(INDEX(AF$51:AF$86,MAX(1,0)):INDEX(AF$51:AF$86,1))-$B$7)+$C$20/100</f>
        <v/>
      </c>
      <c r="AJ51" s="23">
        <f>$B$7+$B$9*(AVERAGE(INDEX(AF$51:AF$86,MAX(1,-1)):INDEX(AF$51:AF$86,1))-$B$7)+$C$21/100</f>
        <v/>
      </c>
      <c r="AK51" s="20">
        <f>$B$8</f>
        <v/>
      </c>
      <c r="AL51" s="32">
        <f>AK51*(($B$18*AG51+$B$19*AH51+$B$20*AI51+$B$21*AJ51)/$B$8)/100*$B51/360</f>
        <v/>
      </c>
      <c r="AM51" s="33">
        <f>IF($B$11="RCV",1,-1)*(($B$12/100)-(AF51/100+$B$13/10000))*$B51/360</f>
        <v/>
      </c>
      <c r="AN51" s="23">
        <f>$B$7+K$37*SUMIFS(K$6:K$35,$G$6:$G$35,"&lt;="&amp;IF($A51="",EDATE($B$5,0),$A51),$F$6:$F$35,"&lt;&gt;")/100</f>
        <v/>
      </c>
      <c r="AO51" s="23">
        <f>$B$7+$B$9*(AN51-$B$7)+$C$18/100</f>
        <v/>
      </c>
      <c r="AP51" s="23">
        <f>$B$7+$B$9*(AN51-$B$7)+$C$19/100</f>
        <v/>
      </c>
      <c r="AQ51" s="23">
        <f>$B$7+$B$9*(AVERAGE(INDEX(AN$51:AN$86,MAX(1,0)):INDEX(AN$51:AN$86,1))-$B$7)+$C$20/100</f>
        <v/>
      </c>
      <c r="AR51" s="23">
        <f>$B$7+$B$9*(AVERAGE(INDEX(AN$51:AN$86,MAX(1,-1)):INDEX(AN$51:AN$86,1))-$B$7)+$C$21/100</f>
        <v/>
      </c>
      <c r="AS51" s="20">
        <f>$B$8</f>
        <v/>
      </c>
      <c r="AT51" s="32">
        <f>AS51*(($B$18*AO51+$B$19*AP51+$B$20*AQ51+$B$21*AR51)/$B$8)/100*$B51/360</f>
        <v/>
      </c>
      <c r="AU51" s="33">
        <f>IF($B$11="RCV",1,-1)*(($B$12/100)-(AN51/100+$B$13/10000))*$B51/360</f>
        <v/>
      </c>
      <c r="AV51" s="23">
        <f>$B$7+L$37*SUMIFS(L$6:L$35,$G$6:$G$35,"&lt;="&amp;IF($A51="",EDATE($B$5,0),$A51),$F$6:$F$35,"&lt;&gt;")/100</f>
        <v/>
      </c>
      <c r="AW51" s="23">
        <f>$B$7+$B$9*(AV51-$B$7)+$C$18/100</f>
        <v/>
      </c>
      <c r="AX51" s="23">
        <f>$B$7+$B$9*(AV51-$B$7)+$C$19/100</f>
        <v/>
      </c>
      <c r="AY51" s="23">
        <f>$B$7+$B$9*(AVERAGE(INDEX(AV$51:AV$86,MAX(1,0)):INDEX(AV$51:AV$86,1))-$B$7)+$C$20/100</f>
        <v/>
      </c>
      <c r="AZ51" s="23">
        <f>$B$7+$B$9*(AVERAGE(INDEX(AV$51:AV$86,MAX(1,-1)):INDEX(AV$51:AV$86,1))-$B$7)+$C$21/100</f>
        <v/>
      </c>
      <c r="BA51" s="20">
        <f>$B$8</f>
        <v/>
      </c>
      <c r="BB51" s="32">
        <f>BA51*(($B$18*AW51+$B$19*AX51+$B$20*AY51+$B$21*AZ51)/$B$8)/100*$B51/360</f>
        <v/>
      </c>
      <c r="BC51" s="33">
        <f>IF($B$11="RCV",1,-1)*(($B$12/100)-(AV51/100+$B$13/10000))*$B51/360</f>
        <v/>
      </c>
      <c r="BD51" s="23">
        <f>$B$7+M$37*SUMIFS(M$6:M$35,$G$6:$G$35,"&lt;="&amp;IF($A51="",EDATE($B$5,0),$A51),$F$6:$F$35,"&lt;&gt;")/100</f>
        <v/>
      </c>
      <c r="BE51" s="23">
        <f>$B$7+$B$9*(BD51-$B$7)+$C$18/100</f>
        <v/>
      </c>
      <c r="BF51" s="23">
        <f>$B$7+$B$9*(BD51-$B$7)+$C$19/100</f>
        <v/>
      </c>
      <c r="BG51" s="23">
        <f>$B$7+$B$9*(AVERAGE(INDEX(BD$51:BD$86,MAX(1,0)):INDEX(BD$51:BD$86,1))-$B$7)+$C$20/100</f>
        <v/>
      </c>
      <c r="BH51" s="23">
        <f>$B$7+$B$9*(AVERAGE(INDEX(BD$51:BD$86,MAX(1,-1)):INDEX(BD$51:BD$86,1))-$B$7)+$C$21/100</f>
        <v/>
      </c>
      <c r="BI51" s="20">
        <f>$B$8</f>
        <v/>
      </c>
      <c r="BJ51" s="32">
        <f>BI51*(($B$18*BE51+$B$19*BF51+$B$20*BG51+$B$21*BH51)/$B$8)/100*$B51/360</f>
        <v/>
      </c>
      <c r="BK51" s="33">
        <f>IF($B$11="RCV",1,-1)*(($B$12/100)-(BD51/100+$B$13/10000))*$B51/360</f>
        <v/>
      </c>
      <c r="BL51" s="23">
        <f>$B$7+N$37*SUMIFS(N$6:N$35,$G$6:$G$35,"&lt;="&amp;IF($A51="",EDATE($B$5,0),$A51),$F$6:$F$35,"&lt;&gt;")/100</f>
        <v/>
      </c>
      <c r="BM51" s="23">
        <f>$B$7+$B$9*(BL51-$B$7)+$C$18/100</f>
        <v/>
      </c>
      <c r="BN51" s="23">
        <f>$B$7+$B$9*(BL51-$B$7)+$C$19/100</f>
        <v/>
      </c>
      <c r="BO51" s="23">
        <f>$B$7+$B$9*(AVERAGE(INDEX(BL$51:BL$86,MAX(1,0)):INDEX(BL$51:BL$86,1))-$B$7)+$C$20/100</f>
        <v/>
      </c>
      <c r="BP51" s="23">
        <f>$B$7+$B$9*(AVERAGE(INDEX(BL$51:BL$86,MAX(1,-1)):INDEX(BL$51:BL$86,1))-$B$7)+$C$21/100</f>
        <v/>
      </c>
      <c r="BQ51" s="20">
        <f>$B$8</f>
        <v/>
      </c>
      <c r="BR51" s="32">
        <f>BQ51*(($B$18*BM51+$B$19*BN51+$B$20*BO51+$B$21*BP51)/$B$8)/100*$B51/360</f>
        <v/>
      </c>
      <c r="BS51" s="33">
        <f>IF($B$11="RCV",1,-1)*(($B$12/100)-(BL51/100+$B$13/10000))*$B51/360</f>
        <v/>
      </c>
      <c r="BT51" s="23">
        <f>$B$7+O$37*SUMIFS(O$6:O$35,$G$6:$G$35,"&lt;="&amp;IF($A51="",EDATE($B$5,0),$A51),$F$6:$F$35,"&lt;&gt;")/100</f>
        <v/>
      </c>
      <c r="BU51" s="23">
        <f>$B$7+$B$9*(BT51-$B$7)+$C$18/100</f>
        <v/>
      </c>
      <c r="BV51" s="23">
        <f>$B$7+$B$9*(BT51-$B$7)+$C$19/100</f>
        <v/>
      </c>
      <c r="BW51" s="23">
        <f>$B$7+$B$9*(AVERAGE(INDEX(BT$51:BT$86,MAX(1,0)):INDEX(BT$51:BT$86,1))-$B$7)+$C$20/100</f>
        <v/>
      </c>
      <c r="BX51" s="23">
        <f>$B$7+$B$9*(AVERAGE(INDEX(BT$51:BT$86,MAX(1,-1)):INDEX(BT$51:BT$86,1))-$B$7)+$C$21/100</f>
        <v/>
      </c>
      <c r="BY51" s="20">
        <f>$B$8</f>
        <v/>
      </c>
      <c r="BZ51" s="32">
        <f>BY51*(($B$18*BU51+$B$19*BV51+$B$20*BW51+$B$21*BX51)/$B$8)/100*$B51/360</f>
        <v/>
      </c>
      <c r="CA51" s="33">
        <f>IF($B$11="RCV",1,-1)*(($B$12/100)-(BT51/100+$B$13/10000))*$B51/360</f>
        <v/>
      </c>
    </row>
    <row r="52" outlineLevel="1">
      <c r="A52" s="15">
        <f>IF(1&lt;$B$6,EDATE($B$5,1),"")</f>
        <v/>
      </c>
      <c r="B52" s="24">
        <f>IF(A52="",0,EDATE(A52,1)-A52)</f>
        <v/>
      </c>
      <c r="C52" s="23">
        <f>SUM(D52:O52)</f>
        <v/>
      </c>
      <c r="D52" s="16">
        <f>IF($B52=0,0,IF(AND($B$26&gt;0,$D$26&gt;$A52),$B$26*$C$26/100/12,0))</f>
        <v/>
      </c>
      <c r="E52" s="16">
        <f>IF($B52=0,0,IF(AND($B$27&gt;0,$D$27&gt;$A52),$B$27*$C$27/100/12,0))</f>
        <v/>
      </c>
      <c r="F52" s="16">
        <f>IF($B52=0,0,IF(AND($B$28&gt;0,$D$28&gt;$A52),$B$28*$C$28/100/12,0))</f>
        <v/>
      </c>
      <c r="G52" s="16">
        <f>IF($B52=0,0,IF(AND($B$29&gt;0,$D$29&gt;$A52),$B$29*$C$29/100/12,0))</f>
        <v/>
      </c>
      <c r="H52" s="16">
        <f>IF($B52=0,0,IF(AND($B$30&gt;0,$D$30&gt;$A52),$B$30*$C$30/100/12,0))</f>
        <v/>
      </c>
      <c r="I52" s="16">
        <f>IF($B52=0,0,IF(AND($B$31&gt;0,$D$31&gt;$A52),$B$31*$C$31/100/12,0))</f>
        <v/>
      </c>
      <c r="J52" s="16">
        <f>IF($B52=0,0,IF(AND($B$32&gt;0,$D$32&gt;$A52),$B$32*$C$32/100/12,0))</f>
        <v/>
      </c>
      <c r="K52" s="16">
        <f>IF($B52=0,0,IF(AND($B$33&gt;0,$D$33&gt;$A52),$B$33*$C$33/100/12,0))</f>
        <v/>
      </c>
      <c r="L52" s="16">
        <f>IF($B52=0,0,IF(AND($B$34&gt;0,$D$34&gt;$A52),$B$34*$C$34/100/12,0))</f>
        <v/>
      </c>
      <c r="M52" s="16">
        <f>IF($B52=0,0,IF(AND($B$35&gt;0,$D$35&gt;$A52),$B$35*$C$35/100/12,0))</f>
        <v/>
      </c>
      <c r="N52" s="16">
        <f>IF($B52=0,0,IF(AND($B$36&gt;0,$D$36&gt;$A52),$B$36*$C$36/100/12,0))</f>
        <v/>
      </c>
      <c r="O52" s="16">
        <f>IF($B52=0,0,IF(AND($B$37&gt;0,$D$37&gt;$A52),$B$37*$C$37/100/12,0))</f>
        <v/>
      </c>
      <c r="P52" s="23">
        <f>$B$7+H$37*SUMIFS(H$6:H$35,$G$6:$G$35,"&lt;="&amp;IF($A52="",EDATE($B$5,1),$A52),$F$6:$F$35,"&lt;&gt;")/100</f>
        <v/>
      </c>
      <c r="Q52" s="23">
        <f>$B$7+$B$9*(P52-$B$7)+$C$18/100</f>
        <v/>
      </c>
      <c r="R52" s="23">
        <f>$B$7+$B$9*(P52-$B$7)+$C$19/100</f>
        <v/>
      </c>
      <c r="S52" s="23">
        <f>$B$7+$B$9*(AVERAGE(INDEX(P$51:P$86,MAX(1,1)):INDEX(P$51:P$86,2))-$B$7)+$C$20/100</f>
        <v/>
      </c>
      <c r="T52" s="23">
        <f>$B$7+$B$9*(AVERAGE(INDEX(P$51:P$86,MAX(1,0)):INDEX(P$51:P$86,2))-$B$7)+$C$21/100</f>
        <v/>
      </c>
      <c r="U52" s="20">
        <f>U51+V51</f>
        <v/>
      </c>
      <c r="V52" s="32">
        <f>U52*(($B$18*Q52+$B$19*R52+$B$20*S52+$B$21*T52)/$B$8)/100*$B52/360</f>
        <v/>
      </c>
      <c r="W52" s="33">
        <f>IF($B$11="RCV",1,-1)*(($B$12/100)-(P52/100+$B$13/10000))*$B52/360</f>
        <v/>
      </c>
      <c r="X52" s="23">
        <f>$B$7+I$37*SUMIFS(I$6:I$35,$G$6:$G$35,"&lt;="&amp;IF($A52="",EDATE($B$5,1),$A52),$F$6:$F$35,"&lt;&gt;")/100</f>
        <v/>
      </c>
      <c r="Y52" s="23">
        <f>$B$7+$B$9*(X52-$B$7)+$C$18/100</f>
        <v/>
      </c>
      <c r="Z52" s="23">
        <f>$B$7+$B$9*(X52-$B$7)+$C$19/100</f>
        <v/>
      </c>
      <c r="AA52" s="23">
        <f>$B$7+$B$9*(AVERAGE(INDEX(X$51:X$86,MAX(1,1)):INDEX(X$51:X$86,2))-$B$7)+$C$20/100</f>
        <v/>
      </c>
      <c r="AB52" s="23">
        <f>$B$7+$B$9*(AVERAGE(INDEX(X$51:X$86,MAX(1,0)):INDEX(X$51:X$86,2))-$B$7)+$C$21/100</f>
        <v/>
      </c>
      <c r="AC52" s="20">
        <f>AC51+AD51</f>
        <v/>
      </c>
      <c r="AD52" s="32">
        <f>AC52*(($B$18*Y52+$B$19*Z52+$B$20*AA52+$B$21*AB52)/$B$8)/100*$B52/360</f>
        <v/>
      </c>
      <c r="AE52" s="33">
        <f>IF($B$11="RCV",1,-1)*(($B$12/100)-(X52/100+$B$13/10000))*$B52/360</f>
        <v/>
      </c>
      <c r="AF52" s="23">
        <f>$B$7+J$37*SUMIFS(J$6:J$35,$G$6:$G$35,"&lt;="&amp;IF($A52="",EDATE($B$5,1),$A52),$F$6:$F$35,"&lt;&gt;")/100</f>
        <v/>
      </c>
      <c r="AG52" s="23">
        <f>$B$7+$B$9*(AF52-$B$7)+$C$18/100</f>
        <v/>
      </c>
      <c r="AH52" s="23">
        <f>$B$7+$B$9*(AF52-$B$7)+$C$19/100</f>
        <v/>
      </c>
      <c r="AI52" s="23">
        <f>$B$7+$B$9*(AVERAGE(INDEX(AF$51:AF$86,MAX(1,1)):INDEX(AF$51:AF$86,2))-$B$7)+$C$20/100</f>
        <v/>
      </c>
      <c r="AJ52" s="23">
        <f>$B$7+$B$9*(AVERAGE(INDEX(AF$51:AF$86,MAX(1,0)):INDEX(AF$51:AF$86,2))-$B$7)+$C$21/100</f>
        <v/>
      </c>
      <c r="AK52" s="20">
        <f>AK51+AL51</f>
        <v/>
      </c>
      <c r="AL52" s="32">
        <f>AK52*(($B$18*AG52+$B$19*AH52+$B$20*AI52+$B$21*AJ52)/$B$8)/100*$B52/360</f>
        <v/>
      </c>
      <c r="AM52" s="33">
        <f>IF($B$11="RCV",1,-1)*(($B$12/100)-(AF52/100+$B$13/10000))*$B52/360</f>
        <v/>
      </c>
      <c r="AN52" s="23">
        <f>$B$7+K$37*SUMIFS(K$6:K$35,$G$6:$G$35,"&lt;="&amp;IF($A52="",EDATE($B$5,1),$A52),$F$6:$F$35,"&lt;&gt;")/100</f>
        <v/>
      </c>
      <c r="AO52" s="23">
        <f>$B$7+$B$9*(AN52-$B$7)+$C$18/100</f>
        <v/>
      </c>
      <c r="AP52" s="23">
        <f>$B$7+$B$9*(AN52-$B$7)+$C$19/100</f>
        <v/>
      </c>
      <c r="AQ52" s="23">
        <f>$B$7+$B$9*(AVERAGE(INDEX(AN$51:AN$86,MAX(1,1)):INDEX(AN$51:AN$86,2))-$B$7)+$C$20/100</f>
        <v/>
      </c>
      <c r="AR52" s="23">
        <f>$B$7+$B$9*(AVERAGE(INDEX(AN$51:AN$86,MAX(1,0)):INDEX(AN$51:AN$86,2))-$B$7)+$C$21/100</f>
        <v/>
      </c>
      <c r="AS52" s="20">
        <f>AS51+AT51</f>
        <v/>
      </c>
      <c r="AT52" s="32">
        <f>AS52*(($B$18*AO52+$B$19*AP52+$B$20*AQ52+$B$21*AR52)/$B$8)/100*$B52/360</f>
        <v/>
      </c>
      <c r="AU52" s="33">
        <f>IF($B$11="RCV",1,-1)*(($B$12/100)-(AN52/100+$B$13/10000))*$B52/360</f>
        <v/>
      </c>
      <c r="AV52" s="23">
        <f>$B$7+L$37*SUMIFS(L$6:L$35,$G$6:$G$35,"&lt;="&amp;IF($A52="",EDATE($B$5,1),$A52),$F$6:$F$35,"&lt;&gt;")/100</f>
        <v/>
      </c>
      <c r="AW52" s="23">
        <f>$B$7+$B$9*(AV52-$B$7)+$C$18/100</f>
        <v/>
      </c>
      <c r="AX52" s="23">
        <f>$B$7+$B$9*(AV52-$B$7)+$C$19/100</f>
        <v/>
      </c>
      <c r="AY52" s="23">
        <f>$B$7+$B$9*(AVERAGE(INDEX(AV$51:AV$86,MAX(1,1)):INDEX(AV$51:AV$86,2))-$B$7)+$C$20/100</f>
        <v/>
      </c>
      <c r="AZ52" s="23">
        <f>$B$7+$B$9*(AVERAGE(INDEX(AV$51:AV$86,MAX(1,0)):INDEX(AV$51:AV$86,2))-$B$7)+$C$21/100</f>
        <v/>
      </c>
      <c r="BA52" s="20">
        <f>BA51+BB51</f>
        <v/>
      </c>
      <c r="BB52" s="32">
        <f>BA52*(($B$18*AW52+$B$19*AX52+$B$20*AY52+$B$21*AZ52)/$B$8)/100*$B52/360</f>
        <v/>
      </c>
      <c r="BC52" s="33">
        <f>IF($B$11="RCV",1,-1)*(($B$12/100)-(AV52/100+$B$13/10000))*$B52/360</f>
        <v/>
      </c>
      <c r="BD52" s="23">
        <f>$B$7+M$37*SUMIFS(M$6:M$35,$G$6:$G$35,"&lt;="&amp;IF($A52="",EDATE($B$5,1),$A52),$F$6:$F$35,"&lt;&gt;")/100</f>
        <v/>
      </c>
      <c r="BE52" s="23">
        <f>$B$7+$B$9*(BD52-$B$7)+$C$18/100</f>
        <v/>
      </c>
      <c r="BF52" s="23">
        <f>$B$7+$B$9*(BD52-$B$7)+$C$19/100</f>
        <v/>
      </c>
      <c r="BG52" s="23">
        <f>$B$7+$B$9*(AVERAGE(INDEX(BD$51:BD$86,MAX(1,1)):INDEX(BD$51:BD$86,2))-$B$7)+$C$20/100</f>
        <v/>
      </c>
      <c r="BH52" s="23">
        <f>$B$7+$B$9*(AVERAGE(INDEX(BD$51:BD$86,MAX(1,0)):INDEX(BD$51:BD$86,2))-$B$7)+$C$21/100</f>
        <v/>
      </c>
      <c r="BI52" s="20">
        <f>BI51+BJ51</f>
        <v/>
      </c>
      <c r="BJ52" s="32">
        <f>BI52*(($B$18*BE52+$B$19*BF52+$B$20*BG52+$B$21*BH52)/$B$8)/100*$B52/360</f>
        <v/>
      </c>
      <c r="BK52" s="33">
        <f>IF($B$11="RCV",1,-1)*(($B$12/100)-(BD52/100+$B$13/10000))*$B52/360</f>
        <v/>
      </c>
      <c r="BL52" s="23">
        <f>$B$7+N$37*SUMIFS(N$6:N$35,$G$6:$G$35,"&lt;="&amp;IF($A52="",EDATE($B$5,1),$A52),$F$6:$F$35,"&lt;&gt;")/100</f>
        <v/>
      </c>
      <c r="BM52" s="23">
        <f>$B$7+$B$9*(BL52-$B$7)+$C$18/100</f>
        <v/>
      </c>
      <c r="BN52" s="23">
        <f>$B$7+$B$9*(BL52-$B$7)+$C$19/100</f>
        <v/>
      </c>
      <c r="BO52" s="23">
        <f>$B$7+$B$9*(AVERAGE(INDEX(BL$51:BL$86,MAX(1,1)):INDEX(BL$51:BL$86,2))-$B$7)+$C$20/100</f>
        <v/>
      </c>
      <c r="BP52" s="23">
        <f>$B$7+$B$9*(AVERAGE(INDEX(BL$51:BL$86,MAX(1,0)):INDEX(BL$51:BL$86,2))-$B$7)+$C$21/100</f>
        <v/>
      </c>
      <c r="BQ52" s="20">
        <f>BQ51+BR51</f>
        <v/>
      </c>
      <c r="BR52" s="32">
        <f>BQ52*(($B$18*BM52+$B$19*BN52+$B$20*BO52+$B$21*BP52)/$B$8)/100*$B52/360</f>
        <v/>
      </c>
      <c r="BS52" s="33">
        <f>IF($B$11="RCV",1,-1)*(($B$12/100)-(BL52/100+$B$13/10000))*$B52/360</f>
        <v/>
      </c>
      <c r="BT52" s="23">
        <f>$B$7+O$37*SUMIFS(O$6:O$35,$G$6:$G$35,"&lt;="&amp;IF($A52="",EDATE($B$5,1),$A52),$F$6:$F$35,"&lt;&gt;")/100</f>
        <v/>
      </c>
      <c r="BU52" s="23">
        <f>$B$7+$B$9*(BT52-$B$7)+$C$18/100</f>
        <v/>
      </c>
      <c r="BV52" s="23">
        <f>$B$7+$B$9*(BT52-$B$7)+$C$19/100</f>
        <v/>
      </c>
      <c r="BW52" s="23">
        <f>$B$7+$B$9*(AVERAGE(INDEX(BT$51:BT$86,MAX(1,1)):INDEX(BT$51:BT$86,2))-$B$7)+$C$20/100</f>
        <v/>
      </c>
      <c r="BX52" s="23">
        <f>$B$7+$B$9*(AVERAGE(INDEX(BT$51:BT$86,MAX(1,0)):INDEX(BT$51:BT$86,2))-$B$7)+$C$21/100</f>
        <v/>
      </c>
      <c r="BY52" s="20">
        <f>BY51+BZ51</f>
        <v/>
      </c>
      <c r="BZ52" s="32">
        <f>BY52*(($B$18*BU52+$B$19*BV52+$B$20*BW52+$B$21*BX52)/$B$8)/100*$B52/360</f>
        <v/>
      </c>
      <c r="CA52" s="33">
        <f>IF($B$11="RCV",1,-1)*(($B$12/100)-(BT52/100+$B$13/10000))*$B52/360</f>
        <v/>
      </c>
    </row>
    <row r="53" outlineLevel="1">
      <c r="A53" s="15">
        <f>IF(2&lt;$B$6,EDATE($B$5,2),"")</f>
        <v/>
      </c>
      <c r="B53" s="24">
        <f>IF(A53="",0,EDATE(A53,1)-A53)</f>
        <v/>
      </c>
      <c r="C53" s="23">
        <f>SUM(D53:O53)</f>
        <v/>
      </c>
      <c r="D53" s="16">
        <f>IF($B53=0,0,IF(AND($B$26&gt;0,$D$26&gt;$A53),$B$26*$C$26/100/12,0))</f>
        <v/>
      </c>
      <c r="E53" s="16">
        <f>IF($B53=0,0,IF(AND($B$27&gt;0,$D$27&gt;$A53),$B$27*$C$27/100/12,0))</f>
        <v/>
      </c>
      <c r="F53" s="16">
        <f>IF($B53=0,0,IF(AND($B$28&gt;0,$D$28&gt;$A53),$B$28*$C$28/100/12,0))</f>
        <v/>
      </c>
      <c r="G53" s="16">
        <f>IF($B53=0,0,IF(AND($B$29&gt;0,$D$29&gt;$A53),$B$29*$C$29/100/12,0))</f>
        <v/>
      </c>
      <c r="H53" s="16">
        <f>IF($B53=0,0,IF(AND($B$30&gt;0,$D$30&gt;$A53),$B$30*$C$30/100/12,0))</f>
        <v/>
      </c>
      <c r="I53" s="16">
        <f>IF($B53=0,0,IF(AND($B$31&gt;0,$D$31&gt;$A53),$B$31*$C$31/100/12,0))</f>
        <v/>
      </c>
      <c r="J53" s="16">
        <f>IF($B53=0,0,IF(AND($B$32&gt;0,$D$32&gt;$A53),$B$32*$C$32/100/12,0))</f>
        <v/>
      </c>
      <c r="K53" s="16">
        <f>IF($B53=0,0,IF(AND($B$33&gt;0,$D$33&gt;$A53),$B$33*$C$33/100/12,0))</f>
        <v/>
      </c>
      <c r="L53" s="16">
        <f>IF($B53=0,0,IF(AND($B$34&gt;0,$D$34&gt;$A53),$B$34*$C$34/100/12,0))</f>
        <v/>
      </c>
      <c r="M53" s="16">
        <f>IF($B53=0,0,IF(AND($B$35&gt;0,$D$35&gt;$A53),$B$35*$C$35/100/12,0))</f>
        <v/>
      </c>
      <c r="N53" s="16">
        <f>IF($B53=0,0,IF(AND($B$36&gt;0,$D$36&gt;$A53),$B$36*$C$36/100/12,0))</f>
        <v/>
      </c>
      <c r="O53" s="16">
        <f>IF($B53=0,0,IF(AND($B$37&gt;0,$D$37&gt;$A53),$B$37*$C$37/100/12,0))</f>
        <v/>
      </c>
      <c r="P53" s="23">
        <f>$B$7+H$37*SUMIFS(H$6:H$35,$G$6:$G$35,"&lt;="&amp;IF($A53="",EDATE($B$5,2),$A53),$F$6:$F$35,"&lt;&gt;")/100</f>
        <v/>
      </c>
      <c r="Q53" s="23">
        <f>$B$7+$B$9*(P53-$B$7)+$C$18/100</f>
        <v/>
      </c>
      <c r="R53" s="23">
        <f>$B$7+$B$9*(P53-$B$7)+$C$19/100</f>
        <v/>
      </c>
      <c r="S53" s="23">
        <f>$B$7+$B$9*(AVERAGE(INDEX(P$51:P$86,MAX(1,2)):INDEX(P$51:P$86,3))-$B$7)+$C$20/100</f>
        <v/>
      </c>
      <c r="T53" s="23">
        <f>$B$7+$B$9*(AVERAGE(INDEX(P$51:P$86,MAX(1,1)):INDEX(P$51:P$86,3))-$B$7)+$C$21/100</f>
        <v/>
      </c>
      <c r="U53" s="20">
        <f>U52+V52</f>
        <v/>
      </c>
      <c r="V53" s="32">
        <f>U53*(($B$18*Q53+$B$19*R53+$B$20*S53+$B$21*T53)/$B$8)/100*$B53/360</f>
        <v/>
      </c>
      <c r="W53" s="33">
        <f>IF($B$11="RCV",1,-1)*(($B$12/100)-(P53/100+$B$13/10000))*$B53/360</f>
        <v/>
      </c>
      <c r="X53" s="23">
        <f>$B$7+I$37*SUMIFS(I$6:I$35,$G$6:$G$35,"&lt;="&amp;IF($A53="",EDATE($B$5,2),$A53),$F$6:$F$35,"&lt;&gt;")/100</f>
        <v/>
      </c>
      <c r="Y53" s="23">
        <f>$B$7+$B$9*(X53-$B$7)+$C$18/100</f>
        <v/>
      </c>
      <c r="Z53" s="23">
        <f>$B$7+$B$9*(X53-$B$7)+$C$19/100</f>
        <v/>
      </c>
      <c r="AA53" s="23">
        <f>$B$7+$B$9*(AVERAGE(INDEX(X$51:X$86,MAX(1,2)):INDEX(X$51:X$86,3))-$B$7)+$C$20/100</f>
        <v/>
      </c>
      <c r="AB53" s="23">
        <f>$B$7+$B$9*(AVERAGE(INDEX(X$51:X$86,MAX(1,1)):INDEX(X$51:X$86,3))-$B$7)+$C$21/100</f>
        <v/>
      </c>
      <c r="AC53" s="20">
        <f>AC52+AD52</f>
        <v/>
      </c>
      <c r="AD53" s="32">
        <f>AC53*(($B$18*Y53+$B$19*Z53+$B$20*AA53+$B$21*AB53)/$B$8)/100*$B53/360</f>
        <v/>
      </c>
      <c r="AE53" s="33">
        <f>IF($B$11="RCV",1,-1)*(($B$12/100)-(X53/100+$B$13/10000))*$B53/360</f>
        <v/>
      </c>
      <c r="AF53" s="23">
        <f>$B$7+J$37*SUMIFS(J$6:J$35,$G$6:$G$35,"&lt;="&amp;IF($A53="",EDATE($B$5,2),$A53),$F$6:$F$35,"&lt;&gt;")/100</f>
        <v/>
      </c>
      <c r="AG53" s="23">
        <f>$B$7+$B$9*(AF53-$B$7)+$C$18/100</f>
        <v/>
      </c>
      <c r="AH53" s="23">
        <f>$B$7+$B$9*(AF53-$B$7)+$C$19/100</f>
        <v/>
      </c>
      <c r="AI53" s="23">
        <f>$B$7+$B$9*(AVERAGE(INDEX(AF$51:AF$86,MAX(1,2)):INDEX(AF$51:AF$86,3))-$B$7)+$C$20/100</f>
        <v/>
      </c>
      <c r="AJ53" s="23">
        <f>$B$7+$B$9*(AVERAGE(INDEX(AF$51:AF$86,MAX(1,1)):INDEX(AF$51:AF$86,3))-$B$7)+$C$21/100</f>
        <v/>
      </c>
      <c r="AK53" s="20">
        <f>AK52+AL52</f>
        <v/>
      </c>
      <c r="AL53" s="32">
        <f>AK53*(($B$18*AG53+$B$19*AH53+$B$20*AI53+$B$21*AJ53)/$B$8)/100*$B53/360</f>
        <v/>
      </c>
      <c r="AM53" s="33">
        <f>IF($B$11="RCV",1,-1)*(($B$12/100)-(AF53/100+$B$13/10000))*$B53/360</f>
        <v/>
      </c>
      <c r="AN53" s="23">
        <f>$B$7+K$37*SUMIFS(K$6:K$35,$G$6:$G$35,"&lt;="&amp;IF($A53="",EDATE($B$5,2),$A53),$F$6:$F$35,"&lt;&gt;")/100</f>
        <v/>
      </c>
      <c r="AO53" s="23">
        <f>$B$7+$B$9*(AN53-$B$7)+$C$18/100</f>
        <v/>
      </c>
      <c r="AP53" s="23">
        <f>$B$7+$B$9*(AN53-$B$7)+$C$19/100</f>
        <v/>
      </c>
      <c r="AQ53" s="23">
        <f>$B$7+$B$9*(AVERAGE(INDEX(AN$51:AN$86,MAX(1,2)):INDEX(AN$51:AN$86,3))-$B$7)+$C$20/100</f>
        <v/>
      </c>
      <c r="AR53" s="23">
        <f>$B$7+$B$9*(AVERAGE(INDEX(AN$51:AN$86,MAX(1,1)):INDEX(AN$51:AN$86,3))-$B$7)+$C$21/100</f>
        <v/>
      </c>
      <c r="AS53" s="20">
        <f>AS52+AT52</f>
        <v/>
      </c>
      <c r="AT53" s="32">
        <f>AS53*(($B$18*AO53+$B$19*AP53+$B$20*AQ53+$B$21*AR53)/$B$8)/100*$B53/360</f>
        <v/>
      </c>
      <c r="AU53" s="33">
        <f>IF($B$11="RCV",1,-1)*(($B$12/100)-(AN53/100+$B$13/10000))*$B53/360</f>
        <v/>
      </c>
      <c r="AV53" s="23">
        <f>$B$7+L$37*SUMIFS(L$6:L$35,$G$6:$G$35,"&lt;="&amp;IF($A53="",EDATE($B$5,2),$A53),$F$6:$F$35,"&lt;&gt;")/100</f>
        <v/>
      </c>
      <c r="AW53" s="23">
        <f>$B$7+$B$9*(AV53-$B$7)+$C$18/100</f>
        <v/>
      </c>
      <c r="AX53" s="23">
        <f>$B$7+$B$9*(AV53-$B$7)+$C$19/100</f>
        <v/>
      </c>
      <c r="AY53" s="23">
        <f>$B$7+$B$9*(AVERAGE(INDEX(AV$51:AV$86,MAX(1,2)):INDEX(AV$51:AV$86,3))-$B$7)+$C$20/100</f>
        <v/>
      </c>
      <c r="AZ53" s="23">
        <f>$B$7+$B$9*(AVERAGE(INDEX(AV$51:AV$86,MAX(1,1)):INDEX(AV$51:AV$86,3))-$B$7)+$C$21/100</f>
        <v/>
      </c>
      <c r="BA53" s="20">
        <f>BA52+BB52</f>
        <v/>
      </c>
      <c r="BB53" s="32">
        <f>BA53*(($B$18*AW53+$B$19*AX53+$B$20*AY53+$B$21*AZ53)/$B$8)/100*$B53/360</f>
        <v/>
      </c>
      <c r="BC53" s="33">
        <f>IF($B$11="RCV",1,-1)*(($B$12/100)-(AV53/100+$B$13/10000))*$B53/360</f>
        <v/>
      </c>
      <c r="BD53" s="23">
        <f>$B$7+M$37*SUMIFS(M$6:M$35,$G$6:$G$35,"&lt;="&amp;IF($A53="",EDATE($B$5,2),$A53),$F$6:$F$35,"&lt;&gt;")/100</f>
        <v/>
      </c>
      <c r="BE53" s="23">
        <f>$B$7+$B$9*(BD53-$B$7)+$C$18/100</f>
        <v/>
      </c>
      <c r="BF53" s="23">
        <f>$B$7+$B$9*(BD53-$B$7)+$C$19/100</f>
        <v/>
      </c>
      <c r="BG53" s="23">
        <f>$B$7+$B$9*(AVERAGE(INDEX(BD$51:BD$86,MAX(1,2)):INDEX(BD$51:BD$86,3))-$B$7)+$C$20/100</f>
        <v/>
      </c>
      <c r="BH53" s="23">
        <f>$B$7+$B$9*(AVERAGE(INDEX(BD$51:BD$86,MAX(1,1)):INDEX(BD$51:BD$86,3))-$B$7)+$C$21/100</f>
        <v/>
      </c>
      <c r="BI53" s="20">
        <f>BI52+BJ52</f>
        <v/>
      </c>
      <c r="BJ53" s="32">
        <f>BI53*(($B$18*BE53+$B$19*BF53+$B$20*BG53+$B$21*BH53)/$B$8)/100*$B53/360</f>
        <v/>
      </c>
      <c r="BK53" s="33">
        <f>IF($B$11="RCV",1,-1)*(($B$12/100)-(BD53/100+$B$13/10000))*$B53/360</f>
        <v/>
      </c>
      <c r="BL53" s="23">
        <f>$B$7+N$37*SUMIFS(N$6:N$35,$G$6:$G$35,"&lt;="&amp;IF($A53="",EDATE($B$5,2),$A53),$F$6:$F$35,"&lt;&gt;")/100</f>
        <v/>
      </c>
      <c r="BM53" s="23">
        <f>$B$7+$B$9*(BL53-$B$7)+$C$18/100</f>
        <v/>
      </c>
      <c r="BN53" s="23">
        <f>$B$7+$B$9*(BL53-$B$7)+$C$19/100</f>
        <v/>
      </c>
      <c r="BO53" s="23">
        <f>$B$7+$B$9*(AVERAGE(INDEX(BL$51:BL$86,MAX(1,2)):INDEX(BL$51:BL$86,3))-$B$7)+$C$20/100</f>
        <v/>
      </c>
      <c r="BP53" s="23">
        <f>$B$7+$B$9*(AVERAGE(INDEX(BL$51:BL$86,MAX(1,1)):INDEX(BL$51:BL$86,3))-$B$7)+$C$21/100</f>
        <v/>
      </c>
      <c r="BQ53" s="20">
        <f>BQ52+BR52</f>
        <v/>
      </c>
      <c r="BR53" s="32">
        <f>BQ53*(($B$18*BM53+$B$19*BN53+$B$20*BO53+$B$21*BP53)/$B$8)/100*$B53/360</f>
        <v/>
      </c>
      <c r="BS53" s="33">
        <f>IF($B$11="RCV",1,-1)*(($B$12/100)-(BL53/100+$B$13/10000))*$B53/360</f>
        <v/>
      </c>
      <c r="BT53" s="23">
        <f>$B$7+O$37*SUMIFS(O$6:O$35,$G$6:$G$35,"&lt;="&amp;IF($A53="",EDATE($B$5,2),$A53),$F$6:$F$35,"&lt;&gt;")/100</f>
        <v/>
      </c>
      <c r="BU53" s="23">
        <f>$B$7+$B$9*(BT53-$B$7)+$C$18/100</f>
        <v/>
      </c>
      <c r="BV53" s="23">
        <f>$B$7+$B$9*(BT53-$B$7)+$C$19/100</f>
        <v/>
      </c>
      <c r="BW53" s="23">
        <f>$B$7+$B$9*(AVERAGE(INDEX(BT$51:BT$86,MAX(1,2)):INDEX(BT$51:BT$86,3))-$B$7)+$C$20/100</f>
        <v/>
      </c>
      <c r="BX53" s="23">
        <f>$B$7+$B$9*(AVERAGE(INDEX(BT$51:BT$86,MAX(1,1)):INDEX(BT$51:BT$86,3))-$B$7)+$C$21/100</f>
        <v/>
      </c>
      <c r="BY53" s="20">
        <f>BY52+BZ52</f>
        <v/>
      </c>
      <c r="BZ53" s="32">
        <f>BY53*(($B$18*BU53+$B$19*BV53+$B$20*BW53+$B$21*BX53)/$B$8)/100*$B53/360</f>
        <v/>
      </c>
      <c r="CA53" s="33">
        <f>IF($B$11="RCV",1,-1)*(($B$12/100)-(BT53/100+$B$13/10000))*$B53/360</f>
        <v/>
      </c>
    </row>
    <row r="54" outlineLevel="1">
      <c r="A54" s="15">
        <f>IF(3&lt;$B$6,EDATE($B$5,3),"")</f>
        <v/>
      </c>
      <c r="B54" s="24">
        <f>IF(A54="",0,EDATE(A54,1)-A54)</f>
        <v/>
      </c>
      <c r="C54" s="23">
        <f>SUM(D54:O54)</f>
        <v/>
      </c>
      <c r="D54" s="16">
        <f>IF($B54=0,0,IF(AND($B$26&gt;0,$D$26&gt;$A54),$B$26*$C$26/100/12,0))</f>
        <v/>
      </c>
      <c r="E54" s="16">
        <f>IF($B54=0,0,IF(AND($B$27&gt;0,$D$27&gt;$A54),$B$27*$C$27/100/12,0))</f>
        <v/>
      </c>
      <c r="F54" s="16">
        <f>IF($B54=0,0,IF(AND($B$28&gt;0,$D$28&gt;$A54),$B$28*$C$28/100/12,0))</f>
        <v/>
      </c>
      <c r="G54" s="16">
        <f>IF($B54=0,0,IF(AND($B$29&gt;0,$D$29&gt;$A54),$B$29*$C$29/100/12,0))</f>
        <v/>
      </c>
      <c r="H54" s="16">
        <f>IF($B54=0,0,IF(AND($B$30&gt;0,$D$30&gt;$A54),$B$30*$C$30/100/12,0))</f>
        <v/>
      </c>
      <c r="I54" s="16">
        <f>IF($B54=0,0,IF(AND($B$31&gt;0,$D$31&gt;$A54),$B$31*$C$31/100/12,0))</f>
        <v/>
      </c>
      <c r="J54" s="16">
        <f>IF($B54=0,0,IF(AND($B$32&gt;0,$D$32&gt;$A54),$B$32*$C$32/100/12,0))</f>
        <v/>
      </c>
      <c r="K54" s="16">
        <f>IF($B54=0,0,IF(AND($B$33&gt;0,$D$33&gt;$A54),$B$33*$C$33/100/12,0))</f>
        <v/>
      </c>
      <c r="L54" s="16">
        <f>IF($B54=0,0,IF(AND($B$34&gt;0,$D$34&gt;$A54),$B$34*$C$34/100/12,0))</f>
        <v/>
      </c>
      <c r="M54" s="16">
        <f>IF($B54=0,0,IF(AND($B$35&gt;0,$D$35&gt;$A54),$B$35*$C$35/100/12,0))</f>
        <v/>
      </c>
      <c r="N54" s="16">
        <f>IF($B54=0,0,IF(AND($B$36&gt;0,$D$36&gt;$A54),$B$36*$C$36/100/12,0))</f>
        <v/>
      </c>
      <c r="O54" s="16">
        <f>IF($B54=0,0,IF(AND($B$37&gt;0,$D$37&gt;$A54),$B$37*$C$37/100/12,0))</f>
        <v/>
      </c>
      <c r="P54" s="23">
        <f>$B$7+H$37*SUMIFS(H$6:H$35,$G$6:$G$35,"&lt;="&amp;IF($A54="",EDATE($B$5,3),$A54),$F$6:$F$35,"&lt;&gt;")/100</f>
        <v/>
      </c>
      <c r="Q54" s="23">
        <f>$B$7+$B$9*(P54-$B$7)+$C$18/100</f>
        <v/>
      </c>
      <c r="R54" s="23">
        <f>$B$7+$B$9*(P54-$B$7)+$C$19/100</f>
        <v/>
      </c>
      <c r="S54" s="23">
        <f>$B$7+$B$9*(AVERAGE(INDEX(P$51:P$86,MAX(1,3)):INDEX(P$51:P$86,4))-$B$7)+$C$20/100</f>
        <v/>
      </c>
      <c r="T54" s="23">
        <f>$B$7+$B$9*(AVERAGE(INDEX(P$51:P$86,MAX(1,2)):INDEX(P$51:P$86,4))-$B$7)+$C$21/100</f>
        <v/>
      </c>
      <c r="U54" s="20">
        <f>U53+V53</f>
        <v/>
      </c>
      <c r="V54" s="32">
        <f>U54*(($B$18*Q54+$B$19*R54+$B$20*S54+$B$21*T54)/$B$8)/100*$B54/360</f>
        <v/>
      </c>
      <c r="W54" s="33">
        <f>IF($B$11="RCV",1,-1)*(($B$12/100)-(P54/100+$B$13/10000))*$B54/360</f>
        <v/>
      </c>
      <c r="X54" s="23">
        <f>$B$7+I$37*SUMIFS(I$6:I$35,$G$6:$G$35,"&lt;="&amp;IF($A54="",EDATE($B$5,3),$A54),$F$6:$F$35,"&lt;&gt;")/100</f>
        <v/>
      </c>
      <c r="Y54" s="23">
        <f>$B$7+$B$9*(X54-$B$7)+$C$18/100</f>
        <v/>
      </c>
      <c r="Z54" s="23">
        <f>$B$7+$B$9*(X54-$B$7)+$C$19/100</f>
        <v/>
      </c>
      <c r="AA54" s="23">
        <f>$B$7+$B$9*(AVERAGE(INDEX(X$51:X$86,MAX(1,3)):INDEX(X$51:X$86,4))-$B$7)+$C$20/100</f>
        <v/>
      </c>
      <c r="AB54" s="23">
        <f>$B$7+$B$9*(AVERAGE(INDEX(X$51:X$86,MAX(1,2)):INDEX(X$51:X$86,4))-$B$7)+$C$21/100</f>
        <v/>
      </c>
      <c r="AC54" s="20">
        <f>AC53+AD53</f>
        <v/>
      </c>
      <c r="AD54" s="32">
        <f>AC54*(($B$18*Y54+$B$19*Z54+$B$20*AA54+$B$21*AB54)/$B$8)/100*$B54/360</f>
        <v/>
      </c>
      <c r="AE54" s="33">
        <f>IF($B$11="RCV",1,-1)*(($B$12/100)-(X54/100+$B$13/10000))*$B54/360</f>
        <v/>
      </c>
      <c r="AF54" s="23">
        <f>$B$7+J$37*SUMIFS(J$6:J$35,$G$6:$G$35,"&lt;="&amp;IF($A54="",EDATE($B$5,3),$A54),$F$6:$F$35,"&lt;&gt;")/100</f>
        <v/>
      </c>
      <c r="AG54" s="23">
        <f>$B$7+$B$9*(AF54-$B$7)+$C$18/100</f>
        <v/>
      </c>
      <c r="AH54" s="23">
        <f>$B$7+$B$9*(AF54-$B$7)+$C$19/100</f>
        <v/>
      </c>
      <c r="AI54" s="23">
        <f>$B$7+$B$9*(AVERAGE(INDEX(AF$51:AF$86,MAX(1,3)):INDEX(AF$51:AF$86,4))-$B$7)+$C$20/100</f>
        <v/>
      </c>
      <c r="AJ54" s="23">
        <f>$B$7+$B$9*(AVERAGE(INDEX(AF$51:AF$86,MAX(1,2)):INDEX(AF$51:AF$86,4))-$B$7)+$C$21/100</f>
        <v/>
      </c>
      <c r="AK54" s="20">
        <f>AK53+AL53</f>
        <v/>
      </c>
      <c r="AL54" s="32">
        <f>AK54*(($B$18*AG54+$B$19*AH54+$B$20*AI54+$B$21*AJ54)/$B$8)/100*$B54/360</f>
        <v/>
      </c>
      <c r="AM54" s="33">
        <f>IF($B$11="RCV",1,-1)*(($B$12/100)-(AF54/100+$B$13/10000))*$B54/360</f>
        <v/>
      </c>
      <c r="AN54" s="23">
        <f>$B$7+K$37*SUMIFS(K$6:K$35,$G$6:$G$35,"&lt;="&amp;IF($A54="",EDATE($B$5,3),$A54),$F$6:$F$35,"&lt;&gt;")/100</f>
        <v/>
      </c>
      <c r="AO54" s="23">
        <f>$B$7+$B$9*(AN54-$B$7)+$C$18/100</f>
        <v/>
      </c>
      <c r="AP54" s="23">
        <f>$B$7+$B$9*(AN54-$B$7)+$C$19/100</f>
        <v/>
      </c>
      <c r="AQ54" s="23">
        <f>$B$7+$B$9*(AVERAGE(INDEX(AN$51:AN$86,MAX(1,3)):INDEX(AN$51:AN$86,4))-$B$7)+$C$20/100</f>
        <v/>
      </c>
      <c r="AR54" s="23">
        <f>$B$7+$B$9*(AVERAGE(INDEX(AN$51:AN$86,MAX(1,2)):INDEX(AN$51:AN$86,4))-$B$7)+$C$21/100</f>
        <v/>
      </c>
      <c r="AS54" s="20">
        <f>AS53+AT53</f>
        <v/>
      </c>
      <c r="AT54" s="32">
        <f>AS54*(($B$18*AO54+$B$19*AP54+$B$20*AQ54+$B$21*AR54)/$B$8)/100*$B54/360</f>
        <v/>
      </c>
      <c r="AU54" s="33">
        <f>IF($B$11="RCV",1,-1)*(($B$12/100)-(AN54/100+$B$13/10000))*$B54/360</f>
        <v/>
      </c>
      <c r="AV54" s="23">
        <f>$B$7+L$37*SUMIFS(L$6:L$35,$G$6:$G$35,"&lt;="&amp;IF($A54="",EDATE($B$5,3),$A54),$F$6:$F$35,"&lt;&gt;")/100</f>
        <v/>
      </c>
      <c r="AW54" s="23">
        <f>$B$7+$B$9*(AV54-$B$7)+$C$18/100</f>
        <v/>
      </c>
      <c r="AX54" s="23">
        <f>$B$7+$B$9*(AV54-$B$7)+$C$19/100</f>
        <v/>
      </c>
      <c r="AY54" s="23">
        <f>$B$7+$B$9*(AVERAGE(INDEX(AV$51:AV$86,MAX(1,3)):INDEX(AV$51:AV$86,4))-$B$7)+$C$20/100</f>
        <v/>
      </c>
      <c r="AZ54" s="23">
        <f>$B$7+$B$9*(AVERAGE(INDEX(AV$51:AV$86,MAX(1,2)):INDEX(AV$51:AV$86,4))-$B$7)+$C$21/100</f>
        <v/>
      </c>
      <c r="BA54" s="20">
        <f>BA53+BB53</f>
        <v/>
      </c>
      <c r="BB54" s="32">
        <f>BA54*(($B$18*AW54+$B$19*AX54+$B$20*AY54+$B$21*AZ54)/$B$8)/100*$B54/360</f>
        <v/>
      </c>
      <c r="BC54" s="33">
        <f>IF($B$11="RCV",1,-1)*(($B$12/100)-(AV54/100+$B$13/10000))*$B54/360</f>
        <v/>
      </c>
      <c r="BD54" s="23">
        <f>$B$7+M$37*SUMIFS(M$6:M$35,$G$6:$G$35,"&lt;="&amp;IF($A54="",EDATE($B$5,3),$A54),$F$6:$F$35,"&lt;&gt;")/100</f>
        <v/>
      </c>
      <c r="BE54" s="23">
        <f>$B$7+$B$9*(BD54-$B$7)+$C$18/100</f>
        <v/>
      </c>
      <c r="BF54" s="23">
        <f>$B$7+$B$9*(BD54-$B$7)+$C$19/100</f>
        <v/>
      </c>
      <c r="BG54" s="23">
        <f>$B$7+$B$9*(AVERAGE(INDEX(BD$51:BD$86,MAX(1,3)):INDEX(BD$51:BD$86,4))-$B$7)+$C$20/100</f>
        <v/>
      </c>
      <c r="BH54" s="23">
        <f>$B$7+$B$9*(AVERAGE(INDEX(BD$51:BD$86,MAX(1,2)):INDEX(BD$51:BD$86,4))-$B$7)+$C$21/100</f>
        <v/>
      </c>
      <c r="BI54" s="20">
        <f>BI53+BJ53</f>
        <v/>
      </c>
      <c r="BJ54" s="32">
        <f>BI54*(($B$18*BE54+$B$19*BF54+$B$20*BG54+$B$21*BH54)/$B$8)/100*$B54/360</f>
        <v/>
      </c>
      <c r="BK54" s="33">
        <f>IF($B$11="RCV",1,-1)*(($B$12/100)-(BD54/100+$B$13/10000))*$B54/360</f>
        <v/>
      </c>
      <c r="BL54" s="23">
        <f>$B$7+N$37*SUMIFS(N$6:N$35,$G$6:$G$35,"&lt;="&amp;IF($A54="",EDATE($B$5,3),$A54),$F$6:$F$35,"&lt;&gt;")/100</f>
        <v/>
      </c>
      <c r="BM54" s="23">
        <f>$B$7+$B$9*(BL54-$B$7)+$C$18/100</f>
        <v/>
      </c>
      <c r="BN54" s="23">
        <f>$B$7+$B$9*(BL54-$B$7)+$C$19/100</f>
        <v/>
      </c>
      <c r="BO54" s="23">
        <f>$B$7+$B$9*(AVERAGE(INDEX(BL$51:BL$86,MAX(1,3)):INDEX(BL$51:BL$86,4))-$B$7)+$C$20/100</f>
        <v/>
      </c>
      <c r="BP54" s="23">
        <f>$B$7+$B$9*(AVERAGE(INDEX(BL$51:BL$86,MAX(1,2)):INDEX(BL$51:BL$86,4))-$B$7)+$C$21/100</f>
        <v/>
      </c>
      <c r="BQ54" s="20">
        <f>BQ53+BR53</f>
        <v/>
      </c>
      <c r="BR54" s="32">
        <f>BQ54*(($B$18*BM54+$B$19*BN54+$B$20*BO54+$B$21*BP54)/$B$8)/100*$B54/360</f>
        <v/>
      </c>
      <c r="BS54" s="33">
        <f>IF($B$11="RCV",1,-1)*(($B$12/100)-(BL54/100+$B$13/10000))*$B54/360</f>
        <v/>
      </c>
      <c r="BT54" s="23">
        <f>$B$7+O$37*SUMIFS(O$6:O$35,$G$6:$G$35,"&lt;="&amp;IF($A54="",EDATE($B$5,3),$A54),$F$6:$F$35,"&lt;&gt;")/100</f>
        <v/>
      </c>
      <c r="BU54" s="23">
        <f>$B$7+$B$9*(BT54-$B$7)+$C$18/100</f>
        <v/>
      </c>
      <c r="BV54" s="23">
        <f>$B$7+$B$9*(BT54-$B$7)+$C$19/100</f>
        <v/>
      </c>
      <c r="BW54" s="23">
        <f>$B$7+$B$9*(AVERAGE(INDEX(BT$51:BT$86,MAX(1,3)):INDEX(BT$51:BT$86,4))-$B$7)+$C$20/100</f>
        <v/>
      </c>
      <c r="BX54" s="23">
        <f>$B$7+$B$9*(AVERAGE(INDEX(BT$51:BT$86,MAX(1,2)):INDEX(BT$51:BT$86,4))-$B$7)+$C$21/100</f>
        <v/>
      </c>
      <c r="BY54" s="20">
        <f>BY53+BZ53</f>
        <v/>
      </c>
      <c r="BZ54" s="32">
        <f>BY54*(($B$18*BU54+$B$19*BV54+$B$20*BW54+$B$21*BX54)/$B$8)/100*$B54/360</f>
        <v/>
      </c>
      <c r="CA54" s="33">
        <f>IF($B$11="RCV",1,-1)*(($B$12/100)-(BT54/100+$B$13/10000))*$B54/360</f>
        <v/>
      </c>
    </row>
    <row r="55" outlineLevel="1">
      <c r="A55" s="15">
        <f>IF(4&lt;$B$6,EDATE($B$5,4),"")</f>
        <v/>
      </c>
      <c r="B55" s="24">
        <f>IF(A55="",0,EDATE(A55,1)-A55)</f>
        <v/>
      </c>
      <c r="C55" s="23">
        <f>SUM(D55:O55)</f>
        <v/>
      </c>
      <c r="D55" s="16">
        <f>IF($B55=0,0,IF(AND($B$26&gt;0,$D$26&gt;$A55),$B$26*$C$26/100/12,0))</f>
        <v/>
      </c>
      <c r="E55" s="16">
        <f>IF($B55=0,0,IF(AND($B$27&gt;0,$D$27&gt;$A55),$B$27*$C$27/100/12,0))</f>
        <v/>
      </c>
      <c r="F55" s="16">
        <f>IF($B55=0,0,IF(AND($B$28&gt;0,$D$28&gt;$A55),$B$28*$C$28/100/12,0))</f>
        <v/>
      </c>
      <c r="G55" s="16">
        <f>IF($B55=0,0,IF(AND($B$29&gt;0,$D$29&gt;$A55),$B$29*$C$29/100/12,0))</f>
        <v/>
      </c>
      <c r="H55" s="16">
        <f>IF($B55=0,0,IF(AND($B$30&gt;0,$D$30&gt;$A55),$B$30*$C$30/100/12,0))</f>
        <v/>
      </c>
      <c r="I55" s="16">
        <f>IF($B55=0,0,IF(AND($B$31&gt;0,$D$31&gt;$A55),$B$31*$C$31/100/12,0))</f>
        <v/>
      </c>
      <c r="J55" s="16">
        <f>IF($B55=0,0,IF(AND($B$32&gt;0,$D$32&gt;$A55),$B$32*$C$32/100/12,0))</f>
        <v/>
      </c>
      <c r="K55" s="16">
        <f>IF($B55=0,0,IF(AND($B$33&gt;0,$D$33&gt;$A55),$B$33*$C$33/100/12,0))</f>
        <v/>
      </c>
      <c r="L55" s="16">
        <f>IF($B55=0,0,IF(AND($B$34&gt;0,$D$34&gt;$A55),$B$34*$C$34/100/12,0))</f>
        <v/>
      </c>
      <c r="M55" s="16">
        <f>IF($B55=0,0,IF(AND($B$35&gt;0,$D$35&gt;$A55),$B$35*$C$35/100/12,0))</f>
        <v/>
      </c>
      <c r="N55" s="16">
        <f>IF($B55=0,0,IF(AND($B$36&gt;0,$D$36&gt;$A55),$B$36*$C$36/100/12,0))</f>
        <v/>
      </c>
      <c r="O55" s="16">
        <f>IF($B55=0,0,IF(AND($B$37&gt;0,$D$37&gt;$A55),$B$37*$C$37/100/12,0))</f>
        <v/>
      </c>
      <c r="P55" s="23">
        <f>$B$7+H$37*SUMIFS(H$6:H$35,$G$6:$G$35,"&lt;="&amp;IF($A55="",EDATE($B$5,4),$A55),$F$6:$F$35,"&lt;&gt;")/100</f>
        <v/>
      </c>
      <c r="Q55" s="23">
        <f>$B$7+$B$9*(P55-$B$7)+$C$18/100</f>
        <v/>
      </c>
      <c r="R55" s="23">
        <f>$B$7+$B$9*(P55-$B$7)+$C$19/100</f>
        <v/>
      </c>
      <c r="S55" s="23">
        <f>$B$7+$B$9*(AVERAGE(INDEX(P$51:P$86,MAX(1,4)):INDEX(P$51:P$86,5))-$B$7)+$C$20/100</f>
        <v/>
      </c>
      <c r="T55" s="23">
        <f>$B$7+$B$9*(AVERAGE(INDEX(P$51:P$86,MAX(1,3)):INDEX(P$51:P$86,5))-$B$7)+$C$21/100</f>
        <v/>
      </c>
      <c r="U55" s="20">
        <f>U54+V54</f>
        <v/>
      </c>
      <c r="V55" s="32">
        <f>U55*(($B$18*Q55+$B$19*R55+$B$20*S55+$B$21*T55)/$B$8)/100*$B55/360</f>
        <v/>
      </c>
      <c r="W55" s="33">
        <f>IF($B$11="RCV",1,-1)*(($B$12/100)-(P55/100+$B$13/10000))*$B55/360</f>
        <v/>
      </c>
      <c r="X55" s="23">
        <f>$B$7+I$37*SUMIFS(I$6:I$35,$G$6:$G$35,"&lt;="&amp;IF($A55="",EDATE($B$5,4),$A55),$F$6:$F$35,"&lt;&gt;")/100</f>
        <v/>
      </c>
      <c r="Y55" s="23">
        <f>$B$7+$B$9*(X55-$B$7)+$C$18/100</f>
        <v/>
      </c>
      <c r="Z55" s="23">
        <f>$B$7+$B$9*(X55-$B$7)+$C$19/100</f>
        <v/>
      </c>
      <c r="AA55" s="23">
        <f>$B$7+$B$9*(AVERAGE(INDEX(X$51:X$86,MAX(1,4)):INDEX(X$51:X$86,5))-$B$7)+$C$20/100</f>
        <v/>
      </c>
      <c r="AB55" s="23">
        <f>$B$7+$B$9*(AVERAGE(INDEX(X$51:X$86,MAX(1,3)):INDEX(X$51:X$86,5))-$B$7)+$C$21/100</f>
        <v/>
      </c>
      <c r="AC55" s="20">
        <f>AC54+AD54</f>
        <v/>
      </c>
      <c r="AD55" s="32">
        <f>AC55*(($B$18*Y55+$B$19*Z55+$B$20*AA55+$B$21*AB55)/$B$8)/100*$B55/360</f>
        <v/>
      </c>
      <c r="AE55" s="33">
        <f>IF($B$11="RCV",1,-1)*(($B$12/100)-(X55/100+$B$13/10000))*$B55/360</f>
        <v/>
      </c>
      <c r="AF55" s="23">
        <f>$B$7+J$37*SUMIFS(J$6:J$35,$G$6:$G$35,"&lt;="&amp;IF($A55="",EDATE($B$5,4),$A55),$F$6:$F$35,"&lt;&gt;")/100</f>
        <v/>
      </c>
      <c r="AG55" s="23">
        <f>$B$7+$B$9*(AF55-$B$7)+$C$18/100</f>
        <v/>
      </c>
      <c r="AH55" s="23">
        <f>$B$7+$B$9*(AF55-$B$7)+$C$19/100</f>
        <v/>
      </c>
      <c r="AI55" s="23">
        <f>$B$7+$B$9*(AVERAGE(INDEX(AF$51:AF$86,MAX(1,4)):INDEX(AF$51:AF$86,5))-$B$7)+$C$20/100</f>
        <v/>
      </c>
      <c r="AJ55" s="23">
        <f>$B$7+$B$9*(AVERAGE(INDEX(AF$51:AF$86,MAX(1,3)):INDEX(AF$51:AF$86,5))-$B$7)+$C$21/100</f>
        <v/>
      </c>
      <c r="AK55" s="20">
        <f>AK54+AL54</f>
        <v/>
      </c>
      <c r="AL55" s="32">
        <f>AK55*(($B$18*AG55+$B$19*AH55+$B$20*AI55+$B$21*AJ55)/$B$8)/100*$B55/360</f>
        <v/>
      </c>
      <c r="AM55" s="33">
        <f>IF($B$11="RCV",1,-1)*(($B$12/100)-(AF55/100+$B$13/10000))*$B55/360</f>
        <v/>
      </c>
      <c r="AN55" s="23">
        <f>$B$7+K$37*SUMIFS(K$6:K$35,$G$6:$G$35,"&lt;="&amp;IF($A55="",EDATE($B$5,4),$A55),$F$6:$F$35,"&lt;&gt;")/100</f>
        <v/>
      </c>
      <c r="AO55" s="23">
        <f>$B$7+$B$9*(AN55-$B$7)+$C$18/100</f>
        <v/>
      </c>
      <c r="AP55" s="23">
        <f>$B$7+$B$9*(AN55-$B$7)+$C$19/100</f>
        <v/>
      </c>
      <c r="AQ55" s="23">
        <f>$B$7+$B$9*(AVERAGE(INDEX(AN$51:AN$86,MAX(1,4)):INDEX(AN$51:AN$86,5))-$B$7)+$C$20/100</f>
        <v/>
      </c>
      <c r="AR55" s="23">
        <f>$B$7+$B$9*(AVERAGE(INDEX(AN$51:AN$86,MAX(1,3)):INDEX(AN$51:AN$86,5))-$B$7)+$C$21/100</f>
        <v/>
      </c>
      <c r="AS55" s="20">
        <f>AS54+AT54</f>
        <v/>
      </c>
      <c r="AT55" s="32">
        <f>AS55*(($B$18*AO55+$B$19*AP55+$B$20*AQ55+$B$21*AR55)/$B$8)/100*$B55/360</f>
        <v/>
      </c>
      <c r="AU55" s="33">
        <f>IF($B$11="RCV",1,-1)*(($B$12/100)-(AN55/100+$B$13/10000))*$B55/360</f>
        <v/>
      </c>
      <c r="AV55" s="23">
        <f>$B$7+L$37*SUMIFS(L$6:L$35,$G$6:$G$35,"&lt;="&amp;IF($A55="",EDATE($B$5,4),$A55),$F$6:$F$35,"&lt;&gt;")/100</f>
        <v/>
      </c>
      <c r="AW55" s="23">
        <f>$B$7+$B$9*(AV55-$B$7)+$C$18/100</f>
        <v/>
      </c>
      <c r="AX55" s="23">
        <f>$B$7+$B$9*(AV55-$B$7)+$C$19/100</f>
        <v/>
      </c>
      <c r="AY55" s="23">
        <f>$B$7+$B$9*(AVERAGE(INDEX(AV$51:AV$86,MAX(1,4)):INDEX(AV$51:AV$86,5))-$B$7)+$C$20/100</f>
        <v/>
      </c>
      <c r="AZ55" s="23">
        <f>$B$7+$B$9*(AVERAGE(INDEX(AV$51:AV$86,MAX(1,3)):INDEX(AV$51:AV$86,5))-$B$7)+$C$21/100</f>
        <v/>
      </c>
      <c r="BA55" s="20">
        <f>BA54+BB54</f>
        <v/>
      </c>
      <c r="BB55" s="32">
        <f>BA55*(($B$18*AW55+$B$19*AX55+$B$20*AY55+$B$21*AZ55)/$B$8)/100*$B55/360</f>
        <v/>
      </c>
      <c r="BC55" s="33">
        <f>IF($B$11="RCV",1,-1)*(($B$12/100)-(AV55/100+$B$13/10000))*$B55/360</f>
        <v/>
      </c>
      <c r="BD55" s="23">
        <f>$B$7+M$37*SUMIFS(M$6:M$35,$G$6:$G$35,"&lt;="&amp;IF($A55="",EDATE($B$5,4),$A55),$F$6:$F$35,"&lt;&gt;")/100</f>
        <v/>
      </c>
      <c r="BE55" s="23">
        <f>$B$7+$B$9*(BD55-$B$7)+$C$18/100</f>
        <v/>
      </c>
      <c r="BF55" s="23">
        <f>$B$7+$B$9*(BD55-$B$7)+$C$19/100</f>
        <v/>
      </c>
      <c r="BG55" s="23">
        <f>$B$7+$B$9*(AVERAGE(INDEX(BD$51:BD$86,MAX(1,4)):INDEX(BD$51:BD$86,5))-$B$7)+$C$20/100</f>
        <v/>
      </c>
      <c r="BH55" s="23">
        <f>$B$7+$B$9*(AVERAGE(INDEX(BD$51:BD$86,MAX(1,3)):INDEX(BD$51:BD$86,5))-$B$7)+$C$21/100</f>
        <v/>
      </c>
      <c r="BI55" s="20">
        <f>BI54+BJ54</f>
        <v/>
      </c>
      <c r="BJ55" s="32">
        <f>BI55*(($B$18*BE55+$B$19*BF55+$B$20*BG55+$B$21*BH55)/$B$8)/100*$B55/360</f>
        <v/>
      </c>
      <c r="BK55" s="33">
        <f>IF($B$11="RCV",1,-1)*(($B$12/100)-(BD55/100+$B$13/10000))*$B55/360</f>
        <v/>
      </c>
      <c r="BL55" s="23">
        <f>$B$7+N$37*SUMIFS(N$6:N$35,$G$6:$G$35,"&lt;="&amp;IF($A55="",EDATE($B$5,4),$A55),$F$6:$F$35,"&lt;&gt;")/100</f>
        <v/>
      </c>
      <c r="BM55" s="23">
        <f>$B$7+$B$9*(BL55-$B$7)+$C$18/100</f>
        <v/>
      </c>
      <c r="BN55" s="23">
        <f>$B$7+$B$9*(BL55-$B$7)+$C$19/100</f>
        <v/>
      </c>
      <c r="BO55" s="23">
        <f>$B$7+$B$9*(AVERAGE(INDEX(BL$51:BL$86,MAX(1,4)):INDEX(BL$51:BL$86,5))-$B$7)+$C$20/100</f>
        <v/>
      </c>
      <c r="BP55" s="23">
        <f>$B$7+$B$9*(AVERAGE(INDEX(BL$51:BL$86,MAX(1,3)):INDEX(BL$51:BL$86,5))-$B$7)+$C$21/100</f>
        <v/>
      </c>
      <c r="BQ55" s="20">
        <f>BQ54+BR54</f>
        <v/>
      </c>
      <c r="BR55" s="32">
        <f>BQ55*(($B$18*BM55+$B$19*BN55+$B$20*BO55+$B$21*BP55)/$B$8)/100*$B55/360</f>
        <v/>
      </c>
      <c r="BS55" s="33">
        <f>IF($B$11="RCV",1,-1)*(($B$12/100)-(BL55/100+$B$13/10000))*$B55/360</f>
        <v/>
      </c>
      <c r="BT55" s="23">
        <f>$B$7+O$37*SUMIFS(O$6:O$35,$G$6:$G$35,"&lt;="&amp;IF($A55="",EDATE($B$5,4),$A55),$F$6:$F$35,"&lt;&gt;")/100</f>
        <v/>
      </c>
      <c r="BU55" s="23">
        <f>$B$7+$B$9*(BT55-$B$7)+$C$18/100</f>
        <v/>
      </c>
      <c r="BV55" s="23">
        <f>$B$7+$B$9*(BT55-$B$7)+$C$19/100</f>
        <v/>
      </c>
      <c r="BW55" s="23">
        <f>$B$7+$B$9*(AVERAGE(INDEX(BT$51:BT$86,MAX(1,4)):INDEX(BT$51:BT$86,5))-$B$7)+$C$20/100</f>
        <v/>
      </c>
      <c r="BX55" s="23">
        <f>$B$7+$B$9*(AVERAGE(INDEX(BT$51:BT$86,MAX(1,3)):INDEX(BT$51:BT$86,5))-$B$7)+$C$21/100</f>
        <v/>
      </c>
      <c r="BY55" s="20">
        <f>BY54+BZ54</f>
        <v/>
      </c>
      <c r="BZ55" s="32">
        <f>BY55*(($B$18*BU55+$B$19*BV55+$B$20*BW55+$B$21*BX55)/$B$8)/100*$B55/360</f>
        <v/>
      </c>
      <c r="CA55" s="33">
        <f>IF($B$11="RCV",1,-1)*(($B$12/100)-(BT55/100+$B$13/10000))*$B55/360</f>
        <v/>
      </c>
    </row>
    <row r="56" outlineLevel="1">
      <c r="A56" s="15">
        <f>IF(5&lt;$B$6,EDATE($B$5,5),"")</f>
        <v/>
      </c>
      <c r="B56" s="24">
        <f>IF(A56="",0,EDATE(A56,1)-A56)</f>
        <v/>
      </c>
      <c r="C56" s="23">
        <f>SUM(D56:O56)</f>
        <v/>
      </c>
      <c r="D56" s="16">
        <f>IF($B56=0,0,IF(AND($B$26&gt;0,$D$26&gt;$A56),$B$26*$C$26/100/12,0))</f>
        <v/>
      </c>
      <c r="E56" s="16">
        <f>IF($B56=0,0,IF(AND($B$27&gt;0,$D$27&gt;$A56),$B$27*$C$27/100/12,0))</f>
        <v/>
      </c>
      <c r="F56" s="16">
        <f>IF($B56=0,0,IF(AND($B$28&gt;0,$D$28&gt;$A56),$B$28*$C$28/100/12,0))</f>
        <v/>
      </c>
      <c r="G56" s="16">
        <f>IF($B56=0,0,IF(AND($B$29&gt;0,$D$29&gt;$A56),$B$29*$C$29/100/12,0))</f>
        <v/>
      </c>
      <c r="H56" s="16">
        <f>IF($B56=0,0,IF(AND($B$30&gt;0,$D$30&gt;$A56),$B$30*$C$30/100/12,0))</f>
        <v/>
      </c>
      <c r="I56" s="16">
        <f>IF($B56=0,0,IF(AND($B$31&gt;0,$D$31&gt;$A56),$B$31*$C$31/100/12,0))</f>
        <v/>
      </c>
      <c r="J56" s="16">
        <f>IF($B56=0,0,IF(AND($B$32&gt;0,$D$32&gt;$A56),$B$32*$C$32/100/12,0))</f>
        <v/>
      </c>
      <c r="K56" s="16">
        <f>IF($B56=0,0,IF(AND($B$33&gt;0,$D$33&gt;$A56),$B$33*$C$33/100/12,0))</f>
        <v/>
      </c>
      <c r="L56" s="16">
        <f>IF($B56=0,0,IF(AND($B$34&gt;0,$D$34&gt;$A56),$B$34*$C$34/100/12,0))</f>
        <v/>
      </c>
      <c r="M56" s="16">
        <f>IF($B56=0,0,IF(AND($B$35&gt;0,$D$35&gt;$A56),$B$35*$C$35/100/12,0))</f>
        <v/>
      </c>
      <c r="N56" s="16">
        <f>IF($B56=0,0,IF(AND($B$36&gt;0,$D$36&gt;$A56),$B$36*$C$36/100/12,0))</f>
        <v/>
      </c>
      <c r="O56" s="16">
        <f>IF($B56=0,0,IF(AND($B$37&gt;0,$D$37&gt;$A56),$B$37*$C$37/100/12,0))</f>
        <v/>
      </c>
      <c r="P56" s="23">
        <f>$B$7+H$37*SUMIFS(H$6:H$35,$G$6:$G$35,"&lt;="&amp;IF($A56="",EDATE($B$5,5),$A56),$F$6:$F$35,"&lt;&gt;")/100</f>
        <v/>
      </c>
      <c r="Q56" s="23">
        <f>$B$7+$B$9*(P56-$B$7)+$C$18/100</f>
        <v/>
      </c>
      <c r="R56" s="23">
        <f>$B$7+$B$9*(P56-$B$7)+$C$19/100</f>
        <v/>
      </c>
      <c r="S56" s="23">
        <f>$B$7+$B$9*(AVERAGE(INDEX(P$51:P$86,MAX(1,5)):INDEX(P$51:P$86,6))-$B$7)+$C$20/100</f>
        <v/>
      </c>
      <c r="T56" s="23">
        <f>$B$7+$B$9*(AVERAGE(INDEX(P$51:P$86,MAX(1,4)):INDEX(P$51:P$86,6))-$B$7)+$C$21/100</f>
        <v/>
      </c>
      <c r="U56" s="20">
        <f>U55+V55</f>
        <v/>
      </c>
      <c r="V56" s="32">
        <f>U56*(($B$18*Q56+$B$19*R56+$B$20*S56+$B$21*T56)/$B$8)/100*$B56/360</f>
        <v/>
      </c>
      <c r="W56" s="33">
        <f>IF($B$11="RCV",1,-1)*(($B$12/100)-(P56/100+$B$13/10000))*$B56/360</f>
        <v/>
      </c>
      <c r="X56" s="23">
        <f>$B$7+I$37*SUMIFS(I$6:I$35,$G$6:$G$35,"&lt;="&amp;IF($A56="",EDATE($B$5,5),$A56),$F$6:$F$35,"&lt;&gt;")/100</f>
        <v/>
      </c>
      <c r="Y56" s="23">
        <f>$B$7+$B$9*(X56-$B$7)+$C$18/100</f>
        <v/>
      </c>
      <c r="Z56" s="23">
        <f>$B$7+$B$9*(X56-$B$7)+$C$19/100</f>
        <v/>
      </c>
      <c r="AA56" s="23">
        <f>$B$7+$B$9*(AVERAGE(INDEX(X$51:X$86,MAX(1,5)):INDEX(X$51:X$86,6))-$B$7)+$C$20/100</f>
        <v/>
      </c>
      <c r="AB56" s="23">
        <f>$B$7+$B$9*(AVERAGE(INDEX(X$51:X$86,MAX(1,4)):INDEX(X$51:X$86,6))-$B$7)+$C$21/100</f>
        <v/>
      </c>
      <c r="AC56" s="20">
        <f>AC55+AD55</f>
        <v/>
      </c>
      <c r="AD56" s="32">
        <f>AC56*(($B$18*Y56+$B$19*Z56+$B$20*AA56+$B$21*AB56)/$B$8)/100*$B56/360</f>
        <v/>
      </c>
      <c r="AE56" s="33">
        <f>IF($B$11="RCV",1,-1)*(($B$12/100)-(X56/100+$B$13/10000))*$B56/360</f>
        <v/>
      </c>
      <c r="AF56" s="23">
        <f>$B$7+J$37*SUMIFS(J$6:J$35,$G$6:$G$35,"&lt;="&amp;IF($A56="",EDATE($B$5,5),$A56),$F$6:$F$35,"&lt;&gt;")/100</f>
        <v/>
      </c>
      <c r="AG56" s="23">
        <f>$B$7+$B$9*(AF56-$B$7)+$C$18/100</f>
        <v/>
      </c>
      <c r="AH56" s="23">
        <f>$B$7+$B$9*(AF56-$B$7)+$C$19/100</f>
        <v/>
      </c>
      <c r="AI56" s="23">
        <f>$B$7+$B$9*(AVERAGE(INDEX(AF$51:AF$86,MAX(1,5)):INDEX(AF$51:AF$86,6))-$B$7)+$C$20/100</f>
        <v/>
      </c>
      <c r="AJ56" s="23">
        <f>$B$7+$B$9*(AVERAGE(INDEX(AF$51:AF$86,MAX(1,4)):INDEX(AF$51:AF$86,6))-$B$7)+$C$21/100</f>
        <v/>
      </c>
      <c r="AK56" s="20">
        <f>AK55+AL55</f>
        <v/>
      </c>
      <c r="AL56" s="32">
        <f>AK56*(($B$18*AG56+$B$19*AH56+$B$20*AI56+$B$21*AJ56)/$B$8)/100*$B56/360</f>
        <v/>
      </c>
      <c r="AM56" s="33">
        <f>IF($B$11="RCV",1,-1)*(($B$12/100)-(AF56/100+$B$13/10000))*$B56/360</f>
        <v/>
      </c>
      <c r="AN56" s="23">
        <f>$B$7+K$37*SUMIFS(K$6:K$35,$G$6:$G$35,"&lt;="&amp;IF($A56="",EDATE($B$5,5),$A56),$F$6:$F$35,"&lt;&gt;")/100</f>
        <v/>
      </c>
      <c r="AO56" s="23">
        <f>$B$7+$B$9*(AN56-$B$7)+$C$18/100</f>
        <v/>
      </c>
      <c r="AP56" s="23">
        <f>$B$7+$B$9*(AN56-$B$7)+$C$19/100</f>
        <v/>
      </c>
      <c r="AQ56" s="23">
        <f>$B$7+$B$9*(AVERAGE(INDEX(AN$51:AN$86,MAX(1,5)):INDEX(AN$51:AN$86,6))-$B$7)+$C$20/100</f>
        <v/>
      </c>
      <c r="AR56" s="23">
        <f>$B$7+$B$9*(AVERAGE(INDEX(AN$51:AN$86,MAX(1,4)):INDEX(AN$51:AN$86,6))-$B$7)+$C$21/100</f>
        <v/>
      </c>
      <c r="AS56" s="20">
        <f>AS55+AT55</f>
        <v/>
      </c>
      <c r="AT56" s="32">
        <f>AS56*(($B$18*AO56+$B$19*AP56+$B$20*AQ56+$B$21*AR56)/$B$8)/100*$B56/360</f>
        <v/>
      </c>
      <c r="AU56" s="33">
        <f>IF($B$11="RCV",1,-1)*(($B$12/100)-(AN56/100+$B$13/10000))*$B56/360</f>
        <v/>
      </c>
      <c r="AV56" s="23">
        <f>$B$7+L$37*SUMIFS(L$6:L$35,$G$6:$G$35,"&lt;="&amp;IF($A56="",EDATE($B$5,5),$A56),$F$6:$F$35,"&lt;&gt;")/100</f>
        <v/>
      </c>
      <c r="AW56" s="23">
        <f>$B$7+$B$9*(AV56-$B$7)+$C$18/100</f>
        <v/>
      </c>
      <c r="AX56" s="23">
        <f>$B$7+$B$9*(AV56-$B$7)+$C$19/100</f>
        <v/>
      </c>
      <c r="AY56" s="23">
        <f>$B$7+$B$9*(AVERAGE(INDEX(AV$51:AV$86,MAX(1,5)):INDEX(AV$51:AV$86,6))-$B$7)+$C$20/100</f>
        <v/>
      </c>
      <c r="AZ56" s="23">
        <f>$B$7+$B$9*(AVERAGE(INDEX(AV$51:AV$86,MAX(1,4)):INDEX(AV$51:AV$86,6))-$B$7)+$C$21/100</f>
        <v/>
      </c>
      <c r="BA56" s="20">
        <f>BA55+BB55</f>
        <v/>
      </c>
      <c r="BB56" s="32">
        <f>BA56*(($B$18*AW56+$B$19*AX56+$B$20*AY56+$B$21*AZ56)/$B$8)/100*$B56/360</f>
        <v/>
      </c>
      <c r="BC56" s="33">
        <f>IF($B$11="RCV",1,-1)*(($B$12/100)-(AV56/100+$B$13/10000))*$B56/360</f>
        <v/>
      </c>
      <c r="BD56" s="23">
        <f>$B$7+M$37*SUMIFS(M$6:M$35,$G$6:$G$35,"&lt;="&amp;IF($A56="",EDATE($B$5,5),$A56),$F$6:$F$35,"&lt;&gt;")/100</f>
        <v/>
      </c>
      <c r="BE56" s="23">
        <f>$B$7+$B$9*(BD56-$B$7)+$C$18/100</f>
        <v/>
      </c>
      <c r="BF56" s="23">
        <f>$B$7+$B$9*(BD56-$B$7)+$C$19/100</f>
        <v/>
      </c>
      <c r="BG56" s="23">
        <f>$B$7+$B$9*(AVERAGE(INDEX(BD$51:BD$86,MAX(1,5)):INDEX(BD$51:BD$86,6))-$B$7)+$C$20/100</f>
        <v/>
      </c>
      <c r="BH56" s="23">
        <f>$B$7+$B$9*(AVERAGE(INDEX(BD$51:BD$86,MAX(1,4)):INDEX(BD$51:BD$86,6))-$B$7)+$C$21/100</f>
        <v/>
      </c>
      <c r="BI56" s="20">
        <f>BI55+BJ55</f>
        <v/>
      </c>
      <c r="BJ56" s="32">
        <f>BI56*(($B$18*BE56+$B$19*BF56+$B$20*BG56+$B$21*BH56)/$B$8)/100*$B56/360</f>
        <v/>
      </c>
      <c r="BK56" s="33">
        <f>IF($B$11="RCV",1,-1)*(($B$12/100)-(BD56/100+$B$13/10000))*$B56/360</f>
        <v/>
      </c>
      <c r="BL56" s="23">
        <f>$B$7+N$37*SUMIFS(N$6:N$35,$G$6:$G$35,"&lt;="&amp;IF($A56="",EDATE($B$5,5),$A56),$F$6:$F$35,"&lt;&gt;")/100</f>
        <v/>
      </c>
      <c r="BM56" s="23">
        <f>$B$7+$B$9*(BL56-$B$7)+$C$18/100</f>
        <v/>
      </c>
      <c r="BN56" s="23">
        <f>$B$7+$B$9*(BL56-$B$7)+$C$19/100</f>
        <v/>
      </c>
      <c r="BO56" s="23">
        <f>$B$7+$B$9*(AVERAGE(INDEX(BL$51:BL$86,MAX(1,5)):INDEX(BL$51:BL$86,6))-$B$7)+$C$20/100</f>
        <v/>
      </c>
      <c r="BP56" s="23">
        <f>$B$7+$B$9*(AVERAGE(INDEX(BL$51:BL$86,MAX(1,4)):INDEX(BL$51:BL$86,6))-$B$7)+$C$21/100</f>
        <v/>
      </c>
      <c r="BQ56" s="20">
        <f>BQ55+BR55</f>
        <v/>
      </c>
      <c r="BR56" s="32">
        <f>BQ56*(($B$18*BM56+$B$19*BN56+$B$20*BO56+$B$21*BP56)/$B$8)/100*$B56/360</f>
        <v/>
      </c>
      <c r="BS56" s="33">
        <f>IF($B$11="RCV",1,-1)*(($B$12/100)-(BL56/100+$B$13/10000))*$B56/360</f>
        <v/>
      </c>
      <c r="BT56" s="23">
        <f>$B$7+O$37*SUMIFS(O$6:O$35,$G$6:$G$35,"&lt;="&amp;IF($A56="",EDATE($B$5,5),$A56),$F$6:$F$35,"&lt;&gt;")/100</f>
        <v/>
      </c>
      <c r="BU56" s="23">
        <f>$B$7+$B$9*(BT56-$B$7)+$C$18/100</f>
        <v/>
      </c>
      <c r="BV56" s="23">
        <f>$B$7+$B$9*(BT56-$B$7)+$C$19/100</f>
        <v/>
      </c>
      <c r="BW56" s="23">
        <f>$B$7+$B$9*(AVERAGE(INDEX(BT$51:BT$86,MAX(1,5)):INDEX(BT$51:BT$86,6))-$B$7)+$C$20/100</f>
        <v/>
      </c>
      <c r="BX56" s="23">
        <f>$B$7+$B$9*(AVERAGE(INDEX(BT$51:BT$86,MAX(1,4)):INDEX(BT$51:BT$86,6))-$B$7)+$C$21/100</f>
        <v/>
      </c>
      <c r="BY56" s="20">
        <f>BY55+BZ55</f>
        <v/>
      </c>
      <c r="BZ56" s="32">
        <f>BY56*(($B$18*BU56+$B$19*BV56+$B$20*BW56+$B$21*BX56)/$B$8)/100*$B56/360</f>
        <v/>
      </c>
      <c r="CA56" s="33">
        <f>IF($B$11="RCV",1,-1)*(($B$12/100)-(BT56/100+$B$13/10000))*$B56/360</f>
        <v/>
      </c>
    </row>
    <row r="57" outlineLevel="1">
      <c r="A57" s="15">
        <f>IF(6&lt;$B$6,EDATE($B$5,6),"")</f>
        <v/>
      </c>
      <c r="B57" s="24">
        <f>IF(A57="",0,EDATE(A57,1)-A57)</f>
        <v/>
      </c>
      <c r="C57" s="23">
        <f>SUM(D57:O57)</f>
        <v/>
      </c>
      <c r="D57" s="16">
        <f>IF($B57=0,0,IF(AND($B$26&gt;0,$D$26&gt;$A57),$B$26*$C$26/100/12,0))</f>
        <v/>
      </c>
      <c r="E57" s="16">
        <f>IF($B57=0,0,IF(AND($B$27&gt;0,$D$27&gt;$A57),$B$27*$C$27/100/12,0))</f>
        <v/>
      </c>
      <c r="F57" s="16">
        <f>IF($B57=0,0,IF(AND($B$28&gt;0,$D$28&gt;$A57),$B$28*$C$28/100/12,0))</f>
        <v/>
      </c>
      <c r="G57" s="16">
        <f>IF($B57=0,0,IF(AND($B$29&gt;0,$D$29&gt;$A57),$B$29*$C$29/100/12,0))</f>
        <v/>
      </c>
      <c r="H57" s="16">
        <f>IF($B57=0,0,IF(AND($B$30&gt;0,$D$30&gt;$A57),$B$30*$C$30/100/12,0))</f>
        <v/>
      </c>
      <c r="I57" s="16">
        <f>IF($B57=0,0,IF(AND($B$31&gt;0,$D$31&gt;$A57),$B$31*$C$31/100/12,0))</f>
        <v/>
      </c>
      <c r="J57" s="16">
        <f>IF($B57=0,0,IF(AND($B$32&gt;0,$D$32&gt;$A57),$B$32*$C$32/100/12,0))</f>
        <v/>
      </c>
      <c r="K57" s="16">
        <f>IF($B57=0,0,IF(AND($B$33&gt;0,$D$33&gt;$A57),$B$33*$C$33/100/12,0))</f>
        <v/>
      </c>
      <c r="L57" s="16">
        <f>IF($B57=0,0,IF(AND($B$34&gt;0,$D$34&gt;$A57),$B$34*$C$34/100/12,0))</f>
        <v/>
      </c>
      <c r="M57" s="16">
        <f>IF($B57=0,0,IF(AND($B$35&gt;0,$D$35&gt;$A57),$B$35*$C$35/100/12,0))</f>
        <v/>
      </c>
      <c r="N57" s="16">
        <f>IF($B57=0,0,IF(AND($B$36&gt;0,$D$36&gt;$A57),$B$36*$C$36/100/12,0))</f>
        <v/>
      </c>
      <c r="O57" s="16">
        <f>IF($B57=0,0,IF(AND($B$37&gt;0,$D$37&gt;$A57),$B$37*$C$37/100/12,0))</f>
        <v/>
      </c>
      <c r="P57" s="23">
        <f>$B$7+H$37*SUMIFS(H$6:H$35,$G$6:$G$35,"&lt;="&amp;IF($A57="",EDATE($B$5,6),$A57),$F$6:$F$35,"&lt;&gt;")/100</f>
        <v/>
      </c>
      <c r="Q57" s="23">
        <f>$B$7+$B$9*(P57-$B$7)+$C$18/100</f>
        <v/>
      </c>
      <c r="R57" s="23">
        <f>$B$7+$B$9*(P57-$B$7)+$C$19/100</f>
        <v/>
      </c>
      <c r="S57" s="23">
        <f>$B$7+$B$9*(AVERAGE(INDEX(P$51:P$86,MAX(1,6)):INDEX(P$51:P$86,7))-$B$7)+$C$20/100</f>
        <v/>
      </c>
      <c r="T57" s="23">
        <f>$B$7+$B$9*(AVERAGE(INDEX(P$51:P$86,MAX(1,5)):INDEX(P$51:P$86,7))-$B$7)+$C$21/100</f>
        <v/>
      </c>
      <c r="U57" s="20">
        <f>U56+V56</f>
        <v/>
      </c>
      <c r="V57" s="32">
        <f>U57*(($B$18*Q57+$B$19*R57+$B$20*S57+$B$21*T57)/$B$8)/100*$B57/360</f>
        <v/>
      </c>
      <c r="W57" s="33">
        <f>IF($B$11="RCV",1,-1)*(($B$12/100)-(P57/100+$B$13/10000))*$B57/360</f>
        <v/>
      </c>
      <c r="X57" s="23">
        <f>$B$7+I$37*SUMIFS(I$6:I$35,$G$6:$G$35,"&lt;="&amp;IF($A57="",EDATE($B$5,6),$A57),$F$6:$F$35,"&lt;&gt;")/100</f>
        <v/>
      </c>
      <c r="Y57" s="23">
        <f>$B$7+$B$9*(X57-$B$7)+$C$18/100</f>
        <v/>
      </c>
      <c r="Z57" s="23">
        <f>$B$7+$B$9*(X57-$B$7)+$C$19/100</f>
        <v/>
      </c>
      <c r="AA57" s="23">
        <f>$B$7+$B$9*(AVERAGE(INDEX(X$51:X$86,MAX(1,6)):INDEX(X$51:X$86,7))-$B$7)+$C$20/100</f>
        <v/>
      </c>
      <c r="AB57" s="23">
        <f>$B$7+$B$9*(AVERAGE(INDEX(X$51:X$86,MAX(1,5)):INDEX(X$51:X$86,7))-$B$7)+$C$21/100</f>
        <v/>
      </c>
      <c r="AC57" s="20">
        <f>AC56+AD56</f>
        <v/>
      </c>
      <c r="AD57" s="32">
        <f>AC57*(($B$18*Y57+$B$19*Z57+$B$20*AA57+$B$21*AB57)/$B$8)/100*$B57/360</f>
        <v/>
      </c>
      <c r="AE57" s="33">
        <f>IF($B$11="RCV",1,-1)*(($B$12/100)-(X57/100+$B$13/10000))*$B57/360</f>
        <v/>
      </c>
      <c r="AF57" s="23">
        <f>$B$7+J$37*SUMIFS(J$6:J$35,$G$6:$G$35,"&lt;="&amp;IF($A57="",EDATE($B$5,6),$A57),$F$6:$F$35,"&lt;&gt;")/100</f>
        <v/>
      </c>
      <c r="AG57" s="23">
        <f>$B$7+$B$9*(AF57-$B$7)+$C$18/100</f>
        <v/>
      </c>
      <c r="AH57" s="23">
        <f>$B$7+$B$9*(AF57-$B$7)+$C$19/100</f>
        <v/>
      </c>
      <c r="AI57" s="23">
        <f>$B$7+$B$9*(AVERAGE(INDEX(AF$51:AF$86,MAX(1,6)):INDEX(AF$51:AF$86,7))-$B$7)+$C$20/100</f>
        <v/>
      </c>
      <c r="AJ57" s="23">
        <f>$B$7+$B$9*(AVERAGE(INDEX(AF$51:AF$86,MAX(1,5)):INDEX(AF$51:AF$86,7))-$B$7)+$C$21/100</f>
        <v/>
      </c>
      <c r="AK57" s="20">
        <f>AK56+AL56</f>
        <v/>
      </c>
      <c r="AL57" s="32">
        <f>AK57*(($B$18*AG57+$B$19*AH57+$B$20*AI57+$B$21*AJ57)/$B$8)/100*$B57/360</f>
        <v/>
      </c>
      <c r="AM57" s="33">
        <f>IF($B$11="RCV",1,-1)*(($B$12/100)-(AF57/100+$B$13/10000))*$B57/360</f>
        <v/>
      </c>
      <c r="AN57" s="23">
        <f>$B$7+K$37*SUMIFS(K$6:K$35,$G$6:$G$35,"&lt;="&amp;IF($A57="",EDATE($B$5,6),$A57),$F$6:$F$35,"&lt;&gt;")/100</f>
        <v/>
      </c>
      <c r="AO57" s="23">
        <f>$B$7+$B$9*(AN57-$B$7)+$C$18/100</f>
        <v/>
      </c>
      <c r="AP57" s="23">
        <f>$B$7+$B$9*(AN57-$B$7)+$C$19/100</f>
        <v/>
      </c>
      <c r="AQ57" s="23">
        <f>$B$7+$B$9*(AVERAGE(INDEX(AN$51:AN$86,MAX(1,6)):INDEX(AN$51:AN$86,7))-$B$7)+$C$20/100</f>
        <v/>
      </c>
      <c r="AR57" s="23">
        <f>$B$7+$B$9*(AVERAGE(INDEX(AN$51:AN$86,MAX(1,5)):INDEX(AN$51:AN$86,7))-$B$7)+$C$21/100</f>
        <v/>
      </c>
      <c r="AS57" s="20">
        <f>AS56+AT56</f>
        <v/>
      </c>
      <c r="AT57" s="32">
        <f>AS57*(($B$18*AO57+$B$19*AP57+$B$20*AQ57+$B$21*AR57)/$B$8)/100*$B57/360</f>
        <v/>
      </c>
      <c r="AU57" s="33">
        <f>IF($B$11="RCV",1,-1)*(($B$12/100)-(AN57/100+$B$13/10000))*$B57/360</f>
        <v/>
      </c>
      <c r="AV57" s="23">
        <f>$B$7+L$37*SUMIFS(L$6:L$35,$G$6:$G$35,"&lt;="&amp;IF($A57="",EDATE($B$5,6),$A57),$F$6:$F$35,"&lt;&gt;")/100</f>
        <v/>
      </c>
      <c r="AW57" s="23">
        <f>$B$7+$B$9*(AV57-$B$7)+$C$18/100</f>
        <v/>
      </c>
      <c r="AX57" s="23">
        <f>$B$7+$B$9*(AV57-$B$7)+$C$19/100</f>
        <v/>
      </c>
      <c r="AY57" s="23">
        <f>$B$7+$B$9*(AVERAGE(INDEX(AV$51:AV$86,MAX(1,6)):INDEX(AV$51:AV$86,7))-$B$7)+$C$20/100</f>
        <v/>
      </c>
      <c r="AZ57" s="23">
        <f>$B$7+$B$9*(AVERAGE(INDEX(AV$51:AV$86,MAX(1,5)):INDEX(AV$51:AV$86,7))-$B$7)+$C$21/100</f>
        <v/>
      </c>
      <c r="BA57" s="20">
        <f>BA56+BB56</f>
        <v/>
      </c>
      <c r="BB57" s="32">
        <f>BA57*(($B$18*AW57+$B$19*AX57+$B$20*AY57+$B$21*AZ57)/$B$8)/100*$B57/360</f>
        <v/>
      </c>
      <c r="BC57" s="33">
        <f>IF($B$11="RCV",1,-1)*(($B$12/100)-(AV57/100+$B$13/10000))*$B57/360</f>
        <v/>
      </c>
      <c r="BD57" s="23">
        <f>$B$7+M$37*SUMIFS(M$6:M$35,$G$6:$G$35,"&lt;="&amp;IF($A57="",EDATE($B$5,6),$A57),$F$6:$F$35,"&lt;&gt;")/100</f>
        <v/>
      </c>
      <c r="BE57" s="23">
        <f>$B$7+$B$9*(BD57-$B$7)+$C$18/100</f>
        <v/>
      </c>
      <c r="BF57" s="23">
        <f>$B$7+$B$9*(BD57-$B$7)+$C$19/100</f>
        <v/>
      </c>
      <c r="BG57" s="23">
        <f>$B$7+$B$9*(AVERAGE(INDEX(BD$51:BD$86,MAX(1,6)):INDEX(BD$51:BD$86,7))-$B$7)+$C$20/100</f>
        <v/>
      </c>
      <c r="BH57" s="23">
        <f>$B$7+$B$9*(AVERAGE(INDEX(BD$51:BD$86,MAX(1,5)):INDEX(BD$51:BD$86,7))-$B$7)+$C$21/100</f>
        <v/>
      </c>
      <c r="BI57" s="20">
        <f>BI56+BJ56</f>
        <v/>
      </c>
      <c r="BJ57" s="32">
        <f>BI57*(($B$18*BE57+$B$19*BF57+$B$20*BG57+$B$21*BH57)/$B$8)/100*$B57/360</f>
        <v/>
      </c>
      <c r="BK57" s="33">
        <f>IF($B$11="RCV",1,-1)*(($B$12/100)-(BD57/100+$B$13/10000))*$B57/360</f>
        <v/>
      </c>
      <c r="BL57" s="23">
        <f>$B$7+N$37*SUMIFS(N$6:N$35,$G$6:$G$35,"&lt;="&amp;IF($A57="",EDATE($B$5,6),$A57),$F$6:$F$35,"&lt;&gt;")/100</f>
        <v/>
      </c>
      <c r="BM57" s="23">
        <f>$B$7+$B$9*(BL57-$B$7)+$C$18/100</f>
        <v/>
      </c>
      <c r="BN57" s="23">
        <f>$B$7+$B$9*(BL57-$B$7)+$C$19/100</f>
        <v/>
      </c>
      <c r="BO57" s="23">
        <f>$B$7+$B$9*(AVERAGE(INDEX(BL$51:BL$86,MAX(1,6)):INDEX(BL$51:BL$86,7))-$B$7)+$C$20/100</f>
        <v/>
      </c>
      <c r="BP57" s="23">
        <f>$B$7+$B$9*(AVERAGE(INDEX(BL$51:BL$86,MAX(1,5)):INDEX(BL$51:BL$86,7))-$B$7)+$C$21/100</f>
        <v/>
      </c>
      <c r="BQ57" s="20">
        <f>BQ56+BR56</f>
        <v/>
      </c>
      <c r="BR57" s="32">
        <f>BQ57*(($B$18*BM57+$B$19*BN57+$B$20*BO57+$B$21*BP57)/$B$8)/100*$B57/360</f>
        <v/>
      </c>
      <c r="BS57" s="33">
        <f>IF($B$11="RCV",1,-1)*(($B$12/100)-(BL57/100+$B$13/10000))*$B57/360</f>
        <v/>
      </c>
      <c r="BT57" s="23">
        <f>$B$7+O$37*SUMIFS(O$6:O$35,$G$6:$G$35,"&lt;="&amp;IF($A57="",EDATE($B$5,6),$A57),$F$6:$F$35,"&lt;&gt;")/100</f>
        <v/>
      </c>
      <c r="BU57" s="23">
        <f>$B$7+$B$9*(BT57-$B$7)+$C$18/100</f>
        <v/>
      </c>
      <c r="BV57" s="23">
        <f>$B$7+$B$9*(BT57-$B$7)+$C$19/100</f>
        <v/>
      </c>
      <c r="BW57" s="23">
        <f>$B$7+$B$9*(AVERAGE(INDEX(BT$51:BT$86,MAX(1,6)):INDEX(BT$51:BT$86,7))-$B$7)+$C$20/100</f>
        <v/>
      </c>
      <c r="BX57" s="23">
        <f>$B$7+$B$9*(AVERAGE(INDEX(BT$51:BT$86,MAX(1,5)):INDEX(BT$51:BT$86,7))-$B$7)+$C$21/100</f>
        <v/>
      </c>
      <c r="BY57" s="20">
        <f>BY56+BZ56</f>
        <v/>
      </c>
      <c r="BZ57" s="32">
        <f>BY57*(($B$18*BU57+$B$19*BV57+$B$20*BW57+$B$21*BX57)/$B$8)/100*$B57/360</f>
        <v/>
      </c>
      <c r="CA57" s="33">
        <f>IF($B$11="RCV",1,-1)*(($B$12/100)-(BT57/100+$B$13/10000))*$B57/360</f>
        <v/>
      </c>
    </row>
    <row r="58" outlineLevel="1">
      <c r="A58" s="15">
        <f>IF(7&lt;$B$6,EDATE($B$5,7),"")</f>
        <v/>
      </c>
      <c r="B58" s="24">
        <f>IF(A58="",0,EDATE(A58,1)-A58)</f>
        <v/>
      </c>
      <c r="C58" s="23">
        <f>SUM(D58:O58)</f>
        <v/>
      </c>
      <c r="D58" s="16">
        <f>IF($B58=0,0,IF(AND($B$26&gt;0,$D$26&gt;$A58),$B$26*$C$26/100/12,0))</f>
        <v/>
      </c>
      <c r="E58" s="16">
        <f>IF($B58=0,0,IF(AND($B$27&gt;0,$D$27&gt;$A58),$B$27*$C$27/100/12,0))</f>
        <v/>
      </c>
      <c r="F58" s="16">
        <f>IF($B58=0,0,IF(AND($B$28&gt;0,$D$28&gt;$A58),$B$28*$C$28/100/12,0))</f>
        <v/>
      </c>
      <c r="G58" s="16">
        <f>IF($B58=0,0,IF(AND($B$29&gt;0,$D$29&gt;$A58),$B$29*$C$29/100/12,0))</f>
        <v/>
      </c>
      <c r="H58" s="16">
        <f>IF($B58=0,0,IF(AND($B$30&gt;0,$D$30&gt;$A58),$B$30*$C$30/100/12,0))</f>
        <v/>
      </c>
      <c r="I58" s="16">
        <f>IF($B58=0,0,IF(AND($B$31&gt;0,$D$31&gt;$A58),$B$31*$C$31/100/12,0))</f>
        <v/>
      </c>
      <c r="J58" s="16">
        <f>IF($B58=0,0,IF(AND($B$32&gt;0,$D$32&gt;$A58),$B$32*$C$32/100/12,0))</f>
        <v/>
      </c>
      <c r="K58" s="16">
        <f>IF($B58=0,0,IF(AND($B$33&gt;0,$D$33&gt;$A58),$B$33*$C$33/100/12,0))</f>
        <v/>
      </c>
      <c r="L58" s="16">
        <f>IF($B58=0,0,IF(AND($B$34&gt;0,$D$34&gt;$A58),$B$34*$C$34/100/12,0))</f>
        <v/>
      </c>
      <c r="M58" s="16">
        <f>IF($B58=0,0,IF(AND($B$35&gt;0,$D$35&gt;$A58),$B$35*$C$35/100/12,0))</f>
        <v/>
      </c>
      <c r="N58" s="16">
        <f>IF($B58=0,0,IF(AND($B$36&gt;0,$D$36&gt;$A58),$B$36*$C$36/100/12,0))</f>
        <v/>
      </c>
      <c r="O58" s="16">
        <f>IF($B58=0,0,IF(AND($B$37&gt;0,$D$37&gt;$A58),$B$37*$C$37/100/12,0))</f>
        <v/>
      </c>
      <c r="P58" s="23">
        <f>$B$7+H$37*SUMIFS(H$6:H$35,$G$6:$G$35,"&lt;="&amp;IF($A58="",EDATE($B$5,7),$A58),$F$6:$F$35,"&lt;&gt;")/100</f>
        <v/>
      </c>
      <c r="Q58" s="23">
        <f>$B$7+$B$9*(P58-$B$7)+$C$18/100</f>
        <v/>
      </c>
      <c r="R58" s="23">
        <f>$B$7+$B$9*(P58-$B$7)+$C$19/100</f>
        <v/>
      </c>
      <c r="S58" s="23">
        <f>$B$7+$B$9*(AVERAGE(INDEX(P$51:P$86,MAX(1,7)):INDEX(P$51:P$86,8))-$B$7)+$C$20/100</f>
        <v/>
      </c>
      <c r="T58" s="23">
        <f>$B$7+$B$9*(AVERAGE(INDEX(P$51:P$86,MAX(1,6)):INDEX(P$51:P$86,8))-$B$7)+$C$21/100</f>
        <v/>
      </c>
      <c r="U58" s="20">
        <f>U57+V57</f>
        <v/>
      </c>
      <c r="V58" s="32">
        <f>U58*(($B$18*Q58+$B$19*R58+$B$20*S58+$B$21*T58)/$B$8)/100*$B58/360</f>
        <v/>
      </c>
      <c r="W58" s="33">
        <f>IF($B$11="RCV",1,-1)*(($B$12/100)-(P58/100+$B$13/10000))*$B58/360</f>
        <v/>
      </c>
      <c r="X58" s="23">
        <f>$B$7+I$37*SUMIFS(I$6:I$35,$G$6:$G$35,"&lt;="&amp;IF($A58="",EDATE($B$5,7),$A58),$F$6:$F$35,"&lt;&gt;")/100</f>
        <v/>
      </c>
      <c r="Y58" s="23">
        <f>$B$7+$B$9*(X58-$B$7)+$C$18/100</f>
        <v/>
      </c>
      <c r="Z58" s="23">
        <f>$B$7+$B$9*(X58-$B$7)+$C$19/100</f>
        <v/>
      </c>
      <c r="AA58" s="23">
        <f>$B$7+$B$9*(AVERAGE(INDEX(X$51:X$86,MAX(1,7)):INDEX(X$51:X$86,8))-$B$7)+$C$20/100</f>
        <v/>
      </c>
      <c r="AB58" s="23">
        <f>$B$7+$B$9*(AVERAGE(INDEX(X$51:X$86,MAX(1,6)):INDEX(X$51:X$86,8))-$B$7)+$C$21/100</f>
        <v/>
      </c>
      <c r="AC58" s="20">
        <f>AC57+AD57</f>
        <v/>
      </c>
      <c r="AD58" s="32">
        <f>AC58*(($B$18*Y58+$B$19*Z58+$B$20*AA58+$B$21*AB58)/$B$8)/100*$B58/360</f>
        <v/>
      </c>
      <c r="AE58" s="33">
        <f>IF($B$11="RCV",1,-1)*(($B$12/100)-(X58/100+$B$13/10000))*$B58/360</f>
        <v/>
      </c>
      <c r="AF58" s="23">
        <f>$B$7+J$37*SUMIFS(J$6:J$35,$G$6:$G$35,"&lt;="&amp;IF($A58="",EDATE($B$5,7),$A58),$F$6:$F$35,"&lt;&gt;")/100</f>
        <v/>
      </c>
      <c r="AG58" s="23">
        <f>$B$7+$B$9*(AF58-$B$7)+$C$18/100</f>
        <v/>
      </c>
      <c r="AH58" s="23">
        <f>$B$7+$B$9*(AF58-$B$7)+$C$19/100</f>
        <v/>
      </c>
      <c r="AI58" s="23">
        <f>$B$7+$B$9*(AVERAGE(INDEX(AF$51:AF$86,MAX(1,7)):INDEX(AF$51:AF$86,8))-$B$7)+$C$20/100</f>
        <v/>
      </c>
      <c r="AJ58" s="23">
        <f>$B$7+$B$9*(AVERAGE(INDEX(AF$51:AF$86,MAX(1,6)):INDEX(AF$51:AF$86,8))-$B$7)+$C$21/100</f>
        <v/>
      </c>
      <c r="AK58" s="20">
        <f>AK57+AL57</f>
        <v/>
      </c>
      <c r="AL58" s="32">
        <f>AK58*(($B$18*AG58+$B$19*AH58+$B$20*AI58+$B$21*AJ58)/$B$8)/100*$B58/360</f>
        <v/>
      </c>
      <c r="AM58" s="33">
        <f>IF($B$11="RCV",1,-1)*(($B$12/100)-(AF58/100+$B$13/10000))*$B58/360</f>
        <v/>
      </c>
      <c r="AN58" s="23">
        <f>$B$7+K$37*SUMIFS(K$6:K$35,$G$6:$G$35,"&lt;="&amp;IF($A58="",EDATE($B$5,7),$A58),$F$6:$F$35,"&lt;&gt;")/100</f>
        <v/>
      </c>
      <c r="AO58" s="23">
        <f>$B$7+$B$9*(AN58-$B$7)+$C$18/100</f>
        <v/>
      </c>
      <c r="AP58" s="23">
        <f>$B$7+$B$9*(AN58-$B$7)+$C$19/100</f>
        <v/>
      </c>
      <c r="AQ58" s="23">
        <f>$B$7+$B$9*(AVERAGE(INDEX(AN$51:AN$86,MAX(1,7)):INDEX(AN$51:AN$86,8))-$B$7)+$C$20/100</f>
        <v/>
      </c>
      <c r="AR58" s="23">
        <f>$B$7+$B$9*(AVERAGE(INDEX(AN$51:AN$86,MAX(1,6)):INDEX(AN$51:AN$86,8))-$B$7)+$C$21/100</f>
        <v/>
      </c>
      <c r="AS58" s="20">
        <f>AS57+AT57</f>
        <v/>
      </c>
      <c r="AT58" s="32">
        <f>AS58*(($B$18*AO58+$B$19*AP58+$B$20*AQ58+$B$21*AR58)/$B$8)/100*$B58/360</f>
        <v/>
      </c>
      <c r="AU58" s="33">
        <f>IF($B$11="RCV",1,-1)*(($B$12/100)-(AN58/100+$B$13/10000))*$B58/360</f>
        <v/>
      </c>
      <c r="AV58" s="23">
        <f>$B$7+L$37*SUMIFS(L$6:L$35,$G$6:$G$35,"&lt;="&amp;IF($A58="",EDATE($B$5,7),$A58),$F$6:$F$35,"&lt;&gt;")/100</f>
        <v/>
      </c>
      <c r="AW58" s="23">
        <f>$B$7+$B$9*(AV58-$B$7)+$C$18/100</f>
        <v/>
      </c>
      <c r="AX58" s="23">
        <f>$B$7+$B$9*(AV58-$B$7)+$C$19/100</f>
        <v/>
      </c>
      <c r="AY58" s="23">
        <f>$B$7+$B$9*(AVERAGE(INDEX(AV$51:AV$86,MAX(1,7)):INDEX(AV$51:AV$86,8))-$B$7)+$C$20/100</f>
        <v/>
      </c>
      <c r="AZ58" s="23">
        <f>$B$7+$B$9*(AVERAGE(INDEX(AV$51:AV$86,MAX(1,6)):INDEX(AV$51:AV$86,8))-$B$7)+$C$21/100</f>
        <v/>
      </c>
      <c r="BA58" s="20">
        <f>BA57+BB57</f>
        <v/>
      </c>
      <c r="BB58" s="32">
        <f>BA58*(($B$18*AW58+$B$19*AX58+$B$20*AY58+$B$21*AZ58)/$B$8)/100*$B58/360</f>
        <v/>
      </c>
      <c r="BC58" s="33">
        <f>IF($B$11="RCV",1,-1)*(($B$12/100)-(AV58/100+$B$13/10000))*$B58/360</f>
        <v/>
      </c>
      <c r="BD58" s="23">
        <f>$B$7+M$37*SUMIFS(M$6:M$35,$G$6:$G$35,"&lt;="&amp;IF($A58="",EDATE($B$5,7),$A58),$F$6:$F$35,"&lt;&gt;")/100</f>
        <v/>
      </c>
      <c r="BE58" s="23">
        <f>$B$7+$B$9*(BD58-$B$7)+$C$18/100</f>
        <v/>
      </c>
      <c r="BF58" s="23">
        <f>$B$7+$B$9*(BD58-$B$7)+$C$19/100</f>
        <v/>
      </c>
      <c r="BG58" s="23">
        <f>$B$7+$B$9*(AVERAGE(INDEX(BD$51:BD$86,MAX(1,7)):INDEX(BD$51:BD$86,8))-$B$7)+$C$20/100</f>
        <v/>
      </c>
      <c r="BH58" s="23">
        <f>$B$7+$B$9*(AVERAGE(INDEX(BD$51:BD$86,MAX(1,6)):INDEX(BD$51:BD$86,8))-$B$7)+$C$21/100</f>
        <v/>
      </c>
      <c r="BI58" s="20">
        <f>BI57+BJ57</f>
        <v/>
      </c>
      <c r="BJ58" s="32">
        <f>BI58*(($B$18*BE58+$B$19*BF58+$B$20*BG58+$B$21*BH58)/$B$8)/100*$B58/360</f>
        <v/>
      </c>
      <c r="BK58" s="33">
        <f>IF($B$11="RCV",1,-1)*(($B$12/100)-(BD58/100+$B$13/10000))*$B58/360</f>
        <v/>
      </c>
      <c r="BL58" s="23">
        <f>$B$7+N$37*SUMIFS(N$6:N$35,$G$6:$G$35,"&lt;="&amp;IF($A58="",EDATE($B$5,7),$A58),$F$6:$F$35,"&lt;&gt;")/100</f>
        <v/>
      </c>
      <c r="BM58" s="23">
        <f>$B$7+$B$9*(BL58-$B$7)+$C$18/100</f>
        <v/>
      </c>
      <c r="BN58" s="23">
        <f>$B$7+$B$9*(BL58-$B$7)+$C$19/100</f>
        <v/>
      </c>
      <c r="BO58" s="23">
        <f>$B$7+$B$9*(AVERAGE(INDEX(BL$51:BL$86,MAX(1,7)):INDEX(BL$51:BL$86,8))-$B$7)+$C$20/100</f>
        <v/>
      </c>
      <c r="BP58" s="23">
        <f>$B$7+$B$9*(AVERAGE(INDEX(BL$51:BL$86,MAX(1,6)):INDEX(BL$51:BL$86,8))-$B$7)+$C$21/100</f>
        <v/>
      </c>
      <c r="BQ58" s="20">
        <f>BQ57+BR57</f>
        <v/>
      </c>
      <c r="BR58" s="32">
        <f>BQ58*(($B$18*BM58+$B$19*BN58+$B$20*BO58+$B$21*BP58)/$B$8)/100*$B58/360</f>
        <v/>
      </c>
      <c r="BS58" s="33">
        <f>IF($B$11="RCV",1,-1)*(($B$12/100)-(BL58/100+$B$13/10000))*$B58/360</f>
        <v/>
      </c>
      <c r="BT58" s="23">
        <f>$B$7+O$37*SUMIFS(O$6:O$35,$G$6:$G$35,"&lt;="&amp;IF($A58="",EDATE($B$5,7),$A58),$F$6:$F$35,"&lt;&gt;")/100</f>
        <v/>
      </c>
      <c r="BU58" s="23">
        <f>$B$7+$B$9*(BT58-$B$7)+$C$18/100</f>
        <v/>
      </c>
      <c r="BV58" s="23">
        <f>$B$7+$B$9*(BT58-$B$7)+$C$19/100</f>
        <v/>
      </c>
      <c r="BW58" s="23">
        <f>$B$7+$B$9*(AVERAGE(INDEX(BT$51:BT$86,MAX(1,7)):INDEX(BT$51:BT$86,8))-$B$7)+$C$20/100</f>
        <v/>
      </c>
      <c r="BX58" s="23">
        <f>$B$7+$B$9*(AVERAGE(INDEX(BT$51:BT$86,MAX(1,6)):INDEX(BT$51:BT$86,8))-$B$7)+$C$21/100</f>
        <v/>
      </c>
      <c r="BY58" s="20">
        <f>BY57+BZ57</f>
        <v/>
      </c>
      <c r="BZ58" s="32">
        <f>BY58*(($B$18*BU58+$B$19*BV58+$B$20*BW58+$B$21*BX58)/$B$8)/100*$B58/360</f>
        <v/>
      </c>
      <c r="CA58" s="33">
        <f>IF($B$11="RCV",1,-1)*(($B$12/100)-(BT58/100+$B$13/10000))*$B58/360</f>
        <v/>
      </c>
    </row>
    <row r="59" outlineLevel="1">
      <c r="A59" s="15">
        <f>IF(8&lt;$B$6,EDATE($B$5,8),"")</f>
        <v/>
      </c>
      <c r="B59" s="24">
        <f>IF(A59="",0,EDATE(A59,1)-A59)</f>
        <v/>
      </c>
      <c r="C59" s="23">
        <f>SUM(D59:O59)</f>
        <v/>
      </c>
      <c r="D59" s="16">
        <f>IF($B59=0,0,IF(AND($B$26&gt;0,$D$26&gt;$A59),$B$26*$C$26/100/12,0))</f>
        <v/>
      </c>
      <c r="E59" s="16">
        <f>IF($B59=0,0,IF(AND($B$27&gt;0,$D$27&gt;$A59),$B$27*$C$27/100/12,0))</f>
        <v/>
      </c>
      <c r="F59" s="16">
        <f>IF($B59=0,0,IF(AND($B$28&gt;0,$D$28&gt;$A59),$B$28*$C$28/100/12,0))</f>
        <v/>
      </c>
      <c r="G59" s="16">
        <f>IF($B59=0,0,IF(AND($B$29&gt;0,$D$29&gt;$A59),$B$29*$C$29/100/12,0))</f>
        <v/>
      </c>
      <c r="H59" s="16">
        <f>IF($B59=0,0,IF(AND($B$30&gt;0,$D$30&gt;$A59),$B$30*$C$30/100/12,0))</f>
        <v/>
      </c>
      <c r="I59" s="16">
        <f>IF($B59=0,0,IF(AND($B$31&gt;0,$D$31&gt;$A59),$B$31*$C$31/100/12,0))</f>
        <v/>
      </c>
      <c r="J59" s="16">
        <f>IF($B59=0,0,IF(AND($B$32&gt;0,$D$32&gt;$A59),$B$32*$C$32/100/12,0))</f>
        <v/>
      </c>
      <c r="K59" s="16">
        <f>IF($B59=0,0,IF(AND($B$33&gt;0,$D$33&gt;$A59),$B$33*$C$33/100/12,0))</f>
        <v/>
      </c>
      <c r="L59" s="16">
        <f>IF($B59=0,0,IF(AND($B$34&gt;0,$D$34&gt;$A59),$B$34*$C$34/100/12,0))</f>
        <v/>
      </c>
      <c r="M59" s="16">
        <f>IF($B59=0,0,IF(AND($B$35&gt;0,$D$35&gt;$A59),$B$35*$C$35/100/12,0))</f>
        <v/>
      </c>
      <c r="N59" s="16">
        <f>IF($B59=0,0,IF(AND($B$36&gt;0,$D$36&gt;$A59),$B$36*$C$36/100/12,0))</f>
        <v/>
      </c>
      <c r="O59" s="16">
        <f>IF($B59=0,0,IF(AND($B$37&gt;0,$D$37&gt;$A59),$B$37*$C$37/100/12,0))</f>
        <v/>
      </c>
      <c r="P59" s="23">
        <f>$B$7+H$37*SUMIFS(H$6:H$35,$G$6:$G$35,"&lt;="&amp;IF($A59="",EDATE($B$5,8),$A59),$F$6:$F$35,"&lt;&gt;")/100</f>
        <v/>
      </c>
      <c r="Q59" s="23">
        <f>$B$7+$B$9*(P59-$B$7)+$C$18/100</f>
        <v/>
      </c>
      <c r="R59" s="23">
        <f>$B$7+$B$9*(P59-$B$7)+$C$19/100</f>
        <v/>
      </c>
      <c r="S59" s="23">
        <f>$B$7+$B$9*(AVERAGE(INDEX(P$51:P$86,MAX(1,8)):INDEX(P$51:P$86,9))-$B$7)+$C$20/100</f>
        <v/>
      </c>
      <c r="T59" s="23">
        <f>$B$7+$B$9*(AVERAGE(INDEX(P$51:P$86,MAX(1,7)):INDEX(P$51:P$86,9))-$B$7)+$C$21/100</f>
        <v/>
      </c>
      <c r="U59" s="20">
        <f>U58+V58</f>
        <v/>
      </c>
      <c r="V59" s="32">
        <f>U59*(($B$18*Q59+$B$19*R59+$B$20*S59+$B$21*T59)/$B$8)/100*$B59/360</f>
        <v/>
      </c>
      <c r="W59" s="33">
        <f>IF($B$11="RCV",1,-1)*(($B$12/100)-(P59/100+$B$13/10000))*$B59/360</f>
        <v/>
      </c>
      <c r="X59" s="23">
        <f>$B$7+I$37*SUMIFS(I$6:I$35,$G$6:$G$35,"&lt;="&amp;IF($A59="",EDATE($B$5,8),$A59),$F$6:$F$35,"&lt;&gt;")/100</f>
        <v/>
      </c>
      <c r="Y59" s="23">
        <f>$B$7+$B$9*(X59-$B$7)+$C$18/100</f>
        <v/>
      </c>
      <c r="Z59" s="23">
        <f>$B$7+$B$9*(X59-$B$7)+$C$19/100</f>
        <v/>
      </c>
      <c r="AA59" s="23">
        <f>$B$7+$B$9*(AVERAGE(INDEX(X$51:X$86,MAX(1,8)):INDEX(X$51:X$86,9))-$B$7)+$C$20/100</f>
        <v/>
      </c>
      <c r="AB59" s="23">
        <f>$B$7+$B$9*(AVERAGE(INDEX(X$51:X$86,MAX(1,7)):INDEX(X$51:X$86,9))-$B$7)+$C$21/100</f>
        <v/>
      </c>
      <c r="AC59" s="20">
        <f>AC58+AD58</f>
        <v/>
      </c>
      <c r="AD59" s="32">
        <f>AC59*(($B$18*Y59+$B$19*Z59+$B$20*AA59+$B$21*AB59)/$B$8)/100*$B59/360</f>
        <v/>
      </c>
      <c r="AE59" s="33">
        <f>IF($B$11="RCV",1,-1)*(($B$12/100)-(X59/100+$B$13/10000))*$B59/360</f>
        <v/>
      </c>
      <c r="AF59" s="23">
        <f>$B$7+J$37*SUMIFS(J$6:J$35,$G$6:$G$35,"&lt;="&amp;IF($A59="",EDATE($B$5,8),$A59),$F$6:$F$35,"&lt;&gt;")/100</f>
        <v/>
      </c>
      <c r="AG59" s="23">
        <f>$B$7+$B$9*(AF59-$B$7)+$C$18/100</f>
        <v/>
      </c>
      <c r="AH59" s="23">
        <f>$B$7+$B$9*(AF59-$B$7)+$C$19/100</f>
        <v/>
      </c>
      <c r="AI59" s="23">
        <f>$B$7+$B$9*(AVERAGE(INDEX(AF$51:AF$86,MAX(1,8)):INDEX(AF$51:AF$86,9))-$B$7)+$C$20/100</f>
        <v/>
      </c>
      <c r="AJ59" s="23">
        <f>$B$7+$B$9*(AVERAGE(INDEX(AF$51:AF$86,MAX(1,7)):INDEX(AF$51:AF$86,9))-$B$7)+$C$21/100</f>
        <v/>
      </c>
      <c r="AK59" s="20">
        <f>AK58+AL58</f>
        <v/>
      </c>
      <c r="AL59" s="32">
        <f>AK59*(($B$18*AG59+$B$19*AH59+$B$20*AI59+$B$21*AJ59)/$B$8)/100*$B59/360</f>
        <v/>
      </c>
      <c r="AM59" s="33">
        <f>IF($B$11="RCV",1,-1)*(($B$12/100)-(AF59/100+$B$13/10000))*$B59/360</f>
        <v/>
      </c>
      <c r="AN59" s="23">
        <f>$B$7+K$37*SUMIFS(K$6:K$35,$G$6:$G$35,"&lt;="&amp;IF($A59="",EDATE($B$5,8),$A59),$F$6:$F$35,"&lt;&gt;")/100</f>
        <v/>
      </c>
      <c r="AO59" s="23">
        <f>$B$7+$B$9*(AN59-$B$7)+$C$18/100</f>
        <v/>
      </c>
      <c r="AP59" s="23">
        <f>$B$7+$B$9*(AN59-$B$7)+$C$19/100</f>
        <v/>
      </c>
      <c r="AQ59" s="23">
        <f>$B$7+$B$9*(AVERAGE(INDEX(AN$51:AN$86,MAX(1,8)):INDEX(AN$51:AN$86,9))-$B$7)+$C$20/100</f>
        <v/>
      </c>
      <c r="AR59" s="23">
        <f>$B$7+$B$9*(AVERAGE(INDEX(AN$51:AN$86,MAX(1,7)):INDEX(AN$51:AN$86,9))-$B$7)+$C$21/100</f>
        <v/>
      </c>
      <c r="AS59" s="20">
        <f>AS58+AT58</f>
        <v/>
      </c>
      <c r="AT59" s="32">
        <f>AS59*(($B$18*AO59+$B$19*AP59+$B$20*AQ59+$B$21*AR59)/$B$8)/100*$B59/360</f>
        <v/>
      </c>
      <c r="AU59" s="33">
        <f>IF($B$11="RCV",1,-1)*(($B$12/100)-(AN59/100+$B$13/10000))*$B59/360</f>
        <v/>
      </c>
      <c r="AV59" s="23">
        <f>$B$7+L$37*SUMIFS(L$6:L$35,$G$6:$G$35,"&lt;="&amp;IF($A59="",EDATE($B$5,8),$A59),$F$6:$F$35,"&lt;&gt;")/100</f>
        <v/>
      </c>
      <c r="AW59" s="23">
        <f>$B$7+$B$9*(AV59-$B$7)+$C$18/100</f>
        <v/>
      </c>
      <c r="AX59" s="23">
        <f>$B$7+$B$9*(AV59-$B$7)+$C$19/100</f>
        <v/>
      </c>
      <c r="AY59" s="23">
        <f>$B$7+$B$9*(AVERAGE(INDEX(AV$51:AV$86,MAX(1,8)):INDEX(AV$51:AV$86,9))-$B$7)+$C$20/100</f>
        <v/>
      </c>
      <c r="AZ59" s="23">
        <f>$B$7+$B$9*(AVERAGE(INDEX(AV$51:AV$86,MAX(1,7)):INDEX(AV$51:AV$86,9))-$B$7)+$C$21/100</f>
        <v/>
      </c>
      <c r="BA59" s="20">
        <f>BA58+BB58</f>
        <v/>
      </c>
      <c r="BB59" s="32">
        <f>BA59*(($B$18*AW59+$B$19*AX59+$B$20*AY59+$B$21*AZ59)/$B$8)/100*$B59/360</f>
        <v/>
      </c>
      <c r="BC59" s="33">
        <f>IF($B$11="RCV",1,-1)*(($B$12/100)-(AV59/100+$B$13/10000))*$B59/360</f>
        <v/>
      </c>
      <c r="BD59" s="23">
        <f>$B$7+M$37*SUMIFS(M$6:M$35,$G$6:$G$35,"&lt;="&amp;IF($A59="",EDATE($B$5,8),$A59),$F$6:$F$35,"&lt;&gt;")/100</f>
        <v/>
      </c>
      <c r="BE59" s="23">
        <f>$B$7+$B$9*(BD59-$B$7)+$C$18/100</f>
        <v/>
      </c>
      <c r="BF59" s="23">
        <f>$B$7+$B$9*(BD59-$B$7)+$C$19/100</f>
        <v/>
      </c>
      <c r="BG59" s="23">
        <f>$B$7+$B$9*(AVERAGE(INDEX(BD$51:BD$86,MAX(1,8)):INDEX(BD$51:BD$86,9))-$B$7)+$C$20/100</f>
        <v/>
      </c>
      <c r="BH59" s="23">
        <f>$B$7+$B$9*(AVERAGE(INDEX(BD$51:BD$86,MAX(1,7)):INDEX(BD$51:BD$86,9))-$B$7)+$C$21/100</f>
        <v/>
      </c>
      <c r="BI59" s="20">
        <f>BI58+BJ58</f>
        <v/>
      </c>
      <c r="BJ59" s="32">
        <f>BI59*(($B$18*BE59+$B$19*BF59+$B$20*BG59+$B$21*BH59)/$B$8)/100*$B59/360</f>
        <v/>
      </c>
      <c r="BK59" s="33">
        <f>IF($B$11="RCV",1,-1)*(($B$12/100)-(BD59/100+$B$13/10000))*$B59/360</f>
        <v/>
      </c>
      <c r="BL59" s="23">
        <f>$B$7+N$37*SUMIFS(N$6:N$35,$G$6:$G$35,"&lt;="&amp;IF($A59="",EDATE($B$5,8),$A59),$F$6:$F$35,"&lt;&gt;")/100</f>
        <v/>
      </c>
      <c r="BM59" s="23">
        <f>$B$7+$B$9*(BL59-$B$7)+$C$18/100</f>
        <v/>
      </c>
      <c r="BN59" s="23">
        <f>$B$7+$B$9*(BL59-$B$7)+$C$19/100</f>
        <v/>
      </c>
      <c r="BO59" s="23">
        <f>$B$7+$B$9*(AVERAGE(INDEX(BL$51:BL$86,MAX(1,8)):INDEX(BL$51:BL$86,9))-$B$7)+$C$20/100</f>
        <v/>
      </c>
      <c r="BP59" s="23">
        <f>$B$7+$B$9*(AVERAGE(INDEX(BL$51:BL$86,MAX(1,7)):INDEX(BL$51:BL$86,9))-$B$7)+$C$21/100</f>
        <v/>
      </c>
      <c r="BQ59" s="20">
        <f>BQ58+BR58</f>
        <v/>
      </c>
      <c r="BR59" s="32">
        <f>BQ59*(($B$18*BM59+$B$19*BN59+$B$20*BO59+$B$21*BP59)/$B$8)/100*$B59/360</f>
        <v/>
      </c>
      <c r="BS59" s="33">
        <f>IF($B$11="RCV",1,-1)*(($B$12/100)-(BL59/100+$B$13/10000))*$B59/360</f>
        <v/>
      </c>
      <c r="BT59" s="23">
        <f>$B$7+O$37*SUMIFS(O$6:O$35,$G$6:$G$35,"&lt;="&amp;IF($A59="",EDATE($B$5,8),$A59),$F$6:$F$35,"&lt;&gt;")/100</f>
        <v/>
      </c>
      <c r="BU59" s="23">
        <f>$B$7+$B$9*(BT59-$B$7)+$C$18/100</f>
        <v/>
      </c>
      <c r="BV59" s="23">
        <f>$B$7+$B$9*(BT59-$B$7)+$C$19/100</f>
        <v/>
      </c>
      <c r="BW59" s="23">
        <f>$B$7+$B$9*(AVERAGE(INDEX(BT$51:BT$86,MAX(1,8)):INDEX(BT$51:BT$86,9))-$B$7)+$C$20/100</f>
        <v/>
      </c>
      <c r="BX59" s="23">
        <f>$B$7+$B$9*(AVERAGE(INDEX(BT$51:BT$86,MAX(1,7)):INDEX(BT$51:BT$86,9))-$B$7)+$C$21/100</f>
        <v/>
      </c>
      <c r="BY59" s="20">
        <f>BY58+BZ58</f>
        <v/>
      </c>
      <c r="BZ59" s="32">
        <f>BY59*(($B$18*BU59+$B$19*BV59+$B$20*BW59+$B$21*BX59)/$B$8)/100*$B59/360</f>
        <v/>
      </c>
      <c r="CA59" s="33">
        <f>IF($B$11="RCV",1,-1)*(($B$12/100)-(BT59/100+$B$13/10000))*$B59/360</f>
        <v/>
      </c>
    </row>
    <row r="60" outlineLevel="1">
      <c r="A60" s="15">
        <f>IF(9&lt;$B$6,EDATE($B$5,9),"")</f>
        <v/>
      </c>
      <c r="B60" s="24">
        <f>IF(A60="",0,EDATE(A60,1)-A60)</f>
        <v/>
      </c>
      <c r="C60" s="23">
        <f>SUM(D60:O60)</f>
        <v/>
      </c>
      <c r="D60" s="16">
        <f>IF($B60=0,0,IF(AND($B$26&gt;0,$D$26&gt;$A60),$B$26*$C$26/100/12,0))</f>
        <v/>
      </c>
      <c r="E60" s="16">
        <f>IF($B60=0,0,IF(AND($B$27&gt;0,$D$27&gt;$A60),$B$27*$C$27/100/12,0))</f>
        <v/>
      </c>
      <c r="F60" s="16">
        <f>IF($B60=0,0,IF(AND($B$28&gt;0,$D$28&gt;$A60),$B$28*$C$28/100/12,0))</f>
        <v/>
      </c>
      <c r="G60" s="16">
        <f>IF($B60=0,0,IF(AND($B$29&gt;0,$D$29&gt;$A60),$B$29*$C$29/100/12,0))</f>
        <v/>
      </c>
      <c r="H60" s="16">
        <f>IF($B60=0,0,IF(AND($B$30&gt;0,$D$30&gt;$A60),$B$30*$C$30/100/12,0))</f>
        <v/>
      </c>
      <c r="I60" s="16">
        <f>IF($B60=0,0,IF(AND($B$31&gt;0,$D$31&gt;$A60),$B$31*$C$31/100/12,0))</f>
        <v/>
      </c>
      <c r="J60" s="16">
        <f>IF($B60=0,0,IF(AND($B$32&gt;0,$D$32&gt;$A60),$B$32*$C$32/100/12,0))</f>
        <v/>
      </c>
      <c r="K60" s="16">
        <f>IF($B60=0,0,IF(AND($B$33&gt;0,$D$33&gt;$A60),$B$33*$C$33/100/12,0))</f>
        <v/>
      </c>
      <c r="L60" s="16">
        <f>IF($B60=0,0,IF(AND($B$34&gt;0,$D$34&gt;$A60),$B$34*$C$34/100/12,0))</f>
        <v/>
      </c>
      <c r="M60" s="16">
        <f>IF($B60=0,0,IF(AND($B$35&gt;0,$D$35&gt;$A60),$B$35*$C$35/100/12,0))</f>
        <v/>
      </c>
      <c r="N60" s="16">
        <f>IF($B60=0,0,IF(AND($B$36&gt;0,$D$36&gt;$A60),$B$36*$C$36/100/12,0))</f>
        <v/>
      </c>
      <c r="O60" s="16">
        <f>IF($B60=0,0,IF(AND($B$37&gt;0,$D$37&gt;$A60),$B$37*$C$37/100/12,0))</f>
        <v/>
      </c>
      <c r="P60" s="23">
        <f>$B$7+H$37*SUMIFS(H$6:H$35,$G$6:$G$35,"&lt;="&amp;IF($A60="",EDATE($B$5,9),$A60),$F$6:$F$35,"&lt;&gt;")/100</f>
        <v/>
      </c>
      <c r="Q60" s="23">
        <f>$B$7+$B$9*(P60-$B$7)+$C$18/100</f>
        <v/>
      </c>
      <c r="R60" s="23">
        <f>$B$7+$B$9*(P60-$B$7)+$C$19/100</f>
        <v/>
      </c>
      <c r="S60" s="23">
        <f>$B$7+$B$9*(AVERAGE(INDEX(P$51:P$86,MAX(1,9)):INDEX(P$51:P$86,10))-$B$7)+$C$20/100</f>
        <v/>
      </c>
      <c r="T60" s="23">
        <f>$B$7+$B$9*(AVERAGE(INDEX(P$51:P$86,MAX(1,8)):INDEX(P$51:P$86,10))-$B$7)+$C$21/100</f>
        <v/>
      </c>
      <c r="U60" s="20">
        <f>U59+V59</f>
        <v/>
      </c>
      <c r="V60" s="32">
        <f>U60*(($B$18*Q60+$B$19*R60+$B$20*S60+$B$21*T60)/$B$8)/100*$B60/360</f>
        <v/>
      </c>
      <c r="W60" s="33">
        <f>IF($B$11="RCV",1,-1)*(($B$12/100)-(P60/100+$B$13/10000))*$B60/360</f>
        <v/>
      </c>
      <c r="X60" s="23">
        <f>$B$7+I$37*SUMIFS(I$6:I$35,$G$6:$G$35,"&lt;="&amp;IF($A60="",EDATE($B$5,9),$A60),$F$6:$F$35,"&lt;&gt;")/100</f>
        <v/>
      </c>
      <c r="Y60" s="23">
        <f>$B$7+$B$9*(X60-$B$7)+$C$18/100</f>
        <v/>
      </c>
      <c r="Z60" s="23">
        <f>$B$7+$B$9*(X60-$B$7)+$C$19/100</f>
        <v/>
      </c>
      <c r="AA60" s="23">
        <f>$B$7+$B$9*(AVERAGE(INDEX(X$51:X$86,MAX(1,9)):INDEX(X$51:X$86,10))-$B$7)+$C$20/100</f>
        <v/>
      </c>
      <c r="AB60" s="23">
        <f>$B$7+$B$9*(AVERAGE(INDEX(X$51:X$86,MAX(1,8)):INDEX(X$51:X$86,10))-$B$7)+$C$21/100</f>
        <v/>
      </c>
      <c r="AC60" s="20">
        <f>AC59+AD59</f>
        <v/>
      </c>
      <c r="AD60" s="32">
        <f>AC60*(($B$18*Y60+$B$19*Z60+$B$20*AA60+$B$21*AB60)/$B$8)/100*$B60/360</f>
        <v/>
      </c>
      <c r="AE60" s="33">
        <f>IF($B$11="RCV",1,-1)*(($B$12/100)-(X60/100+$B$13/10000))*$B60/360</f>
        <v/>
      </c>
      <c r="AF60" s="23">
        <f>$B$7+J$37*SUMIFS(J$6:J$35,$G$6:$G$35,"&lt;="&amp;IF($A60="",EDATE($B$5,9),$A60),$F$6:$F$35,"&lt;&gt;")/100</f>
        <v/>
      </c>
      <c r="AG60" s="23">
        <f>$B$7+$B$9*(AF60-$B$7)+$C$18/100</f>
        <v/>
      </c>
      <c r="AH60" s="23">
        <f>$B$7+$B$9*(AF60-$B$7)+$C$19/100</f>
        <v/>
      </c>
      <c r="AI60" s="23">
        <f>$B$7+$B$9*(AVERAGE(INDEX(AF$51:AF$86,MAX(1,9)):INDEX(AF$51:AF$86,10))-$B$7)+$C$20/100</f>
        <v/>
      </c>
      <c r="AJ60" s="23">
        <f>$B$7+$B$9*(AVERAGE(INDEX(AF$51:AF$86,MAX(1,8)):INDEX(AF$51:AF$86,10))-$B$7)+$C$21/100</f>
        <v/>
      </c>
      <c r="AK60" s="20">
        <f>AK59+AL59</f>
        <v/>
      </c>
      <c r="AL60" s="32">
        <f>AK60*(($B$18*AG60+$B$19*AH60+$B$20*AI60+$B$21*AJ60)/$B$8)/100*$B60/360</f>
        <v/>
      </c>
      <c r="AM60" s="33">
        <f>IF($B$11="RCV",1,-1)*(($B$12/100)-(AF60/100+$B$13/10000))*$B60/360</f>
        <v/>
      </c>
      <c r="AN60" s="23">
        <f>$B$7+K$37*SUMIFS(K$6:K$35,$G$6:$G$35,"&lt;="&amp;IF($A60="",EDATE($B$5,9),$A60),$F$6:$F$35,"&lt;&gt;")/100</f>
        <v/>
      </c>
      <c r="AO60" s="23">
        <f>$B$7+$B$9*(AN60-$B$7)+$C$18/100</f>
        <v/>
      </c>
      <c r="AP60" s="23">
        <f>$B$7+$B$9*(AN60-$B$7)+$C$19/100</f>
        <v/>
      </c>
      <c r="AQ60" s="23">
        <f>$B$7+$B$9*(AVERAGE(INDEX(AN$51:AN$86,MAX(1,9)):INDEX(AN$51:AN$86,10))-$B$7)+$C$20/100</f>
        <v/>
      </c>
      <c r="AR60" s="23">
        <f>$B$7+$B$9*(AVERAGE(INDEX(AN$51:AN$86,MAX(1,8)):INDEX(AN$51:AN$86,10))-$B$7)+$C$21/100</f>
        <v/>
      </c>
      <c r="AS60" s="20">
        <f>AS59+AT59</f>
        <v/>
      </c>
      <c r="AT60" s="32">
        <f>AS60*(($B$18*AO60+$B$19*AP60+$B$20*AQ60+$B$21*AR60)/$B$8)/100*$B60/360</f>
        <v/>
      </c>
      <c r="AU60" s="33">
        <f>IF($B$11="RCV",1,-1)*(($B$12/100)-(AN60/100+$B$13/10000))*$B60/360</f>
        <v/>
      </c>
      <c r="AV60" s="23">
        <f>$B$7+L$37*SUMIFS(L$6:L$35,$G$6:$G$35,"&lt;="&amp;IF($A60="",EDATE($B$5,9),$A60),$F$6:$F$35,"&lt;&gt;")/100</f>
        <v/>
      </c>
      <c r="AW60" s="23">
        <f>$B$7+$B$9*(AV60-$B$7)+$C$18/100</f>
        <v/>
      </c>
      <c r="AX60" s="23">
        <f>$B$7+$B$9*(AV60-$B$7)+$C$19/100</f>
        <v/>
      </c>
      <c r="AY60" s="23">
        <f>$B$7+$B$9*(AVERAGE(INDEX(AV$51:AV$86,MAX(1,9)):INDEX(AV$51:AV$86,10))-$B$7)+$C$20/100</f>
        <v/>
      </c>
      <c r="AZ60" s="23">
        <f>$B$7+$B$9*(AVERAGE(INDEX(AV$51:AV$86,MAX(1,8)):INDEX(AV$51:AV$86,10))-$B$7)+$C$21/100</f>
        <v/>
      </c>
      <c r="BA60" s="20">
        <f>BA59+BB59</f>
        <v/>
      </c>
      <c r="BB60" s="32">
        <f>BA60*(($B$18*AW60+$B$19*AX60+$B$20*AY60+$B$21*AZ60)/$B$8)/100*$B60/360</f>
        <v/>
      </c>
      <c r="BC60" s="33">
        <f>IF($B$11="RCV",1,-1)*(($B$12/100)-(AV60/100+$B$13/10000))*$B60/360</f>
        <v/>
      </c>
      <c r="BD60" s="23">
        <f>$B$7+M$37*SUMIFS(M$6:M$35,$G$6:$G$35,"&lt;="&amp;IF($A60="",EDATE($B$5,9),$A60),$F$6:$F$35,"&lt;&gt;")/100</f>
        <v/>
      </c>
      <c r="BE60" s="23">
        <f>$B$7+$B$9*(BD60-$B$7)+$C$18/100</f>
        <v/>
      </c>
      <c r="BF60" s="23">
        <f>$B$7+$B$9*(BD60-$B$7)+$C$19/100</f>
        <v/>
      </c>
      <c r="BG60" s="23">
        <f>$B$7+$B$9*(AVERAGE(INDEX(BD$51:BD$86,MAX(1,9)):INDEX(BD$51:BD$86,10))-$B$7)+$C$20/100</f>
        <v/>
      </c>
      <c r="BH60" s="23">
        <f>$B$7+$B$9*(AVERAGE(INDEX(BD$51:BD$86,MAX(1,8)):INDEX(BD$51:BD$86,10))-$B$7)+$C$21/100</f>
        <v/>
      </c>
      <c r="BI60" s="20">
        <f>BI59+BJ59</f>
        <v/>
      </c>
      <c r="BJ60" s="32">
        <f>BI60*(($B$18*BE60+$B$19*BF60+$B$20*BG60+$B$21*BH60)/$B$8)/100*$B60/360</f>
        <v/>
      </c>
      <c r="BK60" s="33">
        <f>IF($B$11="RCV",1,-1)*(($B$12/100)-(BD60/100+$B$13/10000))*$B60/360</f>
        <v/>
      </c>
      <c r="BL60" s="23">
        <f>$B$7+N$37*SUMIFS(N$6:N$35,$G$6:$G$35,"&lt;="&amp;IF($A60="",EDATE($B$5,9),$A60),$F$6:$F$35,"&lt;&gt;")/100</f>
        <v/>
      </c>
      <c r="BM60" s="23">
        <f>$B$7+$B$9*(BL60-$B$7)+$C$18/100</f>
        <v/>
      </c>
      <c r="BN60" s="23">
        <f>$B$7+$B$9*(BL60-$B$7)+$C$19/100</f>
        <v/>
      </c>
      <c r="BO60" s="23">
        <f>$B$7+$B$9*(AVERAGE(INDEX(BL$51:BL$86,MAX(1,9)):INDEX(BL$51:BL$86,10))-$B$7)+$C$20/100</f>
        <v/>
      </c>
      <c r="BP60" s="23">
        <f>$B$7+$B$9*(AVERAGE(INDEX(BL$51:BL$86,MAX(1,8)):INDEX(BL$51:BL$86,10))-$B$7)+$C$21/100</f>
        <v/>
      </c>
      <c r="BQ60" s="20">
        <f>BQ59+BR59</f>
        <v/>
      </c>
      <c r="BR60" s="32">
        <f>BQ60*(($B$18*BM60+$B$19*BN60+$B$20*BO60+$B$21*BP60)/$B$8)/100*$B60/360</f>
        <v/>
      </c>
      <c r="BS60" s="33">
        <f>IF($B$11="RCV",1,-1)*(($B$12/100)-(BL60/100+$B$13/10000))*$B60/360</f>
        <v/>
      </c>
      <c r="BT60" s="23">
        <f>$B$7+O$37*SUMIFS(O$6:O$35,$G$6:$G$35,"&lt;="&amp;IF($A60="",EDATE($B$5,9),$A60),$F$6:$F$35,"&lt;&gt;")/100</f>
        <v/>
      </c>
      <c r="BU60" s="23">
        <f>$B$7+$B$9*(BT60-$B$7)+$C$18/100</f>
        <v/>
      </c>
      <c r="BV60" s="23">
        <f>$B$7+$B$9*(BT60-$B$7)+$C$19/100</f>
        <v/>
      </c>
      <c r="BW60" s="23">
        <f>$B$7+$B$9*(AVERAGE(INDEX(BT$51:BT$86,MAX(1,9)):INDEX(BT$51:BT$86,10))-$B$7)+$C$20/100</f>
        <v/>
      </c>
      <c r="BX60" s="23">
        <f>$B$7+$B$9*(AVERAGE(INDEX(BT$51:BT$86,MAX(1,8)):INDEX(BT$51:BT$86,10))-$B$7)+$C$21/100</f>
        <v/>
      </c>
      <c r="BY60" s="20">
        <f>BY59+BZ59</f>
        <v/>
      </c>
      <c r="BZ60" s="32">
        <f>BY60*(($B$18*BU60+$B$19*BV60+$B$20*BW60+$B$21*BX60)/$B$8)/100*$B60/360</f>
        <v/>
      </c>
      <c r="CA60" s="33">
        <f>IF($B$11="RCV",1,-1)*(($B$12/100)-(BT60/100+$B$13/10000))*$B60/360</f>
        <v/>
      </c>
    </row>
    <row r="61" outlineLevel="1">
      <c r="A61" s="15">
        <f>IF(10&lt;$B$6,EDATE($B$5,10),"")</f>
        <v/>
      </c>
      <c r="B61" s="24">
        <f>IF(A61="",0,EDATE(A61,1)-A61)</f>
        <v/>
      </c>
      <c r="C61" s="23">
        <f>SUM(D61:O61)</f>
        <v/>
      </c>
      <c r="D61" s="16">
        <f>IF($B61=0,0,IF(AND($B$26&gt;0,$D$26&gt;$A61),$B$26*$C$26/100/12,0))</f>
        <v/>
      </c>
      <c r="E61" s="16">
        <f>IF($B61=0,0,IF(AND($B$27&gt;0,$D$27&gt;$A61),$B$27*$C$27/100/12,0))</f>
        <v/>
      </c>
      <c r="F61" s="16">
        <f>IF($B61=0,0,IF(AND($B$28&gt;0,$D$28&gt;$A61),$B$28*$C$28/100/12,0))</f>
        <v/>
      </c>
      <c r="G61" s="16">
        <f>IF($B61=0,0,IF(AND($B$29&gt;0,$D$29&gt;$A61),$B$29*$C$29/100/12,0))</f>
        <v/>
      </c>
      <c r="H61" s="16">
        <f>IF($B61=0,0,IF(AND($B$30&gt;0,$D$30&gt;$A61),$B$30*$C$30/100/12,0))</f>
        <v/>
      </c>
      <c r="I61" s="16">
        <f>IF($B61=0,0,IF(AND($B$31&gt;0,$D$31&gt;$A61),$B$31*$C$31/100/12,0))</f>
        <v/>
      </c>
      <c r="J61" s="16">
        <f>IF($B61=0,0,IF(AND($B$32&gt;0,$D$32&gt;$A61),$B$32*$C$32/100/12,0))</f>
        <v/>
      </c>
      <c r="K61" s="16">
        <f>IF($B61=0,0,IF(AND($B$33&gt;0,$D$33&gt;$A61),$B$33*$C$33/100/12,0))</f>
        <v/>
      </c>
      <c r="L61" s="16">
        <f>IF($B61=0,0,IF(AND($B$34&gt;0,$D$34&gt;$A61),$B$34*$C$34/100/12,0))</f>
        <v/>
      </c>
      <c r="M61" s="16">
        <f>IF($B61=0,0,IF(AND($B$35&gt;0,$D$35&gt;$A61),$B$35*$C$35/100/12,0))</f>
        <v/>
      </c>
      <c r="N61" s="16">
        <f>IF($B61=0,0,IF(AND($B$36&gt;0,$D$36&gt;$A61),$B$36*$C$36/100/12,0))</f>
        <v/>
      </c>
      <c r="O61" s="16">
        <f>IF($B61=0,0,IF(AND($B$37&gt;0,$D$37&gt;$A61),$B$37*$C$37/100/12,0))</f>
        <v/>
      </c>
      <c r="P61" s="23">
        <f>$B$7+H$37*SUMIFS(H$6:H$35,$G$6:$G$35,"&lt;="&amp;IF($A61="",EDATE($B$5,10),$A61),$F$6:$F$35,"&lt;&gt;")/100</f>
        <v/>
      </c>
      <c r="Q61" s="23">
        <f>$B$7+$B$9*(P61-$B$7)+$C$18/100</f>
        <v/>
      </c>
      <c r="R61" s="23">
        <f>$B$7+$B$9*(P61-$B$7)+$C$19/100</f>
        <v/>
      </c>
      <c r="S61" s="23">
        <f>$B$7+$B$9*(AVERAGE(INDEX(P$51:P$86,MAX(1,10)):INDEX(P$51:P$86,11))-$B$7)+$C$20/100</f>
        <v/>
      </c>
      <c r="T61" s="23">
        <f>$B$7+$B$9*(AVERAGE(INDEX(P$51:P$86,MAX(1,9)):INDEX(P$51:P$86,11))-$B$7)+$C$21/100</f>
        <v/>
      </c>
      <c r="U61" s="20">
        <f>U60+V60</f>
        <v/>
      </c>
      <c r="V61" s="32">
        <f>U61*(($B$18*Q61+$B$19*R61+$B$20*S61+$B$21*T61)/$B$8)/100*$B61/360</f>
        <v/>
      </c>
      <c r="W61" s="33">
        <f>IF($B$11="RCV",1,-1)*(($B$12/100)-(P61/100+$B$13/10000))*$B61/360</f>
        <v/>
      </c>
      <c r="X61" s="23">
        <f>$B$7+I$37*SUMIFS(I$6:I$35,$G$6:$G$35,"&lt;="&amp;IF($A61="",EDATE($B$5,10),$A61),$F$6:$F$35,"&lt;&gt;")/100</f>
        <v/>
      </c>
      <c r="Y61" s="23">
        <f>$B$7+$B$9*(X61-$B$7)+$C$18/100</f>
        <v/>
      </c>
      <c r="Z61" s="23">
        <f>$B$7+$B$9*(X61-$B$7)+$C$19/100</f>
        <v/>
      </c>
      <c r="AA61" s="23">
        <f>$B$7+$B$9*(AVERAGE(INDEX(X$51:X$86,MAX(1,10)):INDEX(X$51:X$86,11))-$B$7)+$C$20/100</f>
        <v/>
      </c>
      <c r="AB61" s="23">
        <f>$B$7+$B$9*(AVERAGE(INDEX(X$51:X$86,MAX(1,9)):INDEX(X$51:X$86,11))-$B$7)+$C$21/100</f>
        <v/>
      </c>
      <c r="AC61" s="20">
        <f>AC60+AD60</f>
        <v/>
      </c>
      <c r="AD61" s="32">
        <f>AC61*(($B$18*Y61+$B$19*Z61+$B$20*AA61+$B$21*AB61)/$B$8)/100*$B61/360</f>
        <v/>
      </c>
      <c r="AE61" s="33">
        <f>IF($B$11="RCV",1,-1)*(($B$12/100)-(X61/100+$B$13/10000))*$B61/360</f>
        <v/>
      </c>
      <c r="AF61" s="23">
        <f>$B$7+J$37*SUMIFS(J$6:J$35,$G$6:$G$35,"&lt;="&amp;IF($A61="",EDATE($B$5,10),$A61),$F$6:$F$35,"&lt;&gt;")/100</f>
        <v/>
      </c>
      <c r="AG61" s="23">
        <f>$B$7+$B$9*(AF61-$B$7)+$C$18/100</f>
        <v/>
      </c>
      <c r="AH61" s="23">
        <f>$B$7+$B$9*(AF61-$B$7)+$C$19/100</f>
        <v/>
      </c>
      <c r="AI61" s="23">
        <f>$B$7+$B$9*(AVERAGE(INDEX(AF$51:AF$86,MAX(1,10)):INDEX(AF$51:AF$86,11))-$B$7)+$C$20/100</f>
        <v/>
      </c>
      <c r="AJ61" s="23">
        <f>$B$7+$B$9*(AVERAGE(INDEX(AF$51:AF$86,MAX(1,9)):INDEX(AF$51:AF$86,11))-$B$7)+$C$21/100</f>
        <v/>
      </c>
      <c r="AK61" s="20">
        <f>AK60+AL60</f>
        <v/>
      </c>
      <c r="AL61" s="32">
        <f>AK61*(($B$18*AG61+$B$19*AH61+$B$20*AI61+$B$21*AJ61)/$B$8)/100*$B61/360</f>
        <v/>
      </c>
      <c r="AM61" s="33">
        <f>IF($B$11="RCV",1,-1)*(($B$12/100)-(AF61/100+$B$13/10000))*$B61/360</f>
        <v/>
      </c>
      <c r="AN61" s="23">
        <f>$B$7+K$37*SUMIFS(K$6:K$35,$G$6:$G$35,"&lt;="&amp;IF($A61="",EDATE($B$5,10),$A61),$F$6:$F$35,"&lt;&gt;")/100</f>
        <v/>
      </c>
      <c r="AO61" s="23">
        <f>$B$7+$B$9*(AN61-$B$7)+$C$18/100</f>
        <v/>
      </c>
      <c r="AP61" s="23">
        <f>$B$7+$B$9*(AN61-$B$7)+$C$19/100</f>
        <v/>
      </c>
      <c r="AQ61" s="23">
        <f>$B$7+$B$9*(AVERAGE(INDEX(AN$51:AN$86,MAX(1,10)):INDEX(AN$51:AN$86,11))-$B$7)+$C$20/100</f>
        <v/>
      </c>
      <c r="AR61" s="23">
        <f>$B$7+$B$9*(AVERAGE(INDEX(AN$51:AN$86,MAX(1,9)):INDEX(AN$51:AN$86,11))-$B$7)+$C$21/100</f>
        <v/>
      </c>
      <c r="AS61" s="20">
        <f>AS60+AT60</f>
        <v/>
      </c>
      <c r="AT61" s="32">
        <f>AS61*(($B$18*AO61+$B$19*AP61+$B$20*AQ61+$B$21*AR61)/$B$8)/100*$B61/360</f>
        <v/>
      </c>
      <c r="AU61" s="33">
        <f>IF($B$11="RCV",1,-1)*(($B$12/100)-(AN61/100+$B$13/10000))*$B61/360</f>
        <v/>
      </c>
      <c r="AV61" s="23">
        <f>$B$7+L$37*SUMIFS(L$6:L$35,$G$6:$G$35,"&lt;="&amp;IF($A61="",EDATE($B$5,10),$A61),$F$6:$F$35,"&lt;&gt;")/100</f>
        <v/>
      </c>
      <c r="AW61" s="23">
        <f>$B$7+$B$9*(AV61-$B$7)+$C$18/100</f>
        <v/>
      </c>
      <c r="AX61" s="23">
        <f>$B$7+$B$9*(AV61-$B$7)+$C$19/100</f>
        <v/>
      </c>
      <c r="AY61" s="23">
        <f>$B$7+$B$9*(AVERAGE(INDEX(AV$51:AV$86,MAX(1,10)):INDEX(AV$51:AV$86,11))-$B$7)+$C$20/100</f>
        <v/>
      </c>
      <c r="AZ61" s="23">
        <f>$B$7+$B$9*(AVERAGE(INDEX(AV$51:AV$86,MAX(1,9)):INDEX(AV$51:AV$86,11))-$B$7)+$C$21/100</f>
        <v/>
      </c>
      <c r="BA61" s="20">
        <f>BA60+BB60</f>
        <v/>
      </c>
      <c r="BB61" s="32">
        <f>BA61*(($B$18*AW61+$B$19*AX61+$B$20*AY61+$B$21*AZ61)/$B$8)/100*$B61/360</f>
        <v/>
      </c>
      <c r="BC61" s="33">
        <f>IF($B$11="RCV",1,-1)*(($B$12/100)-(AV61/100+$B$13/10000))*$B61/360</f>
        <v/>
      </c>
      <c r="BD61" s="23">
        <f>$B$7+M$37*SUMIFS(M$6:M$35,$G$6:$G$35,"&lt;="&amp;IF($A61="",EDATE($B$5,10),$A61),$F$6:$F$35,"&lt;&gt;")/100</f>
        <v/>
      </c>
      <c r="BE61" s="23">
        <f>$B$7+$B$9*(BD61-$B$7)+$C$18/100</f>
        <v/>
      </c>
      <c r="BF61" s="23">
        <f>$B$7+$B$9*(BD61-$B$7)+$C$19/100</f>
        <v/>
      </c>
      <c r="BG61" s="23">
        <f>$B$7+$B$9*(AVERAGE(INDEX(BD$51:BD$86,MAX(1,10)):INDEX(BD$51:BD$86,11))-$B$7)+$C$20/100</f>
        <v/>
      </c>
      <c r="BH61" s="23">
        <f>$B$7+$B$9*(AVERAGE(INDEX(BD$51:BD$86,MAX(1,9)):INDEX(BD$51:BD$86,11))-$B$7)+$C$21/100</f>
        <v/>
      </c>
      <c r="BI61" s="20">
        <f>BI60+BJ60</f>
        <v/>
      </c>
      <c r="BJ61" s="32">
        <f>BI61*(($B$18*BE61+$B$19*BF61+$B$20*BG61+$B$21*BH61)/$B$8)/100*$B61/360</f>
        <v/>
      </c>
      <c r="BK61" s="33">
        <f>IF($B$11="RCV",1,-1)*(($B$12/100)-(BD61/100+$B$13/10000))*$B61/360</f>
        <v/>
      </c>
      <c r="BL61" s="23">
        <f>$B$7+N$37*SUMIFS(N$6:N$35,$G$6:$G$35,"&lt;="&amp;IF($A61="",EDATE($B$5,10),$A61),$F$6:$F$35,"&lt;&gt;")/100</f>
        <v/>
      </c>
      <c r="BM61" s="23">
        <f>$B$7+$B$9*(BL61-$B$7)+$C$18/100</f>
        <v/>
      </c>
      <c r="BN61" s="23">
        <f>$B$7+$B$9*(BL61-$B$7)+$C$19/100</f>
        <v/>
      </c>
      <c r="BO61" s="23">
        <f>$B$7+$B$9*(AVERAGE(INDEX(BL$51:BL$86,MAX(1,10)):INDEX(BL$51:BL$86,11))-$B$7)+$C$20/100</f>
        <v/>
      </c>
      <c r="BP61" s="23">
        <f>$B$7+$B$9*(AVERAGE(INDEX(BL$51:BL$86,MAX(1,9)):INDEX(BL$51:BL$86,11))-$B$7)+$C$21/100</f>
        <v/>
      </c>
      <c r="BQ61" s="20">
        <f>BQ60+BR60</f>
        <v/>
      </c>
      <c r="BR61" s="32">
        <f>BQ61*(($B$18*BM61+$B$19*BN61+$B$20*BO61+$B$21*BP61)/$B$8)/100*$B61/360</f>
        <v/>
      </c>
      <c r="BS61" s="33">
        <f>IF($B$11="RCV",1,-1)*(($B$12/100)-(BL61/100+$B$13/10000))*$B61/360</f>
        <v/>
      </c>
      <c r="BT61" s="23">
        <f>$B$7+O$37*SUMIFS(O$6:O$35,$G$6:$G$35,"&lt;="&amp;IF($A61="",EDATE($B$5,10),$A61),$F$6:$F$35,"&lt;&gt;")/100</f>
        <v/>
      </c>
      <c r="BU61" s="23">
        <f>$B$7+$B$9*(BT61-$B$7)+$C$18/100</f>
        <v/>
      </c>
      <c r="BV61" s="23">
        <f>$B$7+$B$9*(BT61-$B$7)+$C$19/100</f>
        <v/>
      </c>
      <c r="BW61" s="23">
        <f>$B$7+$B$9*(AVERAGE(INDEX(BT$51:BT$86,MAX(1,10)):INDEX(BT$51:BT$86,11))-$B$7)+$C$20/100</f>
        <v/>
      </c>
      <c r="BX61" s="23">
        <f>$B$7+$B$9*(AVERAGE(INDEX(BT$51:BT$86,MAX(1,9)):INDEX(BT$51:BT$86,11))-$B$7)+$C$21/100</f>
        <v/>
      </c>
      <c r="BY61" s="20">
        <f>BY60+BZ60</f>
        <v/>
      </c>
      <c r="BZ61" s="32">
        <f>BY61*(($B$18*BU61+$B$19*BV61+$B$20*BW61+$B$21*BX61)/$B$8)/100*$B61/360</f>
        <v/>
      </c>
      <c r="CA61" s="33">
        <f>IF($B$11="RCV",1,-1)*(($B$12/100)-(BT61/100+$B$13/10000))*$B61/360</f>
        <v/>
      </c>
    </row>
    <row r="62" outlineLevel="1">
      <c r="A62" s="15">
        <f>IF(11&lt;$B$6,EDATE($B$5,11),"")</f>
        <v/>
      </c>
      <c r="B62" s="24">
        <f>IF(A62="",0,EDATE(A62,1)-A62)</f>
        <v/>
      </c>
      <c r="C62" s="23">
        <f>SUM(D62:O62)</f>
        <v/>
      </c>
      <c r="D62" s="16">
        <f>IF($B62=0,0,IF(AND($B$26&gt;0,$D$26&gt;$A62),$B$26*$C$26/100/12,0))</f>
        <v/>
      </c>
      <c r="E62" s="16">
        <f>IF($B62=0,0,IF(AND($B$27&gt;0,$D$27&gt;$A62),$B$27*$C$27/100/12,0))</f>
        <v/>
      </c>
      <c r="F62" s="16">
        <f>IF($B62=0,0,IF(AND($B$28&gt;0,$D$28&gt;$A62),$B$28*$C$28/100/12,0))</f>
        <v/>
      </c>
      <c r="G62" s="16">
        <f>IF($B62=0,0,IF(AND($B$29&gt;0,$D$29&gt;$A62),$B$29*$C$29/100/12,0))</f>
        <v/>
      </c>
      <c r="H62" s="16">
        <f>IF($B62=0,0,IF(AND($B$30&gt;0,$D$30&gt;$A62),$B$30*$C$30/100/12,0))</f>
        <v/>
      </c>
      <c r="I62" s="16">
        <f>IF($B62=0,0,IF(AND($B$31&gt;0,$D$31&gt;$A62),$B$31*$C$31/100/12,0))</f>
        <v/>
      </c>
      <c r="J62" s="16">
        <f>IF($B62=0,0,IF(AND($B$32&gt;0,$D$32&gt;$A62),$B$32*$C$32/100/12,0))</f>
        <v/>
      </c>
      <c r="K62" s="16">
        <f>IF($B62=0,0,IF(AND($B$33&gt;0,$D$33&gt;$A62),$B$33*$C$33/100/12,0))</f>
        <v/>
      </c>
      <c r="L62" s="16">
        <f>IF($B62=0,0,IF(AND($B$34&gt;0,$D$34&gt;$A62),$B$34*$C$34/100/12,0))</f>
        <v/>
      </c>
      <c r="M62" s="16">
        <f>IF($B62=0,0,IF(AND($B$35&gt;0,$D$35&gt;$A62),$B$35*$C$35/100/12,0))</f>
        <v/>
      </c>
      <c r="N62" s="16">
        <f>IF($B62=0,0,IF(AND($B$36&gt;0,$D$36&gt;$A62),$B$36*$C$36/100/12,0))</f>
        <v/>
      </c>
      <c r="O62" s="16">
        <f>IF($B62=0,0,IF(AND($B$37&gt;0,$D$37&gt;$A62),$B$37*$C$37/100/12,0))</f>
        <v/>
      </c>
      <c r="P62" s="23">
        <f>$B$7+H$37*SUMIFS(H$6:H$35,$G$6:$G$35,"&lt;="&amp;IF($A62="",EDATE($B$5,11),$A62),$F$6:$F$35,"&lt;&gt;")/100</f>
        <v/>
      </c>
      <c r="Q62" s="23">
        <f>$B$7+$B$9*(P62-$B$7)+$C$18/100</f>
        <v/>
      </c>
      <c r="R62" s="23">
        <f>$B$7+$B$9*(P62-$B$7)+$C$19/100</f>
        <v/>
      </c>
      <c r="S62" s="23">
        <f>$B$7+$B$9*(AVERAGE(INDEX(P$51:P$86,MAX(1,11)):INDEX(P$51:P$86,12))-$B$7)+$C$20/100</f>
        <v/>
      </c>
      <c r="T62" s="23">
        <f>$B$7+$B$9*(AVERAGE(INDEX(P$51:P$86,MAX(1,10)):INDEX(P$51:P$86,12))-$B$7)+$C$21/100</f>
        <v/>
      </c>
      <c r="U62" s="20">
        <f>U61+V61</f>
        <v/>
      </c>
      <c r="V62" s="32">
        <f>U62*(($B$18*Q62+$B$19*R62+$B$20*S62+$B$21*T62)/$B$8)/100*$B62/360</f>
        <v/>
      </c>
      <c r="W62" s="33">
        <f>IF($B$11="RCV",1,-1)*(($B$12/100)-(P62/100+$B$13/10000))*$B62/360</f>
        <v/>
      </c>
      <c r="X62" s="23">
        <f>$B$7+I$37*SUMIFS(I$6:I$35,$G$6:$G$35,"&lt;="&amp;IF($A62="",EDATE($B$5,11),$A62),$F$6:$F$35,"&lt;&gt;")/100</f>
        <v/>
      </c>
      <c r="Y62" s="23">
        <f>$B$7+$B$9*(X62-$B$7)+$C$18/100</f>
        <v/>
      </c>
      <c r="Z62" s="23">
        <f>$B$7+$B$9*(X62-$B$7)+$C$19/100</f>
        <v/>
      </c>
      <c r="AA62" s="23">
        <f>$B$7+$B$9*(AVERAGE(INDEX(X$51:X$86,MAX(1,11)):INDEX(X$51:X$86,12))-$B$7)+$C$20/100</f>
        <v/>
      </c>
      <c r="AB62" s="23">
        <f>$B$7+$B$9*(AVERAGE(INDEX(X$51:X$86,MAX(1,10)):INDEX(X$51:X$86,12))-$B$7)+$C$21/100</f>
        <v/>
      </c>
      <c r="AC62" s="20">
        <f>AC61+AD61</f>
        <v/>
      </c>
      <c r="AD62" s="32">
        <f>AC62*(($B$18*Y62+$B$19*Z62+$B$20*AA62+$B$21*AB62)/$B$8)/100*$B62/360</f>
        <v/>
      </c>
      <c r="AE62" s="33">
        <f>IF($B$11="RCV",1,-1)*(($B$12/100)-(X62/100+$B$13/10000))*$B62/360</f>
        <v/>
      </c>
      <c r="AF62" s="23">
        <f>$B$7+J$37*SUMIFS(J$6:J$35,$G$6:$G$35,"&lt;="&amp;IF($A62="",EDATE($B$5,11),$A62),$F$6:$F$35,"&lt;&gt;")/100</f>
        <v/>
      </c>
      <c r="AG62" s="23">
        <f>$B$7+$B$9*(AF62-$B$7)+$C$18/100</f>
        <v/>
      </c>
      <c r="AH62" s="23">
        <f>$B$7+$B$9*(AF62-$B$7)+$C$19/100</f>
        <v/>
      </c>
      <c r="AI62" s="23">
        <f>$B$7+$B$9*(AVERAGE(INDEX(AF$51:AF$86,MAX(1,11)):INDEX(AF$51:AF$86,12))-$B$7)+$C$20/100</f>
        <v/>
      </c>
      <c r="AJ62" s="23">
        <f>$B$7+$B$9*(AVERAGE(INDEX(AF$51:AF$86,MAX(1,10)):INDEX(AF$51:AF$86,12))-$B$7)+$C$21/100</f>
        <v/>
      </c>
      <c r="AK62" s="20">
        <f>AK61+AL61</f>
        <v/>
      </c>
      <c r="AL62" s="32">
        <f>AK62*(($B$18*AG62+$B$19*AH62+$B$20*AI62+$B$21*AJ62)/$B$8)/100*$B62/360</f>
        <v/>
      </c>
      <c r="AM62" s="33">
        <f>IF($B$11="RCV",1,-1)*(($B$12/100)-(AF62/100+$B$13/10000))*$B62/360</f>
        <v/>
      </c>
      <c r="AN62" s="23">
        <f>$B$7+K$37*SUMIFS(K$6:K$35,$G$6:$G$35,"&lt;="&amp;IF($A62="",EDATE($B$5,11),$A62),$F$6:$F$35,"&lt;&gt;")/100</f>
        <v/>
      </c>
      <c r="AO62" s="23">
        <f>$B$7+$B$9*(AN62-$B$7)+$C$18/100</f>
        <v/>
      </c>
      <c r="AP62" s="23">
        <f>$B$7+$B$9*(AN62-$B$7)+$C$19/100</f>
        <v/>
      </c>
      <c r="AQ62" s="23">
        <f>$B$7+$B$9*(AVERAGE(INDEX(AN$51:AN$86,MAX(1,11)):INDEX(AN$51:AN$86,12))-$B$7)+$C$20/100</f>
        <v/>
      </c>
      <c r="AR62" s="23">
        <f>$B$7+$B$9*(AVERAGE(INDEX(AN$51:AN$86,MAX(1,10)):INDEX(AN$51:AN$86,12))-$B$7)+$C$21/100</f>
        <v/>
      </c>
      <c r="AS62" s="20">
        <f>AS61+AT61</f>
        <v/>
      </c>
      <c r="AT62" s="32">
        <f>AS62*(($B$18*AO62+$B$19*AP62+$B$20*AQ62+$B$21*AR62)/$B$8)/100*$B62/360</f>
        <v/>
      </c>
      <c r="AU62" s="33">
        <f>IF($B$11="RCV",1,-1)*(($B$12/100)-(AN62/100+$B$13/10000))*$B62/360</f>
        <v/>
      </c>
      <c r="AV62" s="23">
        <f>$B$7+L$37*SUMIFS(L$6:L$35,$G$6:$G$35,"&lt;="&amp;IF($A62="",EDATE($B$5,11),$A62),$F$6:$F$35,"&lt;&gt;")/100</f>
        <v/>
      </c>
      <c r="AW62" s="23">
        <f>$B$7+$B$9*(AV62-$B$7)+$C$18/100</f>
        <v/>
      </c>
      <c r="AX62" s="23">
        <f>$B$7+$B$9*(AV62-$B$7)+$C$19/100</f>
        <v/>
      </c>
      <c r="AY62" s="23">
        <f>$B$7+$B$9*(AVERAGE(INDEX(AV$51:AV$86,MAX(1,11)):INDEX(AV$51:AV$86,12))-$B$7)+$C$20/100</f>
        <v/>
      </c>
      <c r="AZ62" s="23">
        <f>$B$7+$B$9*(AVERAGE(INDEX(AV$51:AV$86,MAX(1,10)):INDEX(AV$51:AV$86,12))-$B$7)+$C$21/100</f>
        <v/>
      </c>
      <c r="BA62" s="20">
        <f>BA61+BB61</f>
        <v/>
      </c>
      <c r="BB62" s="32">
        <f>BA62*(($B$18*AW62+$B$19*AX62+$B$20*AY62+$B$21*AZ62)/$B$8)/100*$B62/360</f>
        <v/>
      </c>
      <c r="BC62" s="33">
        <f>IF($B$11="RCV",1,-1)*(($B$12/100)-(AV62/100+$B$13/10000))*$B62/360</f>
        <v/>
      </c>
      <c r="BD62" s="23">
        <f>$B$7+M$37*SUMIFS(M$6:M$35,$G$6:$G$35,"&lt;="&amp;IF($A62="",EDATE($B$5,11),$A62),$F$6:$F$35,"&lt;&gt;")/100</f>
        <v/>
      </c>
      <c r="BE62" s="23">
        <f>$B$7+$B$9*(BD62-$B$7)+$C$18/100</f>
        <v/>
      </c>
      <c r="BF62" s="23">
        <f>$B$7+$B$9*(BD62-$B$7)+$C$19/100</f>
        <v/>
      </c>
      <c r="BG62" s="23">
        <f>$B$7+$B$9*(AVERAGE(INDEX(BD$51:BD$86,MAX(1,11)):INDEX(BD$51:BD$86,12))-$B$7)+$C$20/100</f>
        <v/>
      </c>
      <c r="BH62" s="23">
        <f>$B$7+$B$9*(AVERAGE(INDEX(BD$51:BD$86,MAX(1,10)):INDEX(BD$51:BD$86,12))-$B$7)+$C$21/100</f>
        <v/>
      </c>
      <c r="BI62" s="20">
        <f>BI61+BJ61</f>
        <v/>
      </c>
      <c r="BJ62" s="32">
        <f>BI62*(($B$18*BE62+$B$19*BF62+$B$20*BG62+$B$21*BH62)/$B$8)/100*$B62/360</f>
        <v/>
      </c>
      <c r="BK62" s="33">
        <f>IF($B$11="RCV",1,-1)*(($B$12/100)-(BD62/100+$B$13/10000))*$B62/360</f>
        <v/>
      </c>
      <c r="BL62" s="23">
        <f>$B$7+N$37*SUMIFS(N$6:N$35,$G$6:$G$35,"&lt;="&amp;IF($A62="",EDATE($B$5,11),$A62),$F$6:$F$35,"&lt;&gt;")/100</f>
        <v/>
      </c>
      <c r="BM62" s="23">
        <f>$B$7+$B$9*(BL62-$B$7)+$C$18/100</f>
        <v/>
      </c>
      <c r="BN62" s="23">
        <f>$B$7+$B$9*(BL62-$B$7)+$C$19/100</f>
        <v/>
      </c>
      <c r="BO62" s="23">
        <f>$B$7+$B$9*(AVERAGE(INDEX(BL$51:BL$86,MAX(1,11)):INDEX(BL$51:BL$86,12))-$B$7)+$C$20/100</f>
        <v/>
      </c>
      <c r="BP62" s="23">
        <f>$B$7+$B$9*(AVERAGE(INDEX(BL$51:BL$86,MAX(1,10)):INDEX(BL$51:BL$86,12))-$B$7)+$C$21/100</f>
        <v/>
      </c>
      <c r="BQ62" s="20">
        <f>BQ61+BR61</f>
        <v/>
      </c>
      <c r="BR62" s="32">
        <f>BQ62*(($B$18*BM62+$B$19*BN62+$B$20*BO62+$B$21*BP62)/$B$8)/100*$B62/360</f>
        <v/>
      </c>
      <c r="BS62" s="33">
        <f>IF($B$11="RCV",1,-1)*(($B$12/100)-(BL62/100+$B$13/10000))*$B62/360</f>
        <v/>
      </c>
      <c r="BT62" s="23">
        <f>$B$7+O$37*SUMIFS(O$6:O$35,$G$6:$G$35,"&lt;="&amp;IF($A62="",EDATE($B$5,11),$A62),$F$6:$F$35,"&lt;&gt;")/100</f>
        <v/>
      </c>
      <c r="BU62" s="23">
        <f>$B$7+$B$9*(BT62-$B$7)+$C$18/100</f>
        <v/>
      </c>
      <c r="BV62" s="23">
        <f>$B$7+$B$9*(BT62-$B$7)+$C$19/100</f>
        <v/>
      </c>
      <c r="BW62" s="23">
        <f>$B$7+$B$9*(AVERAGE(INDEX(BT$51:BT$86,MAX(1,11)):INDEX(BT$51:BT$86,12))-$B$7)+$C$20/100</f>
        <v/>
      </c>
      <c r="BX62" s="23">
        <f>$B$7+$B$9*(AVERAGE(INDEX(BT$51:BT$86,MAX(1,10)):INDEX(BT$51:BT$86,12))-$B$7)+$C$21/100</f>
        <v/>
      </c>
      <c r="BY62" s="20">
        <f>BY61+BZ61</f>
        <v/>
      </c>
      <c r="BZ62" s="32">
        <f>BY62*(($B$18*BU62+$B$19*BV62+$B$20*BW62+$B$21*BX62)/$B$8)/100*$B62/360</f>
        <v/>
      </c>
      <c r="CA62" s="33">
        <f>IF($B$11="RCV",1,-1)*(($B$12/100)-(BT62/100+$B$13/10000))*$B62/360</f>
        <v/>
      </c>
    </row>
    <row r="63" outlineLevel="1">
      <c r="A63" s="15">
        <f>IF(12&lt;$B$6,EDATE($B$5,12),"")</f>
        <v/>
      </c>
      <c r="B63" s="24">
        <f>IF(A63="",0,EDATE(A63,1)-A63)</f>
        <v/>
      </c>
      <c r="C63" s="23">
        <f>SUM(D63:O63)</f>
        <v/>
      </c>
      <c r="D63" s="16">
        <f>IF($B63=0,0,IF(AND($B$26&gt;0,$D$26&gt;$A63),$B$26*$C$26/100/12,0))</f>
        <v/>
      </c>
      <c r="E63" s="16">
        <f>IF($B63=0,0,IF(AND($B$27&gt;0,$D$27&gt;$A63),$B$27*$C$27/100/12,0))</f>
        <v/>
      </c>
      <c r="F63" s="16">
        <f>IF($B63=0,0,IF(AND($B$28&gt;0,$D$28&gt;$A63),$B$28*$C$28/100/12,0))</f>
        <v/>
      </c>
      <c r="G63" s="16">
        <f>IF($B63=0,0,IF(AND($B$29&gt;0,$D$29&gt;$A63),$B$29*$C$29/100/12,0))</f>
        <v/>
      </c>
      <c r="H63" s="16">
        <f>IF($B63=0,0,IF(AND($B$30&gt;0,$D$30&gt;$A63),$B$30*$C$30/100/12,0))</f>
        <v/>
      </c>
      <c r="I63" s="16">
        <f>IF($B63=0,0,IF(AND($B$31&gt;0,$D$31&gt;$A63),$B$31*$C$31/100/12,0))</f>
        <v/>
      </c>
      <c r="J63" s="16">
        <f>IF($B63=0,0,IF(AND($B$32&gt;0,$D$32&gt;$A63),$B$32*$C$32/100/12,0))</f>
        <v/>
      </c>
      <c r="K63" s="16">
        <f>IF($B63=0,0,IF(AND($B$33&gt;0,$D$33&gt;$A63),$B$33*$C$33/100/12,0))</f>
        <v/>
      </c>
      <c r="L63" s="16">
        <f>IF($B63=0,0,IF(AND($B$34&gt;0,$D$34&gt;$A63),$B$34*$C$34/100/12,0))</f>
        <v/>
      </c>
      <c r="M63" s="16">
        <f>IF($B63=0,0,IF(AND($B$35&gt;0,$D$35&gt;$A63),$B$35*$C$35/100/12,0))</f>
        <v/>
      </c>
      <c r="N63" s="16">
        <f>IF($B63=0,0,IF(AND($B$36&gt;0,$D$36&gt;$A63),$B$36*$C$36/100/12,0))</f>
        <v/>
      </c>
      <c r="O63" s="16">
        <f>IF($B63=0,0,IF(AND($B$37&gt;0,$D$37&gt;$A63),$B$37*$C$37/100/12,0))</f>
        <v/>
      </c>
      <c r="P63" s="23">
        <f>$B$7+H$37*SUMIFS(H$6:H$35,$G$6:$G$35,"&lt;="&amp;IF($A63="",EDATE($B$5,12),$A63),$F$6:$F$35,"&lt;&gt;")/100</f>
        <v/>
      </c>
      <c r="Q63" s="23">
        <f>$B$7+$B$9*(P63-$B$7)+$C$18/100</f>
        <v/>
      </c>
      <c r="R63" s="23">
        <f>$B$7+$B$9*(P63-$B$7)+$C$19/100</f>
        <v/>
      </c>
      <c r="S63" s="23">
        <f>$B$7+$B$9*(AVERAGE(INDEX(P$51:P$86,MAX(1,12)):INDEX(P$51:P$86,13))-$B$7)+$C$20/100</f>
        <v/>
      </c>
      <c r="T63" s="23">
        <f>$B$7+$B$9*(AVERAGE(INDEX(P$51:P$86,MAX(1,11)):INDEX(P$51:P$86,13))-$B$7)+$C$21/100</f>
        <v/>
      </c>
      <c r="U63" s="20">
        <f>U62+V62</f>
        <v/>
      </c>
      <c r="V63" s="32">
        <f>U63*(($B$18*Q63+$B$19*R63+$B$20*S63+$B$21*T63)/$B$8)/100*$B63/360</f>
        <v/>
      </c>
      <c r="W63" s="33">
        <f>IF($B$11="RCV",1,-1)*(($B$12/100)-(P63/100+$B$13/10000))*$B63/360</f>
        <v/>
      </c>
      <c r="X63" s="23">
        <f>$B$7+I$37*SUMIFS(I$6:I$35,$G$6:$G$35,"&lt;="&amp;IF($A63="",EDATE($B$5,12),$A63),$F$6:$F$35,"&lt;&gt;")/100</f>
        <v/>
      </c>
      <c r="Y63" s="23">
        <f>$B$7+$B$9*(X63-$B$7)+$C$18/100</f>
        <v/>
      </c>
      <c r="Z63" s="23">
        <f>$B$7+$B$9*(X63-$B$7)+$C$19/100</f>
        <v/>
      </c>
      <c r="AA63" s="23">
        <f>$B$7+$B$9*(AVERAGE(INDEX(X$51:X$86,MAX(1,12)):INDEX(X$51:X$86,13))-$B$7)+$C$20/100</f>
        <v/>
      </c>
      <c r="AB63" s="23">
        <f>$B$7+$B$9*(AVERAGE(INDEX(X$51:X$86,MAX(1,11)):INDEX(X$51:X$86,13))-$B$7)+$C$21/100</f>
        <v/>
      </c>
      <c r="AC63" s="20">
        <f>AC62+AD62</f>
        <v/>
      </c>
      <c r="AD63" s="32">
        <f>AC63*(($B$18*Y63+$B$19*Z63+$B$20*AA63+$B$21*AB63)/$B$8)/100*$B63/360</f>
        <v/>
      </c>
      <c r="AE63" s="33">
        <f>IF($B$11="RCV",1,-1)*(($B$12/100)-(X63/100+$B$13/10000))*$B63/360</f>
        <v/>
      </c>
      <c r="AF63" s="23">
        <f>$B$7+J$37*SUMIFS(J$6:J$35,$G$6:$G$35,"&lt;="&amp;IF($A63="",EDATE($B$5,12),$A63),$F$6:$F$35,"&lt;&gt;")/100</f>
        <v/>
      </c>
      <c r="AG63" s="23">
        <f>$B$7+$B$9*(AF63-$B$7)+$C$18/100</f>
        <v/>
      </c>
      <c r="AH63" s="23">
        <f>$B$7+$B$9*(AF63-$B$7)+$C$19/100</f>
        <v/>
      </c>
      <c r="AI63" s="23">
        <f>$B$7+$B$9*(AVERAGE(INDEX(AF$51:AF$86,MAX(1,12)):INDEX(AF$51:AF$86,13))-$B$7)+$C$20/100</f>
        <v/>
      </c>
      <c r="AJ63" s="23">
        <f>$B$7+$B$9*(AVERAGE(INDEX(AF$51:AF$86,MAX(1,11)):INDEX(AF$51:AF$86,13))-$B$7)+$C$21/100</f>
        <v/>
      </c>
      <c r="AK63" s="20">
        <f>AK62+AL62</f>
        <v/>
      </c>
      <c r="AL63" s="32">
        <f>AK63*(($B$18*AG63+$B$19*AH63+$B$20*AI63+$B$21*AJ63)/$B$8)/100*$B63/360</f>
        <v/>
      </c>
      <c r="AM63" s="33">
        <f>IF($B$11="RCV",1,-1)*(($B$12/100)-(AF63/100+$B$13/10000))*$B63/360</f>
        <v/>
      </c>
      <c r="AN63" s="23">
        <f>$B$7+K$37*SUMIFS(K$6:K$35,$G$6:$G$35,"&lt;="&amp;IF($A63="",EDATE($B$5,12),$A63),$F$6:$F$35,"&lt;&gt;")/100</f>
        <v/>
      </c>
      <c r="AO63" s="23">
        <f>$B$7+$B$9*(AN63-$B$7)+$C$18/100</f>
        <v/>
      </c>
      <c r="AP63" s="23">
        <f>$B$7+$B$9*(AN63-$B$7)+$C$19/100</f>
        <v/>
      </c>
      <c r="AQ63" s="23">
        <f>$B$7+$B$9*(AVERAGE(INDEX(AN$51:AN$86,MAX(1,12)):INDEX(AN$51:AN$86,13))-$B$7)+$C$20/100</f>
        <v/>
      </c>
      <c r="AR63" s="23">
        <f>$B$7+$B$9*(AVERAGE(INDEX(AN$51:AN$86,MAX(1,11)):INDEX(AN$51:AN$86,13))-$B$7)+$C$21/100</f>
        <v/>
      </c>
      <c r="AS63" s="20">
        <f>AS62+AT62</f>
        <v/>
      </c>
      <c r="AT63" s="32">
        <f>AS63*(($B$18*AO63+$B$19*AP63+$B$20*AQ63+$B$21*AR63)/$B$8)/100*$B63/360</f>
        <v/>
      </c>
      <c r="AU63" s="33">
        <f>IF($B$11="RCV",1,-1)*(($B$12/100)-(AN63/100+$B$13/10000))*$B63/360</f>
        <v/>
      </c>
      <c r="AV63" s="23">
        <f>$B$7+L$37*SUMIFS(L$6:L$35,$G$6:$G$35,"&lt;="&amp;IF($A63="",EDATE($B$5,12),$A63),$F$6:$F$35,"&lt;&gt;")/100</f>
        <v/>
      </c>
      <c r="AW63" s="23">
        <f>$B$7+$B$9*(AV63-$B$7)+$C$18/100</f>
        <v/>
      </c>
      <c r="AX63" s="23">
        <f>$B$7+$B$9*(AV63-$B$7)+$C$19/100</f>
        <v/>
      </c>
      <c r="AY63" s="23">
        <f>$B$7+$B$9*(AVERAGE(INDEX(AV$51:AV$86,MAX(1,12)):INDEX(AV$51:AV$86,13))-$B$7)+$C$20/100</f>
        <v/>
      </c>
      <c r="AZ63" s="23">
        <f>$B$7+$B$9*(AVERAGE(INDEX(AV$51:AV$86,MAX(1,11)):INDEX(AV$51:AV$86,13))-$B$7)+$C$21/100</f>
        <v/>
      </c>
      <c r="BA63" s="20">
        <f>BA62+BB62</f>
        <v/>
      </c>
      <c r="BB63" s="32">
        <f>BA63*(($B$18*AW63+$B$19*AX63+$B$20*AY63+$B$21*AZ63)/$B$8)/100*$B63/360</f>
        <v/>
      </c>
      <c r="BC63" s="33">
        <f>IF($B$11="RCV",1,-1)*(($B$12/100)-(AV63/100+$B$13/10000))*$B63/360</f>
        <v/>
      </c>
      <c r="BD63" s="23">
        <f>$B$7+M$37*SUMIFS(M$6:M$35,$G$6:$G$35,"&lt;="&amp;IF($A63="",EDATE($B$5,12),$A63),$F$6:$F$35,"&lt;&gt;")/100</f>
        <v/>
      </c>
      <c r="BE63" s="23">
        <f>$B$7+$B$9*(BD63-$B$7)+$C$18/100</f>
        <v/>
      </c>
      <c r="BF63" s="23">
        <f>$B$7+$B$9*(BD63-$B$7)+$C$19/100</f>
        <v/>
      </c>
      <c r="BG63" s="23">
        <f>$B$7+$B$9*(AVERAGE(INDEX(BD$51:BD$86,MAX(1,12)):INDEX(BD$51:BD$86,13))-$B$7)+$C$20/100</f>
        <v/>
      </c>
      <c r="BH63" s="23">
        <f>$B$7+$B$9*(AVERAGE(INDEX(BD$51:BD$86,MAX(1,11)):INDEX(BD$51:BD$86,13))-$B$7)+$C$21/100</f>
        <v/>
      </c>
      <c r="BI63" s="20">
        <f>BI62+BJ62</f>
        <v/>
      </c>
      <c r="BJ63" s="32">
        <f>BI63*(($B$18*BE63+$B$19*BF63+$B$20*BG63+$B$21*BH63)/$B$8)/100*$B63/360</f>
        <v/>
      </c>
      <c r="BK63" s="33">
        <f>IF($B$11="RCV",1,-1)*(($B$12/100)-(BD63/100+$B$13/10000))*$B63/360</f>
        <v/>
      </c>
      <c r="BL63" s="23">
        <f>$B$7+N$37*SUMIFS(N$6:N$35,$G$6:$G$35,"&lt;="&amp;IF($A63="",EDATE($B$5,12),$A63),$F$6:$F$35,"&lt;&gt;")/100</f>
        <v/>
      </c>
      <c r="BM63" s="23">
        <f>$B$7+$B$9*(BL63-$B$7)+$C$18/100</f>
        <v/>
      </c>
      <c r="BN63" s="23">
        <f>$B$7+$B$9*(BL63-$B$7)+$C$19/100</f>
        <v/>
      </c>
      <c r="BO63" s="23">
        <f>$B$7+$B$9*(AVERAGE(INDEX(BL$51:BL$86,MAX(1,12)):INDEX(BL$51:BL$86,13))-$B$7)+$C$20/100</f>
        <v/>
      </c>
      <c r="BP63" s="23">
        <f>$B$7+$B$9*(AVERAGE(INDEX(BL$51:BL$86,MAX(1,11)):INDEX(BL$51:BL$86,13))-$B$7)+$C$21/100</f>
        <v/>
      </c>
      <c r="BQ63" s="20">
        <f>BQ62+BR62</f>
        <v/>
      </c>
      <c r="BR63" s="32">
        <f>BQ63*(($B$18*BM63+$B$19*BN63+$B$20*BO63+$B$21*BP63)/$B$8)/100*$B63/360</f>
        <v/>
      </c>
      <c r="BS63" s="33">
        <f>IF($B$11="RCV",1,-1)*(($B$12/100)-(BL63/100+$B$13/10000))*$B63/360</f>
        <v/>
      </c>
      <c r="BT63" s="23">
        <f>$B$7+O$37*SUMIFS(O$6:O$35,$G$6:$G$35,"&lt;="&amp;IF($A63="",EDATE($B$5,12),$A63),$F$6:$F$35,"&lt;&gt;")/100</f>
        <v/>
      </c>
      <c r="BU63" s="23">
        <f>$B$7+$B$9*(BT63-$B$7)+$C$18/100</f>
        <v/>
      </c>
      <c r="BV63" s="23">
        <f>$B$7+$B$9*(BT63-$B$7)+$C$19/100</f>
        <v/>
      </c>
      <c r="BW63" s="23">
        <f>$B$7+$B$9*(AVERAGE(INDEX(BT$51:BT$86,MAX(1,12)):INDEX(BT$51:BT$86,13))-$B$7)+$C$20/100</f>
        <v/>
      </c>
      <c r="BX63" s="23">
        <f>$B$7+$B$9*(AVERAGE(INDEX(BT$51:BT$86,MAX(1,11)):INDEX(BT$51:BT$86,13))-$B$7)+$C$21/100</f>
        <v/>
      </c>
      <c r="BY63" s="20">
        <f>BY62+BZ62</f>
        <v/>
      </c>
      <c r="BZ63" s="32">
        <f>BY63*(($B$18*BU63+$B$19*BV63+$B$20*BW63+$B$21*BX63)/$B$8)/100*$B63/360</f>
        <v/>
      </c>
      <c r="CA63" s="33">
        <f>IF($B$11="RCV",1,-1)*(($B$12/100)-(BT63/100+$B$13/10000))*$B63/360</f>
        <v/>
      </c>
    </row>
    <row r="64" outlineLevel="1">
      <c r="A64" s="15">
        <f>IF(13&lt;$B$6,EDATE($B$5,13),"")</f>
        <v/>
      </c>
      <c r="B64" s="24">
        <f>IF(A64="",0,EDATE(A64,1)-A64)</f>
        <v/>
      </c>
      <c r="C64" s="23">
        <f>SUM(D64:O64)</f>
        <v/>
      </c>
      <c r="D64" s="16">
        <f>IF($B64=0,0,IF(AND($B$26&gt;0,$D$26&gt;$A64),$B$26*$C$26/100/12,0))</f>
        <v/>
      </c>
      <c r="E64" s="16">
        <f>IF($B64=0,0,IF(AND($B$27&gt;0,$D$27&gt;$A64),$B$27*$C$27/100/12,0))</f>
        <v/>
      </c>
      <c r="F64" s="16">
        <f>IF($B64=0,0,IF(AND($B$28&gt;0,$D$28&gt;$A64),$B$28*$C$28/100/12,0))</f>
        <v/>
      </c>
      <c r="G64" s="16">
        <f>IF($B64=0,0,IF(AND($B$29&gt;0,$D$29&gt;$A64),$B$29*$C$29/100/12,0))</f>
        <v/>
      </c>
      <c r="H64" s="16">
        <f>IF($B64=0,0,IF(AND($B$30&gt;0,$D$30&gt;$A64),$B$30*$C$30/100/12,0))</f>
        <v/>
      </c>
      <c r="I64" s="16">
        <f>IF($B64=0,0,IF(AND($B$31&gt;0,$D$31&gt;$A64),$B$31*$C$31/100/12,0))</f>
        <v/>
      </c>
      <c r="J64" s="16">
        <f>IF($B64=0,0,IF(AND($B$32&gt;0,$D$32&gt;$A64),$B$32*$C$32/100/12,0))</f>
        <v/>
      </c>
      <c r="K64" s="16">
        <f>IF($B64=0,0,IF(AND($B$33&gt;0,$D$33&gt;$A64),$B$33*$C$33/100/12,0))</f>
        <v/>
      </c>
      <c r="L64" s="16">
        <f>IF($B64=0,0,IF(AND($B$34&gt;0,$D$34&gt;$A64),$B$34*$C$34/100/12,0))</f>
        <v/>
      </c>
      <c r="M64" s="16">
        <f>IF($B64=0,0,IF(AND($B$35&gt;0,$D$35&gt;$A64),$B$35*$C$35/100/12,0))</f>
        <v/>
      </c>
      <c r="N64" s="16">
        <f>IF($B64=0,0,IF(AND($B$36&gt;0,$D$36&gt;$A64),$B$36*$C$36/100/12,0))</f>
        <v/>
      </c>
      <c r="O64" s="16">
        <f>IF($B64=0,0,IF(AND($B$37&gt;0,$D$37&gt;$A64),$B$37*$C$37/100/12,0))</f>
        <v/>
      </c>
      <c r="P64" s="23">
        <f>$B$7+H$37*SUMIFS(H$6:H$35,$G$6:$G$35,"&lt;="&amp;IF($A64="",EDATE($B$5,13),$A64),$F$6:$F$35,"&lt;&gt;")/100</f>
        <v/>
      </c>
      <c r="Q64" s="23">
        <f>$B$7+$B$9*(P64-$B$7)+$C$18/100</f>
        <v/>
      </c>
      <c r="R64" s="23">
        <f>$B$7+$B$9*(P64-$B$7)+$C$19/100</f>
        <v/>
      </c>
      <c r="S64" s="23">
        <f>$B$7+$B$9*(AVERAGE(INDEX(P$51:P$86,MAX(1,13)):INDEX(P$51:P$86,14))-$B$7)+$C$20/100</f>
        <v/>
      </c>
      <c r="T64" s="23">
        <f>$B$7+$B$9*(AVERAGE(INDEX(P$51:P$86,MAX(1,12)):INDEX(P$51:P$86,14))-$B$7)+$C$21/100</f>
        <v/>
      </c>
      <c r="U64" s="20">
        <f>U63+V63</f>
        <v/>
      </c>
      <c r="V64" s="32">
        <f>U64*(($B$18*Q64+$B$19*R64+$B$20*S64+$B$21*T64)/$B$8)/100*$B64/360</f>
        <v/>
      </c>
      <c r="W64" s="33">
        <f>IF($B$11="RCV",1,-1)*(($B$12/100)-(P64/100+$B$13/10000))*$B64/360</f>
        <v/>
      </c>
      <c r="X64" s="23">
        <f>$B$7+I$37*SUMIFS(I$6:I$35,$G$6:$G$35,"&lt;="&amp;IF($A64="",EDATE($B$5,13),$A64),$F$6:$F$35,"&lt;&gt;")/100</f>
        <v/>
      </c>
      <c r="Y64" s="23">
        <f>$B$7+$B$9*(X64-$B$7)+$C$18/100</f>
        <v/>
      </c>
      <c r="Z64" s="23">
        <f>$B$7+$B$9*(X64-$B$7)+$C$19/100</f>
        <v/>
      </c>
      <c r="AA64" s="23">
        <f>$B$7+$B$9*(AVERAGE(INDEX(X$51:X$86,MAX(1,13)):INDEX(X$51:X$86,14))-$B$7)+$C$20/100</f>
        <v/>
      </c>
      <c r="AB64" s="23">
        <f>$B$7+$B$9*(AVERAGE(INDEX(X$51:X$86,MAX(1,12)):INDEX(X$51:X$86,14))-$B$7)+$C$21/100</f>
        <v/>
      </c>
      <c r="AC64" s="20">
        <f>AC63+AD63</f>
        <v/>
      </c>
      <c r="AD64" s="32">
        <f>AC64*(($B$18*Y64+$B$19*Z64+$B$20*AA64+$B$21*AB64)/$B$8)/100*$B64/360</f>
        <v/>
      </c>
      <c r="AE64" s="33">
        <f>IF($B$11="RCV",1,-1)*(($B$12/100)-(X64/100+$B$13/10000))*$B64/360</f>
        <v/>
      </c>
      <c r="AF64" s="23">
        <f>$B$7+J$37*SUMIFS(J$6:J$35,$G$6:$G$35,"&lt;="&amp;IF($A64="",EDATE($B$5,13),$A64),$F$6:$F$35,"&lt;&gt;")/100</f>
        <v/>
      </c>
      <c r="AG64" s="23">
        <f>$B$7+$B$9*(AF64-$B$7)+$C$18/100</f>
        <v/>
      </c>
      <c r="AH64" s="23">
        <f>$B$7+$B$9*(AF64-$B$7)+$C$19/100</f>
        <v/>
      </c>
      <c r="AI64" s="23">
        <f>$B$7+$B$9*(AVERAGE(INDEX(AF$51:AF$86,MAX(1,13)):INDEX(AF$51:AF$86,14))-$B$7)+$C$20/100</f>
        <v/>
      </c>
      <c r="AJ64" s="23">
        <f>$B$7+$B$9*(AVERAGE(INDEX(AF$51:AF$86,MAX(1,12)):INDEX(AF$51:AF$86,14))-$B$7)+$C$21/100</f>
        <v/>
      </c>
      <c r="AK64" s="20">
        <f>AK63+AL63</f>
        <v/>
      </c>
      <c r="AL64" s="32">
        <f>AK64*(($B$18*AG64+$B$19*AH64+$B$20*AI64+$B$21*AJ64)/$B$8)/100*$B64/360</f>
        <v/>
      </c>
      <c r="AM64" s="33">
        <f>IF($B$11="RCV",1,-1)*(($B$12/100)-(AF64/100+$B$13/10000))*$B64/360</f>
        <v/>
      </c>
      <c r="AN64" s="23">
        <f>$B$7+K$37*SUMIFS(K$6:K$35,$G$6:$G$35,"&lt;="&amp;IF($A64="",EDATE($B$5,13),$A64),$F$6:$F$35,"&lt;&gt;")/100</f>
        <v/>
      </c>
      <c r="AO64" s="23">
        <f>$B$7+$B$9*(AN64-$B$7)+$C$18/100</f>
        <v/>
      </c>
      <c r="AP64" s="23">
        <f>$B$7+$B$9*(AN64-$B$7)+$C$19/100</f>
        <v/>
      </c>
      <c r="AQ64" s="23">
        <f>$B$7+$B$9*(AVERAGE(INDEX(AN$51:AN$86,MAX(1,13)):INDEX(AN$51:AN$86,14))-$B$7)+$C$20/100</f>
        <v/>
      </c>
      <c r="AR64" s="23">
        <f>$B$7+$B$9*(AVERAGE(INDEX(AN$51:AN$86,MAX(1,12)):INDEX(AN$51:AN$86,14))-$B$7)+$C$21/100</f>
        <v/>
      </c>
      <c r="AS64" s="20">
        <f>AS63+AT63</f>
        <v/>
      </c>
      <c r="AT64" s="32">
        <f>AS64*(($B$18*AO64+$B$19*AP64+$B$20*AQ64+$B$21*AR64)/$B$8)/100*$B64/360</f>
        <v/>
      </c>
      <c r="AU64" s="33">
        <f>IF($B$11="RCV",1,-1)*(($B$12/100)-(AN64/100+$B$13/10000))*$B64/360</f>
        <v/>
      </c>
      <c r="AV64" s="23">
        <f>$B$7+L$37*SUMIFS(L$6:L$35,$G$6:$G$35,"&lt;="&amp;IF($A64="",EDATE($B$5,13),$A64),$F$6:$F$35,"&lt;&gt;")/100</f>
        <v/>
      </c>
      <c r="AW64" s="23">
        <f>$B$7+$B$9*(AV64-$B$7)+$C$18/100</f>
        <v/>
      </c>
      <c r="AX64" s="23">
        <f>$B$7+$B$9*(AV64-$B$7)+$C$19/100</f>
        <v/>
      </c>
      <c r="AY64" s="23">
        <f>$B$7+$B$9*(AVERAGE(INDEX(AV$51:AV$86,MAX(1,13)):INDEX(AV$51:AV$86,14))-$B$7)+$C$20/100</f>
        <v/>
      </c>
      <c r="AZ64" s="23">
        <f>$B$7+$B$9*(AVERAGE(INDEX(AV$51:AV$86,MAX(1,12)):INDEX(AV$51:AV$86,14))-$B$7)+$C$21/100</f>
        <v/>
      </c>
      <c r="BA64" s="20">
        <f>BA63+BB63</f>
        <v/>
      </c>
      <c r="BB64" s="32">
        <f>BA64*(($B$18*AW64+$B$19*AX64+$B$20*AY64+$B$21*AZ64)/$B$8)/100*$B64/360</f>
        <v/>
      </c>
      <c r="BC64" s="33">
        <f>IF($B$11="RCV",1,-1)*(($B$12/100)-(AV64/100+$B$13/10000))*$B64/360</f>
        <v/>
      </c>
      <c r="BD64" s="23">
        <f>$B$7+M$37*SUMIFS(M$6:M$35,$G$6:$G$35,"&lt;="&amp;IF($A64="",EDATE($B$5,13),$A64),$F$6:$F$35,"&lt;&gt;")/100</f>
        <v/>
      </c>
      <c r="BE64" s="23">
        <f>$B$7+$B$9*(BD64-$B$7)+$C$18/100</f>
        <v/>
      </c>
      <c r="BF64" s="23">
        <f>$B$7+$B$9*(BD64-$B$7)+$C$19/100</f>
        <v/>
      </c>
      <c r="BG64" s="23">
        <f>$B$7+$B$9*(AVERAGE(INDEX(BD$51:BD$86,MAX(1,13)):INDEX(BD$51:BD$86,14))-$B$7)+$C$20/100</f>
        <v/>
      </c>
      <c r="BH64" s="23">
        <f>$B$7+$B$9*(AVERAGE(INDEX(BD$51:BD$86,MAX(1,12)):INDEX(BD$51:BD$86,14))-$B$7)+$C$21/100</f>
        <v/>
      </c>
      <c r="BI64" s="20">
        <f>BI63+BJ63</f>
        <v/>
      </c>
      <c r="BJ64" s="32">
        <f>BI64*(($B$18*BE64+$B$19*BF64+$B$20*BG64+$B$21*BH64)/$B$8)/100*$B64/360</f>
        <v/>
      </c>
      <c r="BK64" s="33">
        <f>IF($B$11="RCV",1,-1)*(($B$12/100)-(BD64/100+$B$13/10000))*$B64/360</f>
        <v/>
      </c>
      <c r="BL64" s="23">
        <f>$B$7+N$37*SUMIFS(N$6:N$35,$G$6:$G$35,"&lt;="&amp;IF($A64="",EDATE($B$5,13),$A64),$F$6:$F$35,"&lt;&gt;")/100</f>
        <v/>
      </c>
      <c r="BM64" s="23">
        <f>$B$7+$B$9*(BL64-$B$7)+$C$18/100</f>
        <v/>
      </c>
      <c r="BN64" s="23">
        <f>$B$7+$B$9*(BL64-$B$7)+$C$19/100</f>
        <v/>
      </c>
      <c r="BO64" s="23">
        <f>$B$7+$B$9*(AVERAGE(INDEX(BL$51:BL$86,MAX(1,13)):INDEX(BL$51:BL$86,14))-$B$7)+$C$20/100</f>
        <v/>
      </c>
      <c r="BP64" s="23">
        <f>$B$7+$B$9*(AVERAGE(INDEX(BL$51:BL$86,MAX(1,12)):INDEX(BL$51:BL$86,14))-$B$7)+$C$21/100</f>
        <v/>
      </c>
      <c r="BQ64" s="20">
        <f>BQ63+BR63</f>
        <v/>
      </c>
      <c r="BR64" s="32">
        <f>BQ64*(($B$18*BM64+$B$19*BN64+$B$20*BO64+$B$21*BP64)/$B$8)/100*$B64/360</f>
        <v/>
      </c>
      <c r="BS64" s="33">
        <f>IF($B$11="RCV",1,-1)*(($B$12/100)-(BL64/100+$B$13/10000))*$B64/360</f>
        <v/>
      </c>
      <c r="BT64" s="23">
        <f>$B$7+O$37*SUMIFS(O$6:O$35,$G$6:$G$35,"&lt;="&amp;IF($A64="",EDATE($B$5,13),$A64),$F$6:$F$35,"&lt;&gt;")/100</f>
        <v/>
      </c>
      <c r="BU64" s="23">
        <f>$B$7+$B$9*(BT64-$B$7)+$C$18/100</f>
        <v/>
      </c>
      <c r="BV64" s="23">
        <f>$B$7+$B$9*(BT64-$B$7)+$C$19/100</f>
        <v/>
      </c>
      <c r="BW64" s="23">
        <f>$B$7+$B$9*(AVERAGE(INDEX(BT$51:BT$86,MAX(1,13)):INDEX(BT$51:BT$86,14))-$B$7)+$C$20/100</f>
        <v/>
      </c>
      <c r="BX64" s="23">
        <f>$B$7+$B$9*(AVERAGE(INDEX(BT$51:BT$86,MAX(1,12)):INDEX(BT$51:BT$86,14))-$B$7)+$C$21/100</f>
        <v/>
      </c>
      <c r="BY64" s="20">
        <f>BY63+BZ63</f>
        <v/>
      </c>
      <c r="BZ64" s="32">
        <f>BY64*(($B$18*BU64+$B$19*BV64+$B$20*BW64+$B$21*BX64)/$B$8)/100*$B64/360</f>
        <v/>
      </c>
      <c r="CA64" s="33">
        <f>IF($B$11="RCV",1,-1)*(($B$12/100)-(BT64/100+$B$13/10000))*$B64/360</f>
        <v/>
      </c>
    </row>
    <row r="65" outlineLevel="1">
      <c r="A65" s="15">
        <f>IF(14&lt;$B$6,EDATE($B$5,14),"")</f>
        <v/>
      </c>
      <c r="B65" s="24">
        <f>IF(A65="",0,EDATE(A65,1)-A65)</f>
        <v/>
      </c>
      <c r="C65" s="23">
        <f>SUM(D65:O65)</f>
        <v/>
      </c>
      <c r="D65" s="16">
        <f>IF($B65=0,0,IF(AND($B$26&gt;0,$D$26&gt;$A65),$B$26*$C$26/100/12,0))</f>
        <v/>
      </c>
      <c r="E65" s="16">
        <f>IF($B65=0,0,IF(AND($B$27&gt;0,$D$27&gt;$A65),$B$27*$C$27/100/12,0))</f>
        <v/>
      </c>
      <c r="F65" s="16">
        <f>IF($B65=0,0,IF(AND($B$28&gt;0,$D$28&gt;$A65),$B$28*$C$28/100/12,0))</f>
        <v/>
      </c>
      <c r="G65" s="16">
        <f>IF($B65=0,0,IF(AND($B$29&gt;0,$D$29&gt;$A65),$B$29*$C$29/100/12,0))</f>
        <v/>
      </c>
      <c r="H65" s="16">
        <f>IF($B65=0,0,IF(AND($B$30&gt;0,$D$30&gt;$A65),$B$30*$C$30/100/12,0))</f>
        <v/>
      </c>
      <c r="I65" s="16">
        <f>IF($B65=0,0,IF(AND($B$31&gt;0,$D$31&gt;$A65),$B$31*$C$31/100/12,0))</f>
        <v/>
      </c>
      <c r="J65" s="16">
        <f>IF($B65=0,0,IF(AND($B$32&gt;0,$D$32&gt;$A65),$B$32*$C$32/100/12,0))</f>
        <v/>
      </c>
      <c r="K65" s="16">
        <f>IF($B65=0,0,IF(AND($B$33&gt;0,$D$33&gt;$A65),$B$33*$C$33/100/12,0))</f>
        <v/>
      </c>
      <c r="L65" s="16">
        <f>IF($B65=0,0,IF(AND($B$34&gt;0,$D$34&gt;$A65),$B$34*$C$34/100/12,0))</f>
        <v/>
      </c>
      <c r="M65" s="16">
        <f>IF($B65=0,0,IF(AND($B$35&gt;0,$D$35&gt;$A65),$B$35*$C$35/100/12,0))</f>
        <v/>
      </c>
      <c r="N65" s="16">
        <f>IF($B65=0,0,IF(AND($B$36&gt;0,$D$36&gt;$A65),$B$36*$C$36/100/12,0))</f>
        <v/>
      </c>
      <c r="O65" s="16">
        <f>IF($B65=0,0,IF(AND($B$37&gt;0,$D$37&gt;$A65),$B$37*$C$37/100/12,0))</f>
        <v/>
      </c>
      <c r="P65" s="23">
        <f>$B$7+H$37*SUMIFS(H$6:H$35,$G$6:$G$35,"&lt;="&amp;IF($A65="",EDATE($B$5,14),$A65),$F$6:$F$35,"&lt;&gt;")/100</f>
        <v/>
      </c>
      <c r="Q65" s="23">
        <f>$B$7+$B$9*(P65-$B$7)+$C$18/100</f>
        <v/>
      </c>
      <c r="R65" s="23">
        <f>$B$7+$B$9*(P65-$B$7)+$C$19/100</f>
        <v/>
      </c>
      <c r="S65" s="23">
        <f>$B$7+$B$9*(AVERAGE(INDEX(P$51:P$86,MAX(1,14)):INDEX(P$51:P$86,15))-$B$7)+$C$20/100</f>
        <v/>
      </c>
      <c r="T65" s="23">
        <f>$B$7+$B$9*(AVERAGE(INDEX(P$51:P$86,MAX(1,13)):INDEX(P$51:P$86,15))-$B$7)+$C$21/100</f>
        <v/>
      </c>
      <c r="U65" s="20">
        <f>U64+V64</f>
        <v/>
      </c>
      <c r="V65" s="32">
        <f>U65*(($B$18*Q65+$B$19*R65+$B$20*S65+$B$21*T65)/$B$8)/100*$B65/360</f>
        <v/>
      </c>
      <c r="W65" s="33">
        <f>IF($B$11="RCV",1,-1)*(($B$12/100)-(P65/100+$B$13/10000))*$B65/360</f>
        <v/>
      </c>
      <c r="X65" s="23">
        <f>$B$7+I$37*SUMIFS(I$6:I$35,$G$6:$G$35,"&lt;="&amp;IF($A65="",EDATE($B$5,14),$A65),$F$6:$F$35,"&lt;&gt;")/100</f>
        <v/>
      </c>
      <c r="Y65" s="23">
        <f>$B$7+$B$9*(X65-$B$7)+$C$18/100</f>
        <v/>
      </c>
      <c r="Z65" s="23">
        <f>$B$7+$B$9*(X65-$B$7)+$C$19/100</f>
        <v/>
      </c>
      <c r="AA65" s="23">
        <f>$B$7+$B$9*(AVERAGE(INDEX(X$51:X$86,MAX(1,14)):INDEX(X$51:X$86,15))-$B$7)+$C$20/100</f>
        <v/>
      </c>
      <c r="AB65" s="23">
        <f>$B$7+$B$9*(AVERAGE(INDEX(X$51:X$86,MAX(1,13)):INDEX(X$51:X$86,15))-$B$7)+$C$21/100</f>
        <v/>
      </c>
      <c r="AC65" s="20">
        <f>AC64+AD64</f>
        <v/>
      </c>
      <c r="AD65" s="32">
        <f>AC65*(($B$18*Y65+$B$19*Z65+$B$20*AA65+$B$21*AB65)/$B$8)/100*$B65/360</f>
        <v/>
      </c>
      <c r="AE65" s="33">
        <f>IF($B$11="RCV",1,-1)*(($B$12/100)-(X65/100+$B$13/10000))*$B65/360</f>
        <v/>
      </c>
      <c r="AF65" s="23">
        <f>$B$7+J$37*SUMIFS(J$6:J$35,$G$6:$G$35,"&lt;="&amp;IF($A65="",EDATE($B$5,14),$A65),$F$6:$F$35,"&lt;&gt;")/100</f>
        <v/>
      </c>
      <c r="AG65" s="23">
        <f>$B$7+$B$9*(AF65-$B$7)+$C$18/100</f>
        <v/>
      </c>
      <c r="AH65" s="23">
        <f>$B$7+$B$9*(AF65-$B$7)+$C$19/100</f>
        <v/>
      </c>
      <c r="AI65" s="23">
        <f>$B$7+$B$9*(AVERAGE(INDEX(AF$51:AF$86,MAX(1,14)):INDEX(AF$51:AF$86,15))-$B$7)+$C$20/100</f>
        <v/>
      </c>
      <c r="AJ65" s="23">
        <f>$B$7+$B$9*(AVERAGE(INDEX(AF$51:AF$86,MAX(1,13)):INDEX(AF$51:AF$86,15))-$B$7)+$C$21/100</f>
        <v/>
      </c>
      <c r="AK65" s="20">
        <f>AK64+AL64</f>
        <v/>
      </c>
      <c r="AL65" s="32">
        <f>AK65*(($B$18*AG65+$B$19*AH65+$B$20*AI65+$B$21*AJ65)/$B$8)/100*$B65/360</f>
        <v/>
      </c>
      <c r="AM65" s="33">
        <f>IF($B$11="RCV",1,-1)*(($B$12/100)-(AF65/100+$B$13/10000))*$B65/360</f>
        <v/>
      </c>
      <c r="AN65" s="23">
        <f>$B$7+K$37*SUMIFS(K$6:K$35,$G$6:$G$35,"&lt;="&amp;IF($A65="",EDATE($B$5,14),$A65),$F$6:$F$35,"&lt;&gt;")/100</f>
        <v/>
      </c>
      <c r="AO65" s="23">
        <f>$B$7+$B$9*(AN65-$B$7)+$C$18/100</f>
        <v/>
      </c>
      <c r="AP65" s="23">
        <f>$B$7+$B$9*(AN65-$B$7)+$C$19/100</f>
        <v/>
      </c>
      <c r="AQ65" s="23">
        <f>$B$7+$B$9*(AVERAGE(INDEX(AN$51:AN$86,MAX(1,14)):INDEX(AN$51:AN$86,15))-$B$7)+$C$20/100</f>
        <v/>
      </c>
      <c r="AR65" s="23">
        <f>$B$7+$B$9*(AVERAGE(INDEX(AN$51:AN$86,MAX(1,13)):INDEX(AN$51:AN$86,15))-$B$7)+$C$21/100</f>
        <v/>
      </c>
      <c r="AS65" s="20">
        <f>AS64+AT64</f>
        <v/>
      </c>
      <c r="AT65" s="32">
        <f>AS65*(($B$18*AO65+$B$19*AP65+$B$20*AQ65+$B$21*AR65)/$B$8)/100*$B65/360</f>
        <v/>
      </c>
      <c r="AU65" s="33">
        <f>IF($B$11="RCV",1,-1)*(($B$12/100)-(AN65/100+$B$13/10000))*$B65/360</f>
        <v/>
      </c>
      <c r="AV65" s="23">
        <f>$B$7+L$37*SUMIFS(L$6:L$35,$G$6:$G$35,"&lt;="&amp;IF($A65="",EDATE($B$5,14),$A65),$F$6:$F$35,"&lt;&gt;")/100</f>
        <v/>
      </c>
      <c r="AW65" s="23">
        <f>$B$7+$B$9*(AV65-$B$7)+$C$18/100</f>
        <v/>
      </c>
      <c r="AX65" s="23">
        <f>$B$7+$B$9*(AV65-$B$7)+$C$19/100</f>
        <v/>
      </c>
      <c r="AY65" s="23">
        <f>$B$7+$B$9*(AVERAGE(INDEX(AV$51:AV$86,MAX(1,14)):INDEX(AV$51:AV$86,15))-$B$7)+$C$20/100</f>
        <v/>
      </c>
      <c r="AZ65" s="23">
        <f>$B$7+$B$9*(AVERAGE(INDEX(AV$51:AV$86,MAX(1,13)):INDEX(AV$51:AV$86,15))-$B$7)+$C$21/100</f>
        <v/>
      </c>
      <c r="BA65" s="20">
        <f>BA64+BB64</f>
        <v/>
      </c>
      <c r="BB65" s="32">
        <f>BA65*(($B$18*AW65+$B$19*AX65+$B$20*AY65+$B$21*AZ65)/$B$8)/100*$B65/360</f>
        <v/>
      </c>
      <c r="BC65" s="33">
        <f>IF($B$11="RCV",1,-1)*(($B$12/100)-(AV65/100+$B$13/10000))*$B65/360</f>
        <v/>
      </c>
      <c r="BD65" s="23">
        <f>$B$7+M$37*SUMIFS(M$6:M$35,$G$6:$G$35,"&lt;="&amp;IF($A65="",EDATE($B$5,14),$A65),$F$6:$F$35,"&lt;&gt;")/100</f>
        <v/>
      </c>
      <c r="BE65" s="23">
        <f>$B$7+$B$9*(BD65-$B$7)+$C$18/100</f>
        <v/>
      </c>
      <c r="BF65" s="23">
        <f>$B$7+$B$9*(BD65-$B$7)+$C$19/100</f>
        <v/>
      </c>
      <c r="BG65" s="23">
        <f>$B$7+$B$9*(AVERAGE(INDEX(BD$51:BD$86,MAX(1,14)):INDEX(BD$51:BD$86,15))-$B$7)+$C$20/100</f>
        <v/>
      </c>
      <c r="BH65" s="23">
        <f>$B$7+$B$9*(AVERAGE(INDEX(BD$51:BD$86,MAX(1,13)):INDEX(BD$51:BD$86,15))-$B$7)+$C$21/100</f>
        <v/>
      </c>
      <c r="BI65" s="20">
        <f>BI64+BJ64</f>
        <v/>
      </c>
      <c r="BJ65" s="32">
        <f>BI65*(($B$18*BE65+$B$19*BF65+$B$20*BG65+$B$21*BH65)/$B$8)/100*$B65/360</f>
        <v/>
      </c>
      <c r="BK65" s="33">
        <f>IF($B$11="RCV",1,-1)*(($B$12/100)-(BD65/100+$B$13/10000))*$B65/360</f>
        <v/>
      </c>
      <c r="BL65" s="23">
        <f>$B$7+N$37*SUMIFS(N$6:N$35,$G$6:$G$35,"&lt;="&amp;IF($A65="",EDATE($B$5,14),$A65),$F$6:$F$35,"&lt;&gt;")/100</f>
        <v/>
      </c>
      <c r="BM65" s="23">
        <f>$B$7+$B$9*(BL65-$B$7)+$C$18/100</f>
        <v/>
      </c>
      <c r="BN65" s="23">
        <f>$B$7+$B$9*(BL65-$B$7)+$C$19/100</f>
        <v/>
      </c>
      <c r="BO65" s="23">
        <f>$B$7+$B$9*(AVERAGE(INDEX(BL$51:BL$86,MAX(1,14)):INDEX(BL$51:BL$86,15))-$B$7)+$C$20/100</f>
        <v/>
      </c>
      <c r="BP65" s="23">
        <f>$B$7+$B$9*(AVERAGE(INDEX(BL$51:BL$86,MAX(1,13)):INDEX(BL$51:BL$86,15))-$B$7)+$C$21/100</f>
        <v/>
      </c>
      <c r="BQ65" s="20">
        <f>BQ64+BR64</f>
        <v/>
      </c>
      <c r="BR65" s="32">
        <f>BQ65*(($B$18*BM65+$B$19*BN65+$B$20*BO65+$B$21*BP65)/$B$8)/100*$B65/360</f>
        <v/>
      </c>
      <c r="BS65" s="33">
        <f>IF($B$11="RCV",1,-1)*(($B$12/100)-(BL65/100+$B$13/10000))*$B65/360</f>
        <v/>
      </c>
      <c r="BT65" s="23">
        <f>$B$7+O$37*SUMIFS(O$6:O$35,$G$6:$G$35,"&lt;="&amp;IF($A65="",EDATE($B$5,14),$A65),$F$6:$F$35,"&lt;&gt;")/100</f>
        <v/>
      </c>
      <c r="BU65" s="23">
        <f>$B$7+$B$9*(BT65-$B$7)+$C$18/100</f>
        <v/>
      </c>
      <c r="BV65" s="23">
        <f>$B$7+$B$9*(BT65-$B$7)+$C$19/100</f>
        <v/>
      </c>
      <c r="BW65" s="23">
        <f>$B$7+$B$9*(AVERAGE(INDEX(BT$51:BT$86,MAX(1,14)):INDEX(BT$51:BT$86,15))-$B$7)+$C$20/100</f>
        <v/>
      </c>
      <c r="BX65" s="23">
        <f>$B$7+$B$9*(AVERAGE(INDEX(BT$51:BT$86,MAX(1,13)):INDEX(BT$51:BT$86,15))-$B$7)+$C$21/100</f>
        <v/>
      </c>
      <c r="BY65" s="20">
        <f>BY64+BZ64</f>
        <v/>
      </c>
      <c r="BZ65" s="32">
        <f>BY65*(($B$18*BU65+$B$19*BV65+$B$20*BW65+$B$21*BX65)/$B$8)/100*$B65/360</f>
        <v/>
      </c>
      <c r="CA65" s="33">
        <f>IF($B$11="RCV",1,-1)*(($B$12/100)-(BT65/100+$B$13/10000))*$B65/360</f>
        <v/>
      </c>
    </row>
    <row r="66" outlineLevel="1">
      <c r="A66" s="15">
        <f>IF(15&lt;$B$6,EDATE($B$5,15),"")</f>
        <v/>
      </c>
      <c r="B66" s="24">
        <f>IF(A66="",0,EDATE(A66,1)-A66)</f>
        <v/>
      </c>
      <c r="C66" s="23">
        <f>SUM(D66:O66)</f>
        <v/>
      </c>
      <c r="D66" s="16">
        <f>IF($B66=0,0,IF(AND($B$26&gt;0,$D$26&gt;$A66),$B$26*$C$26/100/12,0))</f>
        <v/>
      </c>
      <c r="E66" s="16">
        <f>IF($B66=0,0,IF(AND($B$27&gt;0,$D$27&gt;$A66),$B$27*$C$27/100/12,0))</f>
        <v/>
      </c>
      <c r="F66" s="16">
        <f>IF($B66=0,0,IF(AND($B$28&gt;0,$D$28&gt;$A66),$B$28*$C$28/100/12,0))</f>
        <v/>
      </c>
      <c r="G66" s="16">
        <f>IF($B66=0,0,IF(AND($B$29&gt;0,$D$29&gt;$A66),$B$29*$C$29/100/12,0))</f>
        <v/>
      </c>
      <c r="H66" s="16">
        <f>IF($B66=0,0,IF(AND($B$30&gt;0,$D$30&gt;$A66),$B$30*$C$30/100/12,0))</f>
        <v/>
      </c>
      <c r="I66" s="16">
        <f>IF($B66=0,0,IF(AND($B$31&gt;0,$D$31&gt;$A66),$B$31*$C$31/100/12,0))</f>
        <v/>
      </c>
      <c r="J66" s="16">
        <f>IF($B66=0,0,IF(AND($B$32&gt;0,$D$32&gt;$A66),$B$32*$C$32/100/12,0))</f>
        <v/>
      </c>
      <c r="K66" s="16">
        <f>IF($B66=0,0,IF(AND($B$33&gt;0,$D$33&gt;$A66),$B$33*$C$33/100/12,0))</f>
        <v/>
      </c>
      <c r="L66" s="16">
        <f>IF($B66=0,0,IF(AND($B$34&gt;0,$D$34&gt;$A66),$B$34*$C$34/100/12,0))</f>
        <v/>
      </c>
      <c r="M66" s="16">
        <f>IF($B66=0,0,IF(AND($B$35&gt;0,$D$35&gt;$A66),$B$35*$C$35/100/12,0))</f>
        <v/>
      </c>
      <c r="N66" s="16">
        <f>IF($B66=0,0,IF(AND($B$36&gt;0,$D$36&gt;$A66),$B$36*$C$36/100/12,0))</f>
        <v/>
      </c>
      <c r="O66" s="16">
        <f>IF($B66=0,0,IF(AND($B$37&gt;0,$D$37&gt;$A66),$B$37*$C$37/100/12,0))</f>
        <v/>
      </c>
      <c r="P66" s="23">
        <f>$B$7+H$37*SUMIFS(H$6:H$35,$G$6:$G$35,"&lt;="&amp;IF($A66="",EDATE($B$5,15),$A66),$F$6:$F$35,"&lt;&gt;")/100</f>
        <v/>
      </c>
      <c r="Q66" s="23">
        <f>$B$7+$B$9*(P66-$B$7)+$C$18/100</f>
        <v/>
      </c>
      <c r="R66" s="23">
        <f>$B$7+$B$9*(P66-$B$7)+$C$19/100</f>
        <v/>
      </c>
      <c r="S66" s="23">
        <f>$B$7+$B$9*(AVERAGE(INDEX(P$51:P$86,MAX(1,15)):INDEX(P$51:P$86,16))-$B$7)+$C$20/100</f>
        <v/>
      </c>
      <c r="T66" s="23">
        <f>$B$7+$B$9*(AVERAGE(INDEX(P$51:P$86,MAX(1,14)):INDEX(P$51:P$86,16))-$B$7)+$C$21/100</f>
        <v/>
      </c>
      <c r="U66" s="20">
        <f>U65+V65</f>
        <v/>
      </c>
      <c r="V66" s="32">
        <f>U66*(($B$18*Q66+$B$19*R66+$B$20*S66+$B$21*T66)/$B$8)/100*$B66/360</f>
        <v/>
      </c>
      <c r="W66" s="33">
        <f>IF($B$11="RCV",1,-1)*(($B$12/100)-(P66/100+$B$13/10000))*$B66/360</f>
        <v/>
      </c>
      <c r="X66" s="23">
        <f>$B$7+I$37*SUMIFS(I$6:I$35,$G$6:$G$35,"&lt;="&amp;IF($A66="",EDATE($B$5,15),$A66),$F$6:$F$35,"&lt;&gt;")/100</f>
        <v/>
      </c>
      <c r="Y66" s="23">
        <f>$B$7+$B$9*(X66-$B$7)+$C$18/100</f>
        <v/>
      </c>
      <c r="Z66" s="23">
        <f>$B$7+$B$9*(X66-$B$7)+$C$19/100</f>
        <v/>
      </c>
      <c r="AA66" s="23">
        <f>$B$7+$B$9*(AVERAGE(INDEX(X$51:X$86,MAX(1,15)):INDEX(X$51:X$86,16))-$B$7)+$C$20/100</f>
        <v/>
      </c>
      <c r="AB66" s="23">
        <f>$B$7+$B$9*(AVERAGE(INDEX(X$51:X$86,MAX(1,14)):INDEX(X$51:X$86,16))-$B$7)+$C$21/100</f>
        <v/>
      </c>
      <c r="AC66" s="20">
        <f>AC65+AD65</f>
        <v/>
      </c>
      <c r="AD66" s="32">
        <f>AC66*(($B$18*Y66+$B$19*Z66+$B$20*AA66+$B$21*AB66)/$B$8)/100*$B66/360</f>
        <v/>
      </c>
      <c r="AE66" s="33">
        <f>IF($B$11="RCV",1,-1)*(($B$12/100)-(X66/100+$B$13/10000))*$B66/360</f>
        <v/>
      </c>
      <c r="AF66" s="23">
        <f>$B$7+J$37*SUMIFS(J$6:J$35,$G$6:$G$35,"&lt;="&amp;IF($A66="",EDATE($B$5,15),$A66),$F$6:$F$35,"&lt;&gt;")/100</f>
        <v/>
      </c>
      <c r="AG66" s="23">
        <f>$B$7+$B$9*(AF66-$B$7)+$C$18/100</f>
        <v/>
      </c>
      <c r="AH66" s="23">
        <f>$B$7+$B$9*(AF66-$B$7)+$C$19/100</f>
        <v/>
      </c>
      <c r="AI66" s="23">
        <f>$B$7+$B$9*(AVERAGE(INDEX(AF$51:AF$86,MAX(1,15)):INDEX(AF$51:AF$86,16))-$B$7)+$C$20/100</f>
        <v/>
      </c>
      <c r="AJ66" s="23">
        <f>$B$7+$B$9*(AVERAGE(INDEX(AF$51:AF$86,MAX(1,14)):INDEX(AF$51:AF$86,16))-$B$7)+$C$21/100</f>
        <v/>
      </c>
      <c r="AK66" s="20">
        <f>AK65+AL65</f>
        <v/>
      </c>
      <c r="AL66" s="32">
        <f>AK66*(($B$18*AG66+$B$19*AH66+$B$20*AI66+$B$21*AJ66)/$B$8)/100*$B66/360</f>
        <v/>
      </c>
      <c r="AM66" s="33">
        <f>IF($B$11="RCV",1,-1)*(($B$12/100)-(AF66/100+$B$13/10000))*$B66/360</f>
        <v/>
      </c>
      <c r="AN66" s="23">
        <f>$B$7+K$37*SUMIFS(K$6:K$35,$G$6:$G$35,"&lt;="&amp;IF($A66="",EDATE($B$5,15),$A66),$F$6:$F$35,"&lt;&gt;")/100</f>
        <v/>
      </c>
      <c r="AO66" s="23">
        <f>$B$7+$B$9*(AN66-$B$7)+$C$18/100</f>
        <v/>
      </c>
      <c r="AP66" s="23">
        <f>$B$7+$B$9*(AN66-$B$7)+$C$19/100</f>
        <v/>
      </c>
      <c r="AQ66" s="23">
        <f>$B$7+$B$9*(AVERAGE(INDEX(AN$51:AN$86,MAX(1,15)):INDEX(AN$51:AN$86,16))-$B$7)+$C$20/100</f>
        <v/>
      </c>
      <c r="AR66" s="23">
        <f>$B$7+$B$9*(AVERAGE(INDEX(AN$51:AN$86,MAX(1,14)):INDEX(AN$51:AN$86,16))-$B$7)+$C$21/100</f>
        <v/>
      </c>
      <c r="AS66" s="20">
        <f>AS65+AT65</f>
        <v/>
      </c>
      <c r="AT66" s="32">
        <f>AS66*(($B$18*AO66+$B$19*AP66+$B$20*AQ66+$B$21*AR66)/$B$8)/100*$B66/360</f>
        <v/>
      </c>
      <c r="AU66" s="33">
        <f>IF($B$11="RCV",1,-1)*(($B$12/100)-(AN66/100+$B$13/10000))*$B66/360</f>
        <v/>
      </c>
      <c r="AV66" s="23">
        <f>$B$7+L$37*SUMIFS(L$6:L$35,$G$6:$G$35,"&lt;="&amp;IF($A66="",EDATE($B$5,15),$A66),$F$6:$F$35,"&lt;&gt;")/100</f>
        <v/>
      </c>
      <c r="AW66" s="23">
        <f>$B$7+$B$9*(AV66-$B$7)+$C$18/100</f>
        <v/>
      </c>
      <c r="AX66" s="23">
        <f>$B$7+$B$9*(AV66-$B$7)+$C$19/100</f>
        <v/>
      </c>
      <c r="AY66" s="23">
        <f>$B$7+$B$9*(AVERAGE(INDEX(AV$51:AV$86,MAX(1,15)):INDEX(AV$51:AV$86,16))-$B$7)+$C$20/100</f>
        <v/>
      </c>
      <c r="AZ66" s="23">
        <f>$B$7+$B$9*(AVERAGE(INDEX(AV$51:AV$86,MAX(1,14)):INDEX(AV$51:AV$86,16))-$B$7)+$C$21/100</f>
        <v/>
      </c>
      <c r="BA66" s="20">
        <f>BA65+BB65</f>
        <v/>
      </c>
      <c r="BB66" s="32">
        <f>BA66*(($B$18*AW66+$B$19*AX66+$B$20*AY66+$B$21*AZ66)/$B$8)/100*$B66/360</f>
        <v/>
      </c>
      <c r="BC66" s="33">
        <f>IF($B$11="RCV",1,-1)*(($B$12/100)-(AV66/100+$B$13/10000))*$B66/360</f>
        <v/>
      </c>
      <c r="BD66" s="23">
        <f>$B$7+M$37*SUMIFS(M$6:M$35,$G$6:$G$35,"&lt;="&amp;IF($A66="",EDATE($B$5,15),$A66),$F$6:$F$35,"&lt;&gt;")/100</f>
        <v/>
      </c>
      <c r="BE66" s="23">
        <f>$B$7+$B$9*(BD66-$B$7)+$C$18/100</f>
        <v/>
      </c>
      <c r="BF66" s="23">
        <f>$B$7+$B$9*(BD66-$B$7)+$C$19/100</f>
        <v/>
      </c>
      <c r="BG66" s="23">
        <f>$B$7+$B$9*(AVERAGE(INDEX(BD$51:BD$86,MAX(1,15)):INDEX(BD$51:BD$86,16))-$B$7)+$C$20/100</f>
        <v/>
      </c>
      <c r="BH66" s="23">
        <f>$B$7+$B$9*(AVERAGE(INDEX(BD$51:BD$86,MAX(1,14)):INDEX(BD$51:BD$86,16))-$B$7)+$C$21/100</f>
        <v/>
      </c>
      <c r="BI66" s="20">
        <f>BI65+BJ65</f>
        <v/>
      </c>
      <c r="BJ66" s="32">
        <f>BI66*(($B$18*BE66+$B$19*BF66+$B$20*BG66+$B$21*BH66)/$B$8)/100*$B66/360</f>
        <v/>
      </c>
      <c r="BK66" s="33">
        <f>IF($B$11="RCV",1,-1)*(($B$12/100)-(BD66/100+$B$13/10000))*$B66/360</f>
        <v/>
      </c>
      <c r="BL66" s="23">
        <f>$B$7+N$37*SUMIFS(N$6:N$35,$G$6:$G$35,"&lt;="&amp;IF($A66="",EDATE($B$5,15),$A66),$F$6:$F$35,"&lt;&gt;")/100</f>
        <v/>
      </c>
      <c r="BM66" s="23">
        <f>$B$7+$B$9*(BL66-$B$7)+$C$18/100</f>
        <v/>
      </c>
      <c r="BN66" s="23">
        <f>$B$7+$B$9*(BL66-$B$7)+$C$19/100</f>
        <v/>
      </c>
      <c r="BO66" s="23">
        <f>$B$7+$B$9*(AVERAGE(INDEX(BL$51:BL$86,MAX(1,15)):INDEX(BL$51:BL$86,16))-$B$7)+$C$20/100</f>
        <v/>
      </c>
      <c r="BP66" s="23">
        <f>$B$7+$B$9*(AVERAGE(INDEX(BL$51:BL$86,MAX(1,14)):INDEX(BL$51:BL$86,16))-$B$7)+$C$21/100</f>
        <v/>
      </c>
      <c r="BQ66" s="20">
        <f>BQ65+BR65</f>
        <v/>
      </c>
      <c r="BR66" s="32">
        <f>BQ66*(($B$18*BM66+$B$19*BN66+$B$20*BO66+$B$21*BP66)/$B$8)/100*$B66/360</f>
        <v/>
      </c>
      <c r="BS66" s="33">
        <f>IF($B$11="RCV",1,-1)*(($B$12/100)-(BL66/100+$B$13/10000))*$B66/360</f>
        <v/>
      </c>
      <c r="BT66" s="23">
        <f>$B$7+O$37*SUMIFS(O$6:O$35,$G$6:$G$35,"&lt;="&amp;IF($A66="",EDATE($B$5,15),$A66),$F$6:$F$35,"&lt;&gt;")/100</f>
        <v/>
      </c>
      <c r="BU66" s="23">
        <f>$B$7+$B$9*(BT66-$B$7)+$C$18/100</f>
        <v/>
      </c>
      <c r="BV66" s="23">
        <f>$B$7+$B$9*(BT66-$B$7)+$C$19/100</f>
        <v/>
      </c>
      <c r="BW66" s="23">
        <f>$B$7+$B$9*(AVERAGE(INDEX(BT$51:BT$86,MAX(1,15)):INDEX(BT$51:BT$86,16))-$B$7)+$C$20/100</f>
        <v/>
      </c>
      <c r="BX66" s="23">
        <f>$B$7+$B$9*(AVERAGE(INDEX(BT$51:BT$86,MAX(1,14)):INDEX(BT$51:BT$86,16))-$B$7)+$C$21/100</f>
        <v/>
      </c>
      <c r="BY66" s="20">
        <f>BY65+BZ65</f>
        <v/>
      </c>
      <c r="BZ66" s="32">
        <f>BY66*(($B$18*BU66+$B$19*BV66+$B$20*BW66+$B$21*BX66)/$B$8)/100*$B66/360</f>
        <v/>
      </c>
      <c r="CA66" s="33">
        <f>IF($B$11="RCV",1,-1)*(($B$12/100)-(BT66/100+$B$13/10000))*$B66/360</f>
        <v/>
      </c>
    </row>
    <row r="67" outlineLevel="1">
      <c r="A67" s="15">
        <f>IF(16&lt;$B$6,EDATE($B$5,16),"")</f>
        <v/>
      </c>
      <c r="B67" s="24">
        <f>IF(A67="",0,EDATE(A67,1)-A67)</f>
        <v/>
      </c>
      <c r="C67" s="23">
        <f>SUM(D67:O67)</f>
        <v/>
      </c>
      <c r="D67" s="16">
        <f>IF($B67=0,0,IF(AND($B$26&gt;0,$D$26&gt;$A67),$B$26*$C$26/100/12,0))</f>
        <v/>
      </c>
      <c r="E67" s="16">
        <f>IF($B67=0,0,IF(AND($B$27&gt;0,$D$27&gt;$A67),$B$27*$C$27/100/12,0))</f>
        <v/>
      </c>
      <c r="F67" s="16">
        <f>IF($B67=0,0,IF(AND($B$28&gt;0,$D$28&gt;$A67),$B$28*$C$28/100/12,0))</f>
        <v/>
      </c>
      <c r="G67" s="16">
        <f>IF($B67=0,0,IF(AND($B$29&gt;0,$D$29&gt;$A67),$B$29*$C$29/100/12,0))</f>
        <v/>
      </c>
      <c r="H67" s="16">
        <f>IF($B67=0,0,IF(AND($B$30&gt;0,$D$30&gt;$A67),$B$30*$C$30/100/12,0))</f>
        <v/>
      </c>
      <c r="I67" s="16">
        <f>IF($B67=0,0,IF(AND($B$31&gt;0,$D$31&gt;$A67),$B$31*$C$31/100/12,0))</f>
        <v/>
      </c>
      <c r="J67" s="16">
        <f>IF($B67=0,0,IF(AND($B$32&gt;0,$D$32&gt;$A67),$B$32*$C$32/100/12,0))</f>
        <v/>
      </c>
      <c r="K67" s="16">
        <f>IF($B67=0,0,IF(AND($B$33&gt;0,$D$33&gt;$A67),$B$33*$C$33/100/12,0))</f>
        <v/>
      </c>
      <c r="L67" s="16">
        <f>IF($B67=0,0,IF(AND($B$34&gt;0,$D$34&gt;$A67),$B$34*$C$34/100/12,0))</f>
        <v/>
      </c>
      <c r="M67" s="16">
        <f>IF($B67=0,0,IF(AND($B$35&gt;0,$D$35&gt;$A67),$B$35*$C$35/100/12,0))</f>
        <v/>
      </c>
      <c r="N67" s="16">
        <f>IF($B67=0,0,IF(AND($B$36&gt;0,$D$36&gt;$A67),$B$36*$C$36/100/12,0))</f>
        <v/>
      </c>
      <c r="O67" s="16">
        <f>IF($B67=0,0,IF(AND($B$37&gt;0,$D$37&gt;$A67),$B$37*$C$37/100/12,0))</f>
        <v/>
      </c>
      <c r="P67" s="23">
        <f>$B$7+H$37*SUMIFS(H$6:H$35,$G$6:$G$35,"&lt;="&amp;IF($A67="",EDATE($B$5,16),$A67),$F$6:$F$35,"&lt;&gt;")/100</f>
        <v/>
      </c>
      <c r="Q67" s="23">
        <f>$B$7+$B$9*(P67-$B$7)+$C$18/100</f>
        <v/>
      </c>
      <c r="R67" s="23">
        <f>$B$7+$B$9*(P67-$B$7)+$C$19/100</f>
        <v/>
      </c>
      <c r="S67" s="23">
        <f>$B$7+$B$9*(AVERAGE(INDEX(P$51:P$86,MAX(1,16)):INDEX(P$51:P$86,17))-$B$7)+$C$20/100</f>
        <v/>
      </c>
      <c r="T67" s="23">
        <f>$B$7+$B$9*(AVERAGE(INDEX(P$51:P$86,MAX(1,15)):INDEX(P$51:P$86,17))-$B$7)+$C$21/100</f>
        <v/>
      </c>
      <c r="U67" s="20">
        <f>U66+V66</f>
        <v/>
      </c>
      <c r="V67" s="32">
        <f>U67*(($B$18*Q67+$B$19*R67+$B$20*S67+$B$21*T67)/$B$8)/100*$B67/360</f>
        <v/>
      </c>
      <c r="W67" s="33">
        <f>IF($B$11="RCV",1,-1)*(($B$12/100)-(P67/100+$B$13/10000))*$B67/360</f>
        <v/>
      </c>
      <c r="X67" s="23">
        <f>$B$7+I$37*SUMIFS(I$6:I$35,$G$6:$G$35,"&lt;="&amp;IF($A67="",EDATE($B$5,16),$A67),$F$6:$F$35,"&lt;&gt;")/100</f>
        <v/>
      </c>
      <c r="Y67" s="23">
        <f>$B$7+$B$9*(X67-$B$7)+$C$18/100</f>
        <v/>
      </c>
      <c r="Z67" s="23">
        <f>$B$7+$B$9*(X67-$B$7)+$C$19/100</f>
        <v/>
      </c>
      <c r="AA67" s="23">
        <f>$B$7+$B$9*(AVERAGE(INDEX(X$51:X$86,MAX(1,16)):INDEX(X$51:X$86,17))-$B$7)+$C$20/100</f>
        <v/>
      </c>
      <c r="AB67" s="23">
        <f>$B$7+$B$9*(AVERAGE(INDEX(X$51:X$86,MAX(1,15)):INDEX(X$51:X$86,17))-$B$7)+$C$21/100</f>
        <v/>
      </c>
      <c r="AC67" s="20">
        <f>AC66+AD66</f>
        <v/>
      </c>
      <c r="AD67" s="32">
        <f>AC67*(($B$18*Y67+$B$19*Z67+$B$20*AA67+$B$21*AB67)/$B$8)/100*$B67/360</f>
        <v/>
      </c>
      <c r="AE67" s="33">
        <f>IF($B$11="RCV",1,-1)*(($B$12/100)-(X67/100+$B$13/10000))*$B67/360</f>
        <v/>
      </c>
      <c r="AF67" s="23">
        <f>$B$7+J$37*SUMIFS(J$6:J$35,$G$6:$G$35,"&lt;="&amp;IF($A67="",EDATE($B$5,16),$A67),$F$6:$F$35,"&lt;&gt;")/100</f>
        <v/>
      </c>
      <c r="AG67" s="23">
        <f>$B$7+$B$9*(AF67-$B$7)+$C$18/100</f>
        <v/>
      </c>
      <c r="AH67" s="23">
        <f>$B$7+$B$9*(AF67-$B$7)+$C$19/100</f>
        <v/>
      </c>
      <c r="AI67" s="23">
        <f>$B$7+$B$9*(AVERAGE(INDEX(AF$51:AF$86,MAX(1,16)):INDEX(AF$51:AF$86,17))-$B$7)+$C$20/100</f>
        <v/>
      </c>
      <c r="AJ67" s="23">
        <f>$B$7+$B$9*(AVERAGE(INDEX(AF$51:AF$86,MAX(1,15)):INDEX(AF$51:AF$86,17))-$B$7)+$C$21/100</f>
        <v/>
      </c>
      <c r="AK67" s="20">
        <f>AK66+AL66</f>
        <v/>
      </c>
      <c r="AL67" s="32">
        <f>AK67*(($B$18*AG67+$B$19*AH67+$B$20*AI67+$B$21*AJ67)/$B$8)/100*$B67/360</f>
        <v/>
      </c>
      <c r="AM67" s="33">
        <f>IF($B$11="RCV",1,-1)*(($B$12/100)-(AF67/100+$B$13/10000))*$B67/360</f>
        <v/>
      </c>
      <c r="AN67" s="23">
        <f>$B$7+K$37*SUMIFS(K$6:K$35,$G$6:$G$35,"&lt;="&amp;IF($A67="",EDATE($B$5,16),$A67),$F$6:$F$35,"&lt;&gt;")/100</f>
        <v/>
      </c>
      <c r="AO67" s="23">
        <f>$B$7+$B$9*(AN67-$B$7)+$C$18/100</f>
        <v/>
      </c>
      <c r="AP67" s="23">
        <f>$B$7+$B$9*(AN67-$B$7)+$C$19/100</f>
        <v/>
      </c>
      <c r="AQ67" s="23">
        <f>$B$7+$B$9*(AVERAGE(INDEX(AN$51:AN$86,MAX(1,16)):INDEX(AN$51:AN$86,17))-$B$7)+$C$20/100</f>
        <v/>
      </c>
      <c r="AR67" s="23">
        <f>$B$7+$B$9*(AVERAGE(INDEX(AN$51:AN$86,MAX(1,15)):INDEX(AN$51:AN$86,17))-$B$7)+$C$21/100</f>
        <v/>
      </c>
      <c r="AS67" s="20">
        <f>AS66+AT66</f>
        <v/>
      </c>
      <c r="AT67" s="32">
        <f>AS67*(($B$18*AO67+$B$19*AP67+$B$20*AQ67+$B$21*AR67)/$B$8)/100*$B67/360</f>
        <v/>
      </c>
      <c r="AU67" s="33">
        <f>IF($B$11="RCV",1,-1)*(($B$12/100)-(AN67/100+$B$13/10000))*$B67/360</f>
        <v/>
      </c>
      <c r="AV67" s="23">
        <f>$B$7+L$37*SUMIFS(L$6:L$35,$G$6:$G$35,"&lt;="&amp;IF($A67="",EDATE($B$5,16),$A67),$F$6:$F$35,"&lt;&gt;")/100</f>
        <v/>
      </c>
      <c r="AW67" s="23">
        <f>$B$7+$B$9*(AV67-$B$7)+$C$18/100</f>
        <v/>
      </c>
      <c r="AX67" s="23">
        <f>$B$7+$B$9*(AV67-$B$7)+$C$19/100</f>
        <v/>
      </c>
      <c r="AY67" s="23">
        <f>$B$7+$B$9*(AVERAGE(INDEX(AV$51:AV$86,MAX(1,16)):INDEX(AV$51:AV$86,17))-$B$7)+$C$20/100</f>
        <v/>
      </c>
      <c r="AZ67" s="23">
        <f>$B$7+$B$9*(AVERAGE(INDEX(AV$51:AV$86,MAX(1,15)):INDEX(AV$51:AV$86,17))-$B$7)+$C$21/100</f>
        <v/>
      </c>
      <c r="BA67" s="20">
        <f>BA66+BB66</f>
        <v/>
      </c>
      <c r="BB67" s="32">
        <f>BA67*(($B$18*AW67+$B$19*AX67+$B$20*AY67+$B$21*AZ67)/$B$8)/100*$B67/360</f>
        <v/>
      </c>
      <c r="BC67" s="33">
        <f>IF($B$11="RCV",1,-1)*(($B$12/100)-(AV67/100+$B$13/10000))*$B67/360</f>
        <v/>
      </c>
      <c r="BD67" s="23">
        <f>$B$7+M$37*SUMIFS(M$6:M$35,$G$6:$G$35,"&lt;="&amp;IF($A67="",EDATE($B$5,16),$A67),$F$6:$F$35,"&lt;&gt;")/100</f>
        <v/>
      </c>
      <c r="BE67" s="23">
        <f>$B$7+$B$9*(BD67-$B$7)+$C$18/100</f>
        <v/>
      </c>
      <c r="BF67" s="23">
        <f>$B$7+$B$9*(BD67-$B$7)+$C$19/100</f>
        <v/>
      </c>
      <c r="BG67" s="23">
        <f>$B$7+$B$9*(AVERAGE(INDEX(BD$51:BD$86,MAX(1,16)):INDEX(BD$51:BD$86,17))-$B$7)+$C$20/100</f>
        <v/>
      </c>
      <c r="BH67" s="23">
        <f>$B$7+$B$9*(AVERAGE(INDEX(BD$51:BD$86,MAX(1,15)):INDEX(BD$51:BD$86,17))-$B$7)+$C$21/100</f>
        <v/>
      </c>
      <c r="BI67" s="20">
        <f>BI66+BJ66</f>
        <v/>
      </c>
      <c r="BJ67" s="32">
        <f>BI67*(($B$18*BE67+$B$19*BF67+$B$20*BG67+$B$21*BH67)/$B$8)/100*$B67/360</f>
        <v/>
      </c>
      <c r="BK67" s="33">
        <f>IF($B$11="RCV",1,-1)*(($B$12/100)-(BD67/100+$B$13/10000))*$B67/360</f>
        <v/>
      </c>
      <c r="BL67" s="23">
        <f>$B$7+N$37*SUMIFS(N$6:N$35,$G$6:$G$35,"&lt;="&amp;IF($A67="",EDATE($B$5,16),$A67),$F$6:$F$35,"&lt;&gt;")/100</f>
        <v/>
      </c>
      <c r="BM67" s="23">
        <f>$B$7+$B$9*(BL67-$B$7)+$C$18/100</f>
        <v/>
      </c>
      <c r="BN67" s="23">
        <f>$B$7+$B$9*(BL67-$B$7)+$C$19/100</f>
        <v/>
      </c>
      <c r="BO67" s="23">
        <f>$B$7+$B$9*(AVERAGE(INDEX(BL$51:BL$86,MAX(1,16)):INDEX(BL$51:BL$86,17))-$B$7)+$C$20/100</f>
        <v/>
      </c>
      <c r="BP67" s="23">
        <f>$B$7+$B$9*(AVERAGE(INDEX(BL$51:BL$86,MAX(1,15)):INDEX(BL$51:BL$86,17))-$B$7)+$C$21/100</f>
        <v/>
      </c>
      <c r="BQ67" s="20">
        <f>BQ66+BR66</f>
        <v/>
      </c>
      <c r="BR67" s="32">
        <f>BQ67*(($B$18*BM67+$B$19*BN67+$B$20*BO67+$B$21*BP67)/$B$8)/100*$B67/360</f>
        <v/>
      </c>
      <c r="BS67" s="33">
        <f>IF($B$11="RCV",1,-1)*(($B$12/100)-(BL67/100+$B$13/10000))*$B67/360</f>
        <v/>
      </c>
      <c r="BT67" s="23">
        <f>$B$7+O$37*SUMIFS(O$6:O$35,$G$6:$G$35,"&lt;="&amp;IF($A67="",EDATE($B$5,16),$A67),$F$6:$F$35,"&lt;&gt;")/100</f>
        <v/>
      </c>
      <c r="BU67" s="23">
        <f>$B$7+$B$9*(BT67-$B$7)+$C$18/100</f>
        <v/>
      </c>
      <c r="BV67" s="23">
        <f>$B$7+$B$9*(BT67-$B$7)+$C$19/100</f>
        <v/>
      </c>
      <c r="BW67" s="23">
        <f>$B$7+$B$9*(AVERAGE(INDEX(BT$51:BT$86,MAX(1,16)):INDEX(BT$51:BT$86,17))-$B$7)+$C$20/100</f>
        <v/>
      </c>
      <c r="BX67" s="23">
        <f>$B$7+$B$9*(AVERAGE(INDEX(BT$51:BT$86,MAX(1,15)):INDEX(BT$51:BT$86,17))-$B$7)+$C$21/100</f>
        <v/>
      </c>
      <c r="BY67" s="20">
        <f>BY66+BZ66</f>
        <v/>
      </c>
      <c r="BZ67" s="32">
        <f>BY67*(($B$18*BU67+$B$19*BV67+$B$20*BW67+$B$21*BX67)/$B$8)/100*$B67/360</f>
        <v/>
      </c>
      <c r="CA67" s="33">
        <f>IF($B$11="RCV",1,-1)*(($B$12/100)-(BT67/100+$B$13/10000))*$B67/360</f>
        <v/>
      </c>
    </row>
    <row r="68" outlineLevel="1">
      <c r="A68" s="15">
        <f>IF(17&lt;$B$6,EDATE($B$5,17),"")</f>
        <v/>
      </c>
      <c r="B68" s="24">
        <f>IF(A68="",0,EDATE(A68,1)-A68)</f>
        <v/>
      </c>
      <c r="C68" s="23">
        <f>SUM(D68:O68)</f>
        <v/>
      </c>
      <c r="D68" s="16">
        <f>IF($B68=0,0,IF(AND($B$26&gt;0,$D$26&gt;$A68),$B$26*$C$26/100/12,0))</f>
        <v/>
      </c>
      <c r="E68" s="16">
        <f>IF($B68=0,0,IF(AND($B$27&gt;0,$D$27&gt;$A68),$B$27*$C$27/100/12,0))</f>
        <v/>
      </c>
      <c r="F68" s="16">
        <f>IF($B68=0,0,IF(AND($B$28&gt;0,$D$28&gt;$A68),$B$28*$C$28/100/12,0))</f>
        <v/>
      </c>
      <c r="G68" s="16">
        <f>IF($B68=0,0,IF(AND($B$29&gt;0,$D$29&gt;$A68),$B$29*$C$29/100/12,0))</f>
        <v/>
      </c>
      <c r="H68" s="16">
        <f>IF($B68=0,0,IF(AND($B$30&gt;0,$D$30&gt;$A68),$B$30*$C$30/100/12,0))</f>
        <v/>
      </c>
      <c r="I68" s="16">
        <f>IF($B68=0,0,IF(AND($B$31&gt;0,$D$31&gt;$A68),$B$31*$C$31/100/12,0))</f>
        <v/>
      </c>
      <c r="J68" s="16">
        <f>IF($B68=0,0,IF(AND($B$32&gt;0,$D$32&gt;$A68),$B$32*$C$32/100/12,0))</f>
        <v/>
      </c>
      <c r="K68" s="16">
        <f>IF($B68=0,0,IF(AND($B$33&gt;0,$D$33&gt;$A68),$B$33*$C$33/100/12,0))</f>
        <v/>
      </c>
      <c r="L68" s="16">
        <f>IF($B68=0,0,IF(AND($B$34&gt;0,$D$34&gt;$A68),$B$34*$C$34/100/12,0))</f>
        <v/>
      </c>
      <c r="M68" s="16">
        <f>IF($B68=0,0,IF(AND($B$35&gt;0,$D$35&gt;$A68),$B$35*$C$35/100/12,0))</f>
        <v/>
      </c>
      <c r="N68" s="16">
        <f>IF($B68=0,0,IF(AND($B$36&gt;0,$D$36&gt;$A68),$B$36*$C$36/100/12,0))</f>
        <v/>
      </c>
      <c r="O68" s="16">
        <f>IF($B68=0,0,IF(AND($B$37&gt;0,$D$37&gt;$A68),$B$37*$C$37/100/12,0))</f>
        <v/>
      </c>
      <c r="P68" s="23">
        <f>$B$7+H$37*SUMIFS(H$6:H$35,$G$6:$G$35,"&lt;="&amp;IF($A68="",EDATE($B$5,17),$A68),$F$6:$F$35,"&lt;&gt;")/100</f>
        <v/>
      </c>
      <c r="Q68" s="23">
        <f>$B$7+$B$9*(P68-$B$7)+$C$18/100</f>
        <v/>
      </c>
      <c r="R68" s="23">
        <f>$B$7+$B$9*(P68-$B$7)+$C$19/100</f>
        <v/>
      </c>
      <c r="S68" s="23">
        <f>$B$7+$B$9*(AVERAGE(INDEX(P$51:P$86,MAX(1,17)):INDEX(P$51:P$86,18))-$B$7)+$C$20/100</f>
        <v/>
      </c>
      <c r="T68" s="23">
        <f>$B$7+$B$9*(AVERAGE(INDEX(P$51:P$86,MAX(1,16)):INDEX(P$51:P$86,18))-$B$7)+$C$21/100</f>
        <v/>
      </c>
      <c r="U68" s="20">
        <f>U67+V67</f>
        <v/>
      </c>
      <c r="V68" s="32">
        <f>U68*(($B$18*Q68+$B$19*R68+$B$20*S68+$B$21*T68)/$B$8)/100*$B68/360</f>
        <v/>
      </c>
      <c r="W68" s="33">
        <f>IF($B$11="RCV",1,-1)*(($B$12/100)-(P68/100+$B$13/10000))*$B68/360</f>
        <v/>
      </c>
      <c r="X68" s="23">
        <f>$B$7+I$37*SUMIFS(I$6:I$35,$G$6:$G$35,"&lt;="&amp;IF($A68="",EDATE($B$5,17),$A68),$F$6:$F$35,"&lt;&gt;")/100</f>
        <v/>
      </c>
      <c r="Y68" s="23">
        <f>$B$7+$B$9*(X68-$B$7)+$C$18/100</f>
        <v/>
      </c>
      <c r="Z68" s="23">
        <f>$B$7+$B$9*(X68-$B$7)+$C$19/100</f>
        <v/>
      </c>
      <c r="AA68" s="23">
        <f>$B$7+$B$9*(AVERAGE(INDEX(X$51:X$86,MAX(1,17)):INDEX(X$51:X$86,18))-$B$7)+$C$20/100</f>
        <v/>
      </c>
      <c r="AB68" s="23">
        <f>$B$7+$B$9*(AVERAGE(INDEX(X$51:X$86,MAX(1,16)):INDEX(X$51:X$86,18))-$B$7)+$C$21/100</f>
        <v/>
      </c>
      <c r="AC68" s="20">
        <f>AC67+AD67</f>
        <v/>
      </c>
      <c r="AD68" s="32">
        <f>AC68*(($B$18*Y68+$B$19*Z68+$B$20*AA68+$B$21*AB68)/$B$8)/100*$B68/360</f>
        <v/>
      </c>
      <c r="AE68" s="33">
        <f>IF($B$11="RCV",1,-1)*(($B$12/100)-(X68/100+$B$13/10000))*$B68/360</f>
        <v/>
      </c>
      <c r="AF68" s="23">
        <f>$B$7+J$37*SUMIFS(J$6:J$35,$G$6:$G$35,"&lt;="&amp;IF($A68="",EDATE($B$5,17),$A68),$F$6:$F$35,"&lt;&gt;")/100</f>
        <v/>
      </c>
      <c r="AG68" s="23">
        <f>$B$7+$B$9*(AF68-$B$7)+$C$18/100</f>
        <v/>
      </c>
      <c r="AH68" s="23">
        <f>$B$7+$B$9*(AF68-$B$7)+$C$19/100</f>
        <v/>
      </c>
      <c r="AI68" s="23">
        <f>$B$7+$B$9*(AVERAGE(INDEX(AF$51:AF$86,MAX(1,17)):INDEX(AF$51:AF$86,18))-$B$7)+$C$20/100</f>
        <v/>
      </c>
      <c r="AJ68" s="23">
        <f>$B$7+$B$9*(AVERAGE(INDEX(AF$51:AF$86,MAX(1,16)):INDEX(AF$51:AF$86,18))-$B$7)+$C$21/100</f>
        <v/>
      </c>
      <c r="AK68" s="20">
        <f>AK67+AL67</f>
        <v/>
      </c>
      <c r="AL68" s="32">
        <f>AK68*(($B$18*AG68+$B$19*AH68+$B$20*AI68+$B$21*AJ68)/$B$8)/100*$B68/360</f>
        <v/>
      </c>
      <c r="AM68" s="33">
        <f>IF($B$11="RCV",1,-1)*(($B$12/100)-(AF68/100+$B$13/10000))*$B68/360</f>
        <v/>
      </c>
      <c r="AN68" s="23">
        <f>$B$7+K$37*SUMIFS(K$6:K$35,$G$6:$G$35,"&lt;="&amp;IF($A68="",EDATE($B$5,17),$A68),$F$6:$F$35,"&lt;&gt;")/100</f>
        <v/>
      </c>
      <c r="AO68" s="23">
        <f>$B$7+$B$9*(AN68-$B$7)+$C$18/100</f>
        <v/>
      </c>
      <c r="AP68" s="23">
        <f>$B$7+$B$9*(AN68-$B$7)+$C$19/100</f>
        <v/>
      </c>
      <c r="AQ68" s="23">
        <f>$B$7+$B$9*(AVERAGE(INDEX(AN$51:AN$86,MAX(1,17)):INDEX(AN$51:AN$86,18))-$B$7)+$C$20/100</f>
        <v/>
      </c>
      <c r="AR68" s="23">
        <f>$B$7+$B$9*(AVERAGE(INDEX(AN$51:AN$86,MAX(1,16)):INDEX(AN$51:AN$86,18))-$B$7)+$C$21/100</f>
        <v/>
      </c>
      <c r="AS68" s="20">
        <f>AS67+AT67</f>
        <v/>
      </c>
      <c r="AT68" s="32">
        <f>AS68*(($B$18*AO68+$B$19*AP68+$B$20*AQ68+$B$21*AR68)/$B$8)/100*$B68/360</f>
        <v/>
      </c>
      <c r="AU68" s="33">
        <f>IF($B$11="RCV",1,-1)*(($B$12/100)-(AN68/100+$B$13/10000))*$B68/360</f>
        <v/>
      </c>
      <c r="AV68" s="23">
        <f>$B$7+L$37*SUMIFS(L$6:L$35,$G$6:$G$35,"&lt;="&amp;IF($A68="",EDATE($B$5,17),$A68),$F$6:$F$35,"&lt;&gt;")/100</f>
        <v/>
      </c>
      <c r="AW68" s="23">
        <f>$B$7+$B$9*(AV68-$B$7)+$C$18/100</f>
        <v/>
      </c>
      <c r="AX68" s="23">
        <f>$B$7+$B$9*(AV68-$B$7)+$C$19/100</f>
        <v/>
      </c>
      <c r="AY68" s="23">
        <f>$B$7+$B$9*(AVERAGE(INDEX(AV$51:AV$86,MAX(1,17)):INDEX(AV$51:AV$86,18))-$B$7)+$C$20/100</f>
        <v/>
      </c>
      <c r="AZ68" s="23">
        <f>$B$7+$B$9*(AVERAGE(INDEX(AV$51:AV$86,MAX(1,16)):INDEX(AV$51:AV$86,18))-$B$7)+$C$21/100</f>
        <v/>
      </c>
      <c r="BA68" s="20">
        <f>BA67+BB67</f>
        <v/>
      </c>
      <c r="BB68" s="32">
        <f>BA68*(($B$18*AW68+$B$19*AX68+$B$20*AY68+$B$21*AZ68)/$B$8)/100*$B68/360</f>
        <v/>
      </c>
      <c r="BC68" s="33">
        <f>IF($B$11="RCV",1,-1)*(($B$12/100)-(AV68/100+$B$13/10000))*$B68/360</f>
        <v/>
      </c>
      <c r="BD68" s="23">
        <f>$B$7+M$37*SUMIFS(M$6:M$35,$G$6:$G$35,"&lt;="&amp;IF($A68="",EDATE($B$5,17),$A68),$F$6:$F$35,"&lt;&gt;")/100</f>
        <v/>
      </c>
      <c r="BE68" s="23">
        <f>$B$7+$B$9*(BD68-$B$7)+$C$18/100</f>
        <v/>
      </c>
      <c r="BF68" s="23">
        <f>$B$7+$B$9*(BD68-$B$7)+$C$19/100</f>
        <v/>
      </c>
      <c r="BG68" s="23">
        <f>$B$7+$B$9*(AVERAGE(INDEX(BD$51:BD$86,MAX(1,17)):INDEX(BD$51:BD$86,18))-$B$7)+$C$20/100</f>
        <v/>
      </c>
      <c r="BH68" s="23">
        <f>$B$7+$B$9*(AVERAGE(INDEX(BD$51:BD$86,MAX(1,16)):INDEX(BD$51:BD$86,18))-$B$7)+$C$21/100</f>
        <v/>
      </c>
      <c r="BI68" s="20">
        <f>BI67+BJ67</f>
        <v/>
      </c>
      <c r="BJ68" s="32">
        <f>BI68*(($B$18*BE68+$B$19*BF68+$B$20*BG68+$B$21*BH68)/$B$8)/100*$B68/360</f>
        <v/>
      </c>
      <c r="BK68" s="33">
        <f>IF($B$11="RCV",1,-1)*(($B$12/100)-(BD68/100+$B$13/10000))*$B68/360</f>
        <v/>
      </c>
      <c r="BL68" s="23">
        <f>$B$7+N$37*SUMIFS(N$6:N$35,$G$6:$G$35,"&lt;="&amp;IF($A68="",EDATE($B$5,17),$A68),$F$6:$F$35,"&lt;&gt;")/100</f>
        <v/>
      </c>
      <c r="BM68" s="23">
        <f>$B$7+$B$9*(BL68-$B$7)+$C$18/100</f>
        <v/>
      </c>
      <c r="BN68" s="23">
        <f>$B$7+$B$9*(BL68-$B$7)+$C$19/100</f>
        <v/>
      </c>
      <c r="BO68" s="23">
        <f>$B$7+$B$9*(AVERAGE(INDEX(BL$51:BL$86,MAX(1,17)):INDEX(BL$51:BL$86,18))-$B$7)+$C$20/100</f>
        <v/>
      </c>
      <c r="BP68" s="23">
        <f>$B$7+$B$9*(AVERAGE(INDEX(BL$51:BL$86,MAX(1,16)):INDEX(BL$51:BL$86,18))-$B$7)+$C$21/100</f>
        <v/>
      </c>
      <c r="BQ68" s="20">
        <f>BQ67+BR67</f>
        <v/>
      </c>
      <c r="BR68" s="32">
        <f>BQ68*(($B$18*BM68+$B$19*BN68+$B$20*BO68+$B$21*BP68)/$B$8)/100*$B68/360</f>
        <v/>
      </c>
      <c r="BS68" s="33">
        <f>IF($B$11="RCV",1,-1)*(($B$12/100)-(BL68/100+$B$13/10000))*$B68/360</f>
        <v/>
      </c>
      <c r="BT68" s="23">
        <f>$B$7+O$37*SUMIFS(O$6:O$35,$G$6:$G$35,"&lt;="&amp;IF($A68="",EDATE($B$5,17),$A68),$F$6:$F$35,"&lt;&gt;")/100</f>
        <v/>
      </c>
      <c r="BU68" s="23">
        <f>$B$7+$B$9*(BT68-$B$7)+$C$18/100</f>
        <v/>
      </c>
      <c r="BV68" s="23">
        <f>$B$7+$B$9*(BT68-$B$7)+$C$19/100</f>
        <v/>
      </c>
      <c r="BW68" s="23">
        <f>$B$7+$B$9*(AVERAGE(INDEX(BT$51:BT$86,MAX(1,17)):INDEX(BT$51:BT$86,18))-$B$7)+$C$20/100</f>
        <v/>
      </c>
      <c r="BX68" s="23">
        <f>$B$7+$B$9*(AVERAGE(INDEX(BT$51:BT$86,MAX(1,16)):INDEX(BT$51:BT$86,18))-$B$7)+$C$21/100</f>
        <v/>
      </c>
      <c r="BY68" s="20">
        <f>BY67+BZ67</f>
        <v/>
      </c>
      <c r="BZ68" s="32">
        <f>BY68*(($B$18*BU68+$B$19*BV68+$B$20*BW68+$B$21*BX68)/$B$8)/100*$B68/360</f>
        <v/>
      </c>
      <c r="CA68" s="33">
        <f>IF($B$11="RCV",1,-1)*(($B$12/100)-(BT68/100+$B$13/10000))*$B68/360</f>
        <v/>
      </c>
    </row>
    <row r="69" outlineLevel="1">
      <c r="A69" s="15">
        <f>IF(18&lt;$B$6,EDATE($B$5,18),"")</f>
        <v/>
      </c>
      <c r="B69" s="24">
        <f>IF(A69="",0,EDATE(A69,1)-A69)</f>
        <v/>
      </c>
      <c r="C69" s="23">
        <f>SUM(D69:O69)</f>
        <v/>
      </c>
      <c r="D69" s="16">
        <f>IF($B69=0,0,IF(AND($B$26&gt;0,$D$26&gt;$A69),$B$26*$C$26/100/12,0))</f>
        <v/>
      </c>
      <c r="E69" s="16">
        <f>IF($B69=0,0,IF(AND($B$27&gt;0,$D$27&gt;$A69),$B$27*$C$27/100/12,0))</f>
        <v/>
      </c>
      <c r="F69" s="16">
        <f>IF($B69=0,0,IF(AND($B$28&gt;0,$D$28&gt;$A69),$B$28*$C$28/100/12,0))</f>
        <v/>
      </c>
      <c r="G69" s="16">
        <f>IF($B69=0,0,IF(AND($B$29&gt;0,$D$29&gt;$A69),$B$29*$C$29/100/12,0))</f>
        <v/>
      </c>
      <c r="H69" s="16">
        <f>IF($B69=0,0,IF(AND($B$30&gt;0,$D$30&gt;$A69),$B$30*$C$30/100/12,0))</f>
        <v/>
      </c>
      <c r="I69" s="16">
        <f>IF($B69=0,0,IF(AND($B$31&gt;0,$D$31&gt;$A69),$B$31*$C$31/100/12,0))</f>
        <v/>
      </c>
      <c r="J69" s="16">
        <f>IF($B69=0,0,IF(AND($B$32&gt;0,$D$32&gt;$A69),$B$32*$C$32/100/12,0))</f>
        <v/>
      </c>
      <c r="K69" s="16">
        <f>IF($B69=0,0,IF(AND($B$33&gt;0,$D$33&gt;$A69),$B$33*$C$33/100/12,0))</f>
        <v/>
      </c>
      <c r="L69" s="16">
        <f>IF($B69=0,0,IF(AND($B$34&gt;0,$D$34&gt;$A69),$B$34*$C$34/100/12,0))</f>
        <v/>
      </c>
      <c r="M69" s="16">
        <f>IF($B69=0,0,IF(AND($B$35&gt;0,$D$35&gt;$A69),$B$35*$C$35/100/12,0))</f>
        <v/>
      </c>
      <c r="N69" s="16">
        <f>IF($B69=0,0,IF(AND($B$36&gt;0,$D$36&gt;$A69),$B$36*$C$36/100/12,0))</f>
        <v/>
      </c>
      <c r="O69" s="16">
        <f>IF($B69=0,0,IF(AND($B$37&gt;0,$D$37&gt;$A69),$B$37*$C$37/100/12,0))</f>
        <v/>
      </c>
      <c r="P69" s="23">
        <f>$B$7+H$37*SUMIFS(H$6:H$35,$G$6:$G$35,"&lt;="&amp;IF($A69="",EDATE($B$5,18),$A69),$F$6:$F$35,"&lt;&gt;")/100</f>
        <v/>
      </c>
      <c r="Q69" s="23">
        <f>$B$7+$B$9*(P69-$B$7)+$C$18/100</f>
        <v/>
      </c>
      <c r="R69" s="23">
        <f>$B$7+$B$9*(P69-$B$7)+$C$19/100</f>
        <v/>
      </c>
      <c r="S69" s="23">
        <f>$B$7+$B$9*(AVERAGE(INDEX(P$51:P$86,MAX(1,18)):INDEX(P$51:P$86,19))-$B$7)+$C$20/100</f>
        <v/>
      </c>
      <c r="T69" s="23">
        <f>$B$7+$B$9*(AVERAGE(INDEX(P$51:P$86,MAX(1,17)):INDEX(P$51:P$86,19))-$B$7)+$C$21/100</f>
        <v/>
      </c>
      <c r="U69" s="20">
        <f>U68+V68</f>
        <v/>
      </c>
      <c r="V69" s="32">
        <f>U69*(($B$18*Q69+$B$19*R69+$B$20*S69+$B$21*T69)/$B$8)/100*$B69/360</f>
        <v/>
      </c>
      <c r="W69" s="33">
        <f>IF($B$11="RCV",1,-1)*(($B$12/100)-(P69/100+$B$13/10000))*$B69/360</f>
        <v/>
      </c>
      <c r="X69" s="23">
        <f>$B$7+I$37*SUMIFS(I$6:I$35,$G$6:$G$35,"&lt;="&amp;IF($A69="",EDATE($B$5,18),$A69),$F$6:$F$35,"&lt;&gt;")/100</f>
        <v/>
      </c>
      <c r="Y69" s="23">
        <f>$B$7+$B$9*(X69-$B$7)+$C$18/100</f>
        <v/>
      </c>
      <c r="Z69" s="23">
        <f>$B$7+$B$9*(X69-$B$7)+$C$19/100</f>
        <v/>
      </c>
      <c r="AA69" s="23">
        <f>$B$7+$B$9*(AVERAGE(INDEX(X$51:X$86,MAX(1,18)):INDEX(X$51:X$86,19))-$B$7)+$C$20/100</f>
        <v/>
      </c>
      <c r="AB69" s="23">
        <f>$B$7+$B$9*(AVERAGE(INDEX(X$51:X$86,MAX(1,17)):INDEX(X$51:X$86,19))-$B$7)+$C$21/100</f>
        <v/>
      </c>
      <c r="AC69" s="20">
        <f>AC68+AD68</f>
        <v/>
      </c>
      <c r="AD69" s="32">
        <f>AC69*(($B$18*Y69+$B$19*Z69+$B$20*AA69+$B$21*AB69)/$B$8)/100*$B69/360</f>
        <v/>
      </c>
      <c r="AE69" s="33">
        <f>IF($B$11="RCV",1,-1)*(($B$12/100)-(X69/100+$B$13/10000))*$B69/360</f>
        <v/>
      </c>
      <c r="AF69" s="23">
        <f>$B$7+J$37*SUMIFS(J$6:J$35,$G$6:$G$35,"&lt;="&amp;IF($A69="",EDATE($B$5,18),$A69),$F$6:$F$35,"&lt;&gt;")/100</f>
        <v/>
      </c>
      <c r="AG69" s="23">
        <f>$B$7+$B$9*(AF69-$B$7)+$C$18/100</f>
        <v/>
      </c>
      <c r="AH69" s="23">
        <f>$B$7+$B$9*(AF69-$B$7)+$C$19/100</f>
        <v/>
      </c>
      <c r="AI69" s="23">
        <f>$B$7+$B$9*(AVERAGE(INDEX(AF$51:AF$86,MAX(1,18)):INDEX(AF$51:AF$86,19))-$B$7)+$C$20/100</f>
        <v/>
      </c>
      <c r="AJ69" s="23">
        <f>$B$7+$B$9*(AVERAGE(INDEX(AF$51:AF$86,MAX(1,17)):INDEX(AF$51:AF$86,19))-$B$7)+$C$21/100</f>
        <v/>
      </c>
      <c r="AK69" s="20">
        <f>AK68+AL68</f>
        <v/>
      </c>
      <c r="AL69" s="32">
        <f>AK69*(($B$18*AG69+$B$19*AH69+$B$20*AI69+$B$21*AJ69)/$B$8)/100*$B69/360</f>
        <v/>
      </c>
      <c r="AM69" s="33">
        <f>IF($B$11="RCV",1,-1)*(($B$12/100)-(AF69/100+$B$13/10000))*$B69/360</f>
        <v/>
      </c>
      <c r="AN69" s="23">
        <f>$B$7+K$37*SUMIFS(K$6:K$35,$G$6:$G$35,"&lt;="&amp;IF($A69="",EDATE($B$5,18),$A69),$F$6:$F$35,"&lt;&gt;")/100</f>
        <v/>
      </c>
      <c r="AO69" s="23">
        <f>$B$7+$B$9*(AN69-$B$7)+$C$18/100</f>
        <v/>
      </c>
      <c r="AP69" s="23">
        <f>$B$7+$B$9*(AN69-$B$7)+$C$19/100</f>
        <v/>
      </c>
      <c r="AQ69" s="23">
        <f>$B$7+$B$9*(AVERAGE(INDEX(AN$51:AN$86,MAX(1,18)):INDEX(AN$51:AN$86,19))-$B$7)+$C$20/100</f>
        <v/>
      </c>
      <c r="AR69" s="23">
        <f>$B$7+$B$9*(AVERAGE(INDEX(AN$51:AN$86,MAX(1,17)):INDEX(AN$51:AN$86,19))-$B$7)+$C$21/100</f>
        <v/>
      </c>
      <c r="AS69" s="20">
        <f>AS68+AT68</f>
        <v/>
      </c>
      <c r="AT69" s="32">
        <f>AS69*(($B$18*AO69+$B$19*AP69+$B$20*AQ69+$B$21*AR69)/$B$8)/100*$B69/360</f>
        <v/>
      </c>
      <c r="AU69" s="33">
        <f>IF($B$11="RCV",1,-1)*(($B$12/100)-(AN69/100+$B$13/10000))*$B69/360</f>
        <v/>
      </c>
      <c r="AV69" s="23">
        <f>$B$7+L$37*SUMIFS(L$6:L$35,$G$6:$G$35,"&lt;="&amp;IF($A69="",EDATE($B$5,18),$A69),$F$6:$F$35,"&lt;&gt;")/100</f>
        <v/>
      </c>
      <c r="AW69" s="23">
        <f>$B$7+$B$9*(AV69-$B$7)+$C$18/100</f>
        <v/>
      </c>
      <c r="AX69" s="23">
        <f>$B$7+$B$9*(AV69-$B$7)+$C$19/100</f>
        <v/>
      </c>
      <c r="AY69" s="23">
        <f>$B$7+$B$9*(AVERAGE(INDEX(AV$51:AV$86,MAX(1,18)):INDEX(AV$51:AV$86,19))-$B$7)+$C$20/100</f>
        <v/>
      </c>
      <c r="AZ69" s="23">
        <f>$B$7+$B$9*(AVERAGE(INDEX(AV$51:AV$86,MAX(1,17)):INDEX(AV$51:AV$86,19))-$B$7)+$C$21/100</f>
        <v/>
      </c>
      <c r="BA69" s="20">
        <f>BA68+BB68</f>
        <v/>
      </c>
      <c r="BB69" s="32">
        <f>BA69*(($B$18*AW69+$B$19*AX69+$B$20*AY69+$B$21*AZ69)/$B$8)/100*$B69/360</f>
        <v/>
      </c>
      <c r="BC69" s="33">
        <f>IF($B$11="RCV",1,-1)*(($B$12/100)-(AV69/100+$B$13/10000))*$B69/360</f>
        <v/>
      </c>
      <c r="BD69" s="23">
        <f>$B$7+M$37*SUMIFS(M$6:M$35,$G$6:$G$35,"&lt;="&amp;IF($A69="",EDATE($B$5,18),$A69),$F$6:$F$35,"&lt;&gt;")/100</f>
        <v/>
      </c>
      <c r="BE69" s="23">
        <f>$B$7+$B$9*(BD69-$B$7)+$C$18/100</f>
        <v/>
      </c>
      <c r="BF69" s="23">
        <f>$B$7+$B$9*(BD69-$B$7)+$C$19/100</f>
        <v/>
      </c>
      <c r="BG69" s="23">
        <f>$B$7+$B$9*(AVERAGE(INDEX(BD$51:BD$86,MAX(1,18)):INDEX(BD$51:BD$86,19))-$B$7)+$C$20/100</f>
        <v/>
      </c>
      <c r="BH69" s="23">
        <f>$B$7+$B$9*(AVERAGE(INDEX(BD$51:BD$86,MAX(1,17)):INDEX(BD$51:BD$86,19))-$B$7)+$C$21/100</f>
        <v/>
      </c>
      <c r="BI69" s="20">
        <f>BI68+BJ68</f>
        <v/>
      </c>
      <c r="BJ69" s="32">
        <f>BI69*(($B$18*BE69+$B$19*BF69+$B$20*BG69+$B$21*BH69)/$B$8)/100*$B69/360</f>
        <v/>
      </c>
      <c r="BK69" s="33">
        <f>IF($B$11="RCV",1,-1)*(($B$12/100)-(BD69/100+$B$13/10000))*$B69/360</f>
        <v/>
      </c>
      <c r="BL69" s="23">
        <f>$B$7+N$37*SUMIFS(N$6:N$35,$G$6:$G$35,"&lt;="&amp;IF($A69="",EDATE($B$5,18),$A69),$F$6:$F$35,"&lt;&gt;")/100</f>
        <v/>
      </c>
      <c r="BM69" s="23">
        <f>$B$7+$B$9*(BL69-$B$7)+$C$18/100</f>
        <v/>
      </c>
      <c r="BN69" s="23">
        <f>$B$7+$B$9*(BL69-$B$7)+$C$19/100</f>
        <v/>
      </c>
      <c r="BO69" s="23">
        <f>$B$7+$B$9*(AVERAGE(INDEX(BL$51:BL$86,MAX(1,18)):INDEX(BL$51:BL$86,19))-$B$7)+$C$20/100</f>
        <v/>
      </c>
      <c r="BP69" s="23">
        <f>$B$7+$B$9*(AVERAGE(INDEX(BL$51:BL$86,MAX(1,17)):INDEX(BL$51:BL$86,19))-$B$7)+$C$21/100</f>
        <v/>
      </c>
      <c r="BQ69" s="20">
        <f>BQ68+BR68</f>
        <v/>
      </c>
      <c r="BR69" s="32">
        <f>BQ69*(($B$18*BM69+$B$19*BN69+$B$20*BO69+$B$21*BP69)/$B$8)/100*$B69/360</f>
        <v/>
      </c>
      <c r="BS69" s="33">
        <f>IF($B$11="RCV",1,-1)*(($B$12/100)-(BL69/100+$B$13/10000))*$B69/360</f>
        <v/>
      </c>
      <c r="BT69" s="23">
        <f>$B$7+O$37*SUMIFS(O$6:O$35,$G$6:$G$35,"&lt;="&amp;IF($A69="",EDATE($B$5,18),$A69),$F$6:$F$35,"&lt;&gt;")/100</f>
        <v/>
      </c>
      <c r="BU69" s="23">
        <f>$B$7+$B$9*(BT69-$B$7)+$C$18/100</f>
        <v/>
      </c>
      <c r="BV69" s="23">
        <f>$B$7+$B$9*(BT69-$B$7)+$C$19/100</f>
        <v/>
      </c>
      <c r="BW69" s="23">
        <f>$B$7+$B$9*(AVERAGE(INDEX(BT$51:BT$86,MAX(1,18)):INDEX(BT$51:BT$86,19))-$B$7)+$C$20/100</f>
        <v/>
      </c>
      <c r="BX69" s="23">
        <f>$B$7+$B$9*(AVERAGE(INDEX(BT$51:BT$86,MAX(1,17)):INDEX(BT$51:BT$86,19))-$B$7)+$C$21/100</f>
        <v/>
      </c>
      <c r="BY69" s="20">
        <f>BY68+BZ68</f>
        <v/>
      </c>
      <c r="BZ69" s="32">
        <f>BY69*(($B$18*BU69+$B$19*BV69+$B$20*BW69+$B$21*BX69)/$B$8)/100*$B69/360</f>
        <v/>
      </c>
      <c r="CA69" s="33">
        <f>IF($B$11="RCV",1,-1)*(($B$12/100)-(BT69/100+$B$13/10000))*$B69/360</f>
        <v/>
      </c>
    </row>
    <row r="70" outlineLevel="1">
      <c r="A70" s="15">
        <f>IF(19&lt;$B$6,EDATE($B$5,19),"")</f>
        <v/>
      </c>
      <c r="B70" s="24">
        <f>IF(A70="",0,EDATE(A70,1)-A70)</f>
        <v/>
      </c>
      <c r="C70" s="23">
        <f>SUM(D70:O70)</f>
        <v/>
      </c>
      <c r="D70" s="16">
        <f>IF($B70=0,0,IF(AND($B$26&gt;0,$D$26&gt;$A70),$B$26*$C$26/100/12,0))</f>
        <v/>
      </c>
      <c r="E70" s="16">
        <f>IF($B70=0,0,IF(AND($B$27&gt;0,$D$27&gt;$A70),$B$27*$C$27/100/12,0))</f>
        <v/>
      </c>
      <c r="F70" s="16">
        <f>IF($B70=0,0,IF(AND($B$28&gt;0,$D$28&gt;$A70),$B$28*$C$28/100/12,0))</f>
        <v/>
      </c>
      <c r="G70" s="16">
        <f>IF($B70=0,0,IF(AND($B$29&gt;0,$D$29&gt;$A70),$B$29*$C$29/100/12,0))</f>
        <v/>
      </c>
      <c r="H70" s="16">
        <f>IF($B70=0,0,IF(AND($B$30&gt;0,$D$30&gt;$A70),$B$30*$C$30/100/12,0))</f>
        <v/>
      </c>
      <c r="I70" s="16">
        <f>IF($B70=0,0,IF(AND($B$31&gt;0,$D$31&gt;$A70),$B$31*$C$31/100/12,0))</f>
        <v/>
      </c>
      <c r="J70" s="16">
        <f>IF($B70=0,0,IF(AND($B$32&gt;0,$D$32&gt;$A70),$B$32*$C$32/100/12,0))</f>
        <v/>
      </c>
      <c r="K70" s="16">
        <f>IF($B70=0,0,IF(AND($B$33&gt;0,$D$33&gt;$A70),$B$33*$C$33/100/12,0))</f>
        <v/>
      </c>
      <c r="L70" s="16">
        <f>IF($B70=0,0,IF(AND($B$34&gt;0,$D$34&gt;$A70),$B$34*$C$34/100/12,0))</f>
        <v/>
      </c>
      <c r="M70" s="16">
        <f>IF($B70=0,0,IF(AND($B$35&gt;0,$D$35&gt;$A70),$B$35*$C$35/100/12,0))</f>
        <v/>
      </c>
      <c r="N70" s="16">
        <f>IF($B70=0,0,IF(AND($B$36&gt;0,$D$36&gt;$A70),$B$36*$C$36/100/12,0))</f>
        <v/>
      </c>
      <c r="O70" s="16">
        <f>IF($B70=0,0,IF(AND($B$37&gt;0,$D$37&gt;$A70),$B$37*$C$37/100/12,0))</f>
        <v/>
      </c>
      <c r="P70" s="23">
        <f>$B$7+H$37*SUMIFS(H$6:H$35,$G$6:$G$35,"&lt;="&amp;IF($A70="",EDATE($B$5,19),$A70),$F$6:$F$35,"&lt;&gt;")/100</f>
        <v/>
      </c>
      <c r="Q70" s="23">
        <f>$B$7+$B$9*(P70-$B$7)+$C$18/100</f>
        <v/>
      </c>
      <c r="R70" s="23">
        <f>$B$7+$B$9*(P70-$B$7)+$C$19/100</f>
        <v/>
      </c>
      <c r="S70" s="23">
        <f>$B$7+$B$9*(AVERAGE(INDEX(P$51:P$86,MAX(1,19)):INDEX(P$51:P$86,20))-$B$7)+$C$20/100</f>
        <v/>
      </c>
      <c r="T70" s="23">
        <f>$B$7+$B$9*(AVERAGE(INDEX(P$51:P$86,MAX(1,18)):INDEX(P$51:P$86,20))-$B$7)+$C$21/100</f>
        <v/>
      </c>
      <c r="U70" s="20">
        <f>U69+V69</f>
        <v/>
      </c>
      <c r="V70" s="32">
        <f>U70*(($B$18*Q70+$B$19*R70+$B$20*S70+$B$21*T70)/$B$8)/100*$B70/360</f>
        <v/>
      </c>
      <c r="W70" s="33">
        <f>IF($B$11="RCV",1,-1)*(($B$12/100)-(P70/100+$B$13/10000))*$B70/360</f>
        <v/>
      </c>
      <c r="X70" s="23">
        <f>$B$7+I$37*SUMIFS(I$6:I$35,$G$6:$G$35,"&lt;="&amp;IF($A70="",EDATE($B$5,19),$A70),$F$6:$F$35,"&lt;&gt;")/100</f>
        <v/>
      </c>
      <c r="Y70" s="23">
        <f>$B$7+$B$9*(X70-$B$7)+$C$18/100</f>
        <v/>
      </c>
      <c r="Z70" s="23">
        <f>$B$7+$B$9*(X70-$B$7)+$C$19/100</f>
        <v/>
      </c>
      <c r="AA70" s="23">
        <f>$B$7+$B$9*(AVERAGE(INDEX(X$51:X$86,MAX(1,19)):INDEX(X$51:X$86,20))-$B$7)+$C$20/100</f>
        <v/>
      </c>
      <c r="AB70" s="23">
        <f>$B$7+$B$9*(AVERAGE(INDEX(X$51:X$86,MAX(1,18)):INDEX(X$51:X$86,20))-$B$7)+$C$21/100</f>
        <v/>
      </c>
      <c r="AC70" s="20">
        <f>AC69+AD69</f>
        <v/>
      </c>
      <c r="AD70" s="32">
        <f>AC70*(($B$18*Y70+$B$19*Z70+$B$20*AA70+$B$21*AB70)/$B$8)/100*$B70/360</f>
        <v/>
      </c>
      <c r="AE70" s="33">
        <f>IF($B$11="RCV",1,-1)*(($B$12/100)-(X70/100+$B$13/10000))*$B70/360</f>
        <v/>
      </c>
      <c r="AF70" s="23">
        <f>$B$7+J$37*SUMIFS(J$6:J$35,$G$6:$G$35,"&lt;="&amp;IF($A70="",EDATE($B$5,19),$A70),$F$6:$F$35,"&lt;&gt;")/100</f>
        <v/>
      </c>
      <c r="AG70" s="23">
        <f>$B$7+$B$9*(AF70-$B$7)+$C$18/100</f>
        <v/>
      </c>
      <c r="AH70" s="23">
        <f>$B$7+$B$9*(AF70-$B$7)+$C$19/100</f>
        <v/>
      </c>
      <c r="AI70" s="23">
        <f>$B$7+$B$9*(AVERAGE(INDEX(AF$51:AF$86,MAX(1,19)):INDEX(AF$51:AF$86,20))-$B$7)+$C$20/100</f>
        <v/>
      </c>
      <c r="AJ70" s="23">
        <f>$B$7+$B$9*(AVERAGE(INDEX(AF$51:AF$86,MAX(1,18)):INDEX(AF$51:AF$86,20))-$B$7)+$C$21/100</f>
        <v/>
      </c>
      <c r="AK70" s="20">
        <f>AK69+AL69</f>
        <v/>
      </c>
      <c r="AL70" s="32">
        <f>AK70*(($B$18*AG70+$B$19*AH70+$B$20*AI70+$B$21*AJ70)/$B$8)/100*$B70/360</f>
        <v/>
      </c>
      <c r="AM70" s="33">
        <f>IF($B$11="RCV",1,-1)*(($B$12/100)-(AF70/100+$B$13/10000))*$B70/360</f>
        <v/>
      </c>
      <c r="AN70" s="23">
        <f>$B$7+K$37*SUMIFS(K$6:K$35,$G$6:$G$35,"&lt;="&amp;IF($A70="",EDATE($B$5,19),$A70),$F$6:$F$35,"&lt;&gt;")/100</f>
        <v/>
      </c>
      <c r="AO70" s="23">
        <f>$B$7+$B$9*(AN70-$B$7)+$C$18/100</f>
        <v/>
      </c>
      <c r="AP70" s="23">
        <f>$B$7+$B$9*(AN70-$B$7)+$C$19/100</f>
        <v/>
      </c>
      <c r="AQ70" s="23">
        <f>$B$7+$B$9*(AVERAGE(INDEX(AN$51:AN$86,MAX(1,19)):INDEX(AN$51:AN$86,20))-$B$7)+$C$20/100</f>
        <v/>
      </c>
      <c r="AR70" s="23">
        <f>$B$7+$B$9*(AVERAGE(INDEX(AN$51:AN$86,MAX(1,18)):INDEX(AN$51:AN$86,20))-$B$7)+$C$21/100</f>
        <v/>
      </c>
      <c r="AS70" s="20">
        <f>AS69+AT69</f>
        <v/>
      </c>
      <c r="AT70" s="32">
        <f>AS70*(($B$18*AO70+$B$19*AP70+$B$20*AQ70+$B$21*AR70)/$B$8)/100*$B70/360</f>
        <v/>
      </c>
      <c r="AU70" s="33">
        <f>IF($B$11="RCV",1,-1)*(($B$12/100)-(AN70/100+$B$13/10000))*$B70/360</f>
        <v/>
      </c>
      <c r="AV70" s="23">
        <f>$B$7+L$37*SUMIFS(L$6:L$35,$G$6:$G$35,"&lt;="&amp;IF($A70="",EDATE($B$5,19),$A70),$F$6:$F$35,"&lt;&gt;")/100</f>
        <v/>
      </c>
      <c r="AW70" s="23">
        <f>$B$7+$B$9*(AV70-$B$7)+$C$18/100</f>
        <v/>
      </c>
      <c r="AX70" s="23">
        <f>$B$7+$B$9*(AV70-$B$7)+$C$19/100</f>
        <v/>
      </c>
      <c r="AY70" s="23">
        <f>$B$7+$B$9*(AVERAGE(INDEX(AV$51:AV$86,MAX(1,19)):INDEX(AV$51:AV$86,20))-$B$7)+$C$20/100</f>
        <v/>
      </c>
      <c r="AZ70" s="23">
        <f>$B$7+$B$9*(AVERAGE(INDEX(AV$51:AV$86,MAX(1,18)):INDEX(AV$51:AV$86,20))-$B$7)+$C$21/100</f>
        <v/>
      </c>
      <c r="BA70" s="20">
        <f>BA69+BB69</f>
        <v/>
      </c>
      <c r="BB70" s="32">
        <f>BA70*(($B$18*AW70+$B$19*AX70+$B$20*AY70+$B$21*AZ70)/$B$8)/100*$B70/360</f>
        <v/>
      </c>
      <c r="BC70" s="33">
        <f>IF($B$11="RCV",1,-1)*(($B$12/100)-(AV70/100+$B$13/10000))*$B70/360</f>
        <v/>
      </c>
      <c r="BD70" s="23">
        <f>$B$7+M$37*SUMIFS(M$6:M$35,$G$6:$G$35,"&lt;="&amp;IF($A70="",EDATE($B$5,19),$A70),$F$6:$F$35,"&lt;&gt;")/100</f>
        <v/>
      </c>
      <c r="BE70" s="23">
        <f>$B$7+$B$9*(BD70-$B$7)+$C$18/100</f>
        <v/>
      </c>
      <c r="BF70" s="23">
        <f>$B$7+$B$9*(BD70-$B$7)+$C$19/100</f>
        <v/>
      </c>
      <c r="BG70" s="23">
        <f>$B$7+$B$9*(AVERAGE(INDEX(BD$51:BD$86,MAX(1,19)):INDEX(BD$51:BD$86,20))-$B$7)+$C$20/100</f>
        <v/>
      </c>
      <c r="BH70" s="23">
        <f>$B$7+$B$9*(AVERAGE(INDEX(BD$51:BD$86,MAX(1,18)):INDEX(BD$51:BD$86,20))-$B$7)+$C$21/100</f>
        <v/>
      </c>
      <c r="BI70" s="20">
        <f>BI69+BJ69</f>
        <v/>
      </c>
      <c r="BJ70" s="32">
        <f>BI70*(($B$18*BE70+$B$19*BF70+$B$20*BG70+$B$21*BH70)/$B$8)/100*$B70/360</f>
        <v/>
      </c>
      <c r="BK70" s="33">
        <f>IF($B$11="RCV",1,-1)*(($B$12/100)-(BD70/100+$B$13/10000))*$B70/360</f>
        <v/>
      </c>
      <c r="BL70" s="23">
        <f>$B$7+N$37*SUMIFS(N$6:N$35,$G$6:$G$35,"&lt;="&amp;IF($A70="",EDATE($B$5,19),$A70),$F$6:$F$35,"&lt;&gt;")/100</f>
        <v/>
      </c>
      <c r="BM70" s="23">
        <f>$B$7+$B$9*(BL70-$B$7)+$C$18/100</f>
        <v/>
      </c>
      <c r="BN70" s="23">
        <f>$B$7+$B$9*(BL70-$B$7)+$C$19/100</f>
        <v/>
      </c>
      <c r="BO70" s="23">
        <f>$B$7+$B$9*(AVERAGE(INDEX(BL$51:BL$86,MAX(1,19)):INDEX(BL$51:BL$86,20))-$B$7)+$C$20/100</f>
        <v/>
      </c>
      <c r="BP70" s="23">
        <f>$B$7+$B$9*(AVERAGE(INDEX(BL$51:BL$86,MAX(1,18)):INDEX(BL$51:BL$86,20))-$B$7)+$C$21/100</f>
        <v/>
      </c>
      <c r="BQ70" s="20">
        <f>BQ69+BR69</f>
        <v/>
      </c>
      <c r="BR70" s="32">
        <f>BQ70*(($B$18*BM70+$B$19*BN70+$B$20*BO70+$B$21*BP70)/$B$8)/100*$B70/360</f>
        <v/>
      </c>
      <c r="BS70" s="33">
        <f>IF($B$11="RCV",1,-1)*(($B$12/100)-(BL70/100+$B$13/10000))*$B70/360</f>
        <v/>
      </c>
      <c r="BT70" s="23">
        <f>$B$7+O$37*SUMIFS(O$6:O$35,$G$6:$G$35,"&lt;="&amp;IF($A70="",EDATE($B$5,19),$A70),$F$6:$F$35,"&lt;&gt;")/100</f>
        <v/>
      </c>
      <c r="BU70" s="23">
        <f>$B$7+$B$9*(BT70-$B$7)+$C$18/100</f>
        <v/>
      </c>
      <c r="BV70" s="23">
        <f>$B$7+$B$9*(BT70-$B$7)+$C$19/100</f>
        <v/>
      </c>
      <c r="BW70" s="23">
        <f>$B$7+$B$9*(AVERAGE(INDEX(BT$51:BT$86,MAX(1,19)):INDEX(BT$51:BT$86,20))-$B$7)+$C$20/100</f>
        <v/>
      </c>
      <c r="BX70" s="23">
        <f>$B$7+$B$9*(AVERAGE(INDEX(BT$51:BT$86,MAX(1,18)):INDEX(BT$51:BT$86,20))-$B$7)+$C$21/100</f>
        <v/>
      </c>
      <c r="BY70" s="20">
        <f>BY69+BZ69</f>
        <v/>
      </c>
      <c r="BZ70" s="32">
        <f>BY70*(($B$18*BU70+$B$19*BV70+$B$20*BW70+$B$21*BX70)/$B$8)/100*$B70/360</f>
        <v/>
      </c>
      <c r="CA70" s="33">
        <f>IF($B$11="RCV",1,-1)*(($B$12/100)-(BT70/100+$B$13/10000))*$B70/360</f>
        <v/>
      </c>
    </row>
    <row r="71" outlineLevel="1">
      <c r="A71" s="15">
        <f>IF(20&lt;$B$6,EDATE($B$5,20),"")</f>
        <v/>
      </c>
      <c r="B71" s="24">
        <f>IF(A71="",0,EDATE(A71,1)-A71)</f>
        <v/>
      </c>
      <c r="C71" s="23">
        <f>SUM(D71:O71)</f>
        <v/>
      </c>
      <c r="D71" s="16">
        <f>IF($B71=0,0,IF(AND($B$26&gt;0,$D$26&gt;$A71),$B$26*$C$26/100/12,0))</f>
        <v/>
      </c>
      <c r="E71" s="16">
        <f>IF($B71=0,0,IF(AND($B$27&gt;0,$D$27&gt;$A71),$B$27*$C$27/100/12,0))</f>
        <v/>
      </c>
      <c r="F71" s="16">
        <f>IF($B71=0,0,IF(AND($B$28&gt;0,$D$28&gt;$A71),$B$28*$C$28/100/12,0))</f>
        <v/>
      </c>
      <c r="G71" s="16">
        <f>IF($B71=0,0,IF(AND($B$29&gt;0,$D$29&gt;$A71),$B$29*$C$29/100/12,0))</f>
        <v/>
      </c>
      <c r="H71" s="16">
        <f>IF($B71=0,0,IF(AND($B$30&gt;0,$D$30&gt;$A71),$B$30*$C$30/100/12,0))</f>
        <v/>
      </c>
      <c r="I71" s="16">
        <f>IF($B71=0,0,IF(AND($B$31&gt;0,$D$31&gt;$A71),$B$31*$C$31/100/12,0))</f>
        <v/>
      </c>
      <c r="J71" s="16">
        <f>IF($B71=0,0,IF(AND($B$32&gt;0,$D$32&gt;$A71),$B$32*$C$32/100/12,0))</f>
        <v/>
      </c>
      <c r="K71" s="16">
        <f>IF($B71=0,0,IF(AND($B$33&gt;0,$D$33&gt;$A71),$B$33*$C$33/100/12,0))</f>
        <v/>
      </c>
      <c r="L71" s="16">
        <f>IF($B71=0,0,IF(AND($B$34&gt;0,$D$34&gt;$A71),$B$34*$C$34/100/12,0))</f>
        <v/>
      </c>
      <c r="M71" s="16">
        <f>IF($B71=0,0,IF(AND($B$35&gt;0,$D$35&gt;$A71),$B$35*$C$35/100/12,0))</f>
        <v/>
      </c>
      <c r="N71" s="16">
        <f>IF($B71=0,0,IF(AND($B$36&gt;0,$D$36&gt;$A71),$B$36*$C$36/100/12,0))</f>
        <v/>
      </c>
      <c r="O71" s="16">
        <f>IF($B71=0,0,IF(AND($B$37&gt;0,$D$37&gt;$A71),$B$37*$C$37/100/12,0))</f>
        <v/>
      </c>
      <c r="P71" s="23">
        <f>$B$7+H$37*SUMIFS(H$6:H$35,$G$6:$G$35,"&lt;="&amp;IF($A71="",EDATE($B$5,20),$A71),$F$6:$F$35,"&lt;&gt;")/100</f>
        <v/>
      </c>
      <c r="Q71" s="23">
        <f>$B$7+$B$9*(P71-$B$7)+$C$18/100</f>
        <v/>
      </c>
      <c r="R71" s="23">
        <f>$B$7+$B$9*(P71-$B$7)+$C$19/100</f>
        <v/>
      </c>
      <c r="S71" s="23">
        <f>$B$7+$B$9*(AVERAGE(INDEX(P$51:P$86,MAX(1,20)):INDEX(P$51:P$86,21))-$B$7)+$C$20/100</f>
        <v/>
      </c>
      <c r="T71" s="23">
        <f>$B$7+$B$9*(AVERAGE(INDEX(P$51:P$86,MAX(1,19)):INDEX(P$51:P$86,21))-$B$7)+$C$21/100</f>
        <v/>
      </c>
      <c r="U71" s="20">
        <f>U70+V70</f>
        <v/>
      </c>
      <c r="V71" s="32">
        <f>U71*(($B$18*Q71+$B$19*R71+$B$20*S71+$B$21*T71)/$B$8)/100*$B71/360</f>
        <v/>
      </c>
      <c r="W71" s="33">
        <f>IF($B$11="RCV",1,-1)*(($B$12/100)-(P71/100+$B$13/10000))*$B71/360</f>
        <v/>
      </c>
      <c r="X71" s="23">
        <f>$B$7+I$37*SUMIFS(I$6:I$35,$G$6:$G$35,"&lt;="&amp;IF($A71="",EDATE($B$5,20),$A71),$F$6:$F$35,"&lt;&gt;")/100</f>
        <v/>
      </c>
      <c r="Y71" s="23">
        <f>$B$7+$B$9*(X71-$B$7)+$C$18/100</f>
        <v/>
      </c>
      <c r="Z71" s="23">
        <f>$B$7+$B$9*(X71-$B$7)+$C$19/100</f>
        <v/>
      </c>
      <c r="AA71" s="23">
        <f>$B$7+$B$9*(AVERAGE(INDEX(X$51:X$86,MAX(1,20)):INDEX(X$51:X$86,21))-$B$7)+$C$20/100</f>
        <v/>
      </c>
      <c r="AB71" s="23">
        <f>$B$7+$B$9*(AVERAGE(INDEX(X$51:X$86,MAX(1,19)):INDEX(X$51:X$86,21))-$B$7)+$C$21/100</f>
        <v/>
      </c>
      <c r="AC71" s="20">
        <f>AC70+AD70</f>
        <v/>
      </c>
      <c r="AD71" s="32">
        <f>AC71*(($B$18*Y71+$B$19*Z71+$B$20*AA71+$B$21*AB71)/$B$8)/100*$B71/360</f>
        <v/>
      </c>
      <c r="AE71" s="33">
        <f>IF($B$11="RCV",1,-1)*(($B$12/100)-(X71/100+$B$13/10000))*$B71/360</f>
        <v/>
      </c>
      <c r="AF71" s="23">
        <f>$B$7+J$37*SUMIFS(J$6:J$35,$G$6:$G$35,"&lt;="&amp;IF($A71="",EDATE($B$5,20),$A71),$F$6:$F$35,"&lt;&gt;")/100</f>
        <v/>
      </c>
      <c r="AG71" s="23">
        <f>$B$7+$B$9*(AF71-$B$7)+$C$18/100</f>
        <v/>
      </c>
      <c r="AH71" s="23">
        <f>$B$7+$B$9*(AF71-$B$7)+$C$19/100</f>
        <v/>
      </c>
      <c r="AI71" s="23">
        <f>$B$7+$B$9*(AVERAGE(INDEX(AF$51:AF$86,MAX(1,20)):INDEX(AF$51:AF$86,21))-$B$7)+$C$20/100</f>
        <v/>
      </c>
      <c r="AJ71" s="23">
        <f>$B$7+$B$9*(AVERAGE(INDEX(AF$51:AF$86,MAX(1,19)):INDEX(AF$51:AF$86,21))-$B$7)+$C$21/100</f>
        <v/>
      </c>
      <c r="AK71" s="20">
        <f>AK70+AL70</f>
        <v/>
      </c>
      <c r="AL71" s="32">
        <f>AK71*(($B$18*AG71+$B$19*AH71+$B$20*AI71+$B$21*AJ71)/$B$8)/100*$B71/360</f>
        <v/>
      </c>
      <c r="AM71" s="33">
        <f>IF($B$11="RCV",1,-1)*(($B$12/100)-(AF71/100+$B$13/10000))*$B71/360</f>
        <v/>
      </c>
      <c r="AN71" s="23">
        <f>$B$7+K$37*SUMIFS(K$6:K$35,$G$6:$G$35,"&lt;="&amp;IF($A71="",EDATE($B$5,20),$A71),$F$6:$F$35,"&lt;&gt;")/100</f>
        <v/>
      </c>
      <c r="AO71" s="23">
        <f>$B$7+$B$9*(AN71-$B$7)+$C$18/100</f>
        <v/>
      </c>
      <c r="AP71" s="23">
        <f>$B$7+$B$9*(AN71-$B$7)+$C$19/100</f>
        <v/>
      </c>
      <c r="AQ71" s="23">
        <f>$B$7+$B$9*(AVERAGE(INDEX(AN$51:AN$86,MAX(1,20)):INDEX(AN$51:AN$86,21))-$B$7)+$C$20/100</f>
        <v/>
      </c>
      <c r="AR71" s="23">
        <f>$B$7+$B$9*(AVERAGE(INDEX(AN$51:AN$86,MAX(1,19)):INDEX(AN$51:AN$86,21))-$B$7)+$C$21/100</f>
        <v/>
      </c>
      <c r="AS71" s="20">
        <f>AS70+AT70</f>
        <v/>
      </c>
      <c r="AT71" s="32">
        <f>AS71*(($B$18*AO71+$B$19*AP71+$B$20*AQ71+$B$21*AR71)/$B$8)/100*$B71/360</f>
        <v/>
      </c>
      <c r="AU71" s="33">
        <f>IF($B$11="RCV",1,-1)*(($B$12/100)-(AN71/100+$B$13/10000))*$B71/360</f>
        <v/>
      </c>
      <c r="AV71" s="23">
        <f>$B$7+L$37*SUMIFS(L$6:L$35,$G$6:$G$35,"&lt;="&amp;IF($A71="",EDATE($B$5,20),$A71),$F$6:$F$35,"&lt;&gt;")/100</f>
        <v/>
      </c>
      <c r="AW71" s="23">
        <f>$B$7+$B$9*(AV71-$B$7)+$C$18/100</f>
        <v/>
      </c>
      <c r="AX71" s="23">
        <f>$B$7+$B$9*(AV71-$B$7)+$C$19/100</f>
        <v/>
      </c>
      <c r="AY71" s="23">
        <f>$B$7+$B$9*(AVERAGE(INDEX(AV$51:AV$86,MAX(1,20)):INDEX(AV$51:AV$86,21))-$B$7)+$C$20/100</f>
        <v/>
      </c>
      <c r="AZ71" s="23">
        <f>$B$7+$B$9*(AVERAGE(INDEX(AV$51:AV$86,MAX(1,19)):INDEX(AV$51:AV$86,21))-$B$7)+$C$21/100</f>
        <v/>
      </c>
      <c r="BA71" s="20">
        <f>BA70+BB70</f>
        <v/>
      </c>
      <c r="BB71" s="32">
        <f>BA71*(($B$18*AW71+$B$19*AX71+$B$20*AY71+$B$21*AZ71)/$B$8)/100*$B71/360</f>
        <v/>
      </c>
      <c r="BC71" s="33">
        <f>IF($B$11="RCV",1,-1)*(($B$12/100)-(AV71/100+$B$13/10000))*$B71/360</f>
        <v/>
      </c>
      <c r="BD71" s="23">
        <f>$B$7+M$37*SUMIFS(M$6:M$35,$G$6:$G$35,"&lt;="&amp;IF($A71="",EDATE($B$5,20),$A71),$F$6:$F$35,"&lt;&gt;")/100</f>
        <v/>
      </c>
      <c r="BE71" s="23">
        <f>$B$7+$B$9*(BD71-$B$7)+$C$18/100</f>
        <v/>
      </c>
      <c r="BF71" s="23">
        <f>$B$7+$B$9*(BD71-$B$7)+$C$19/100</f>
        <v/>
      </c>
      <c r="BG71" s="23">
        <f>$B$7+$B$9*(AVERAGE(INDEX(BD$51:BD$86,MAX(1,20)):INDEX(BD$51:BD$86,21))-$B$7)+$C$20/100</f>
        <v/>
      </c>
      <c r="BH71" s="23">
        <f>$B$7+$B$9*(AVERAGE(INDEX(BD$51:BD$86,MAX(1,19)):INDEX(BD$51:BD$86,21))-$B$7)+$C$21/100</f>
        <v/>
      </c>
      <c r="BI71" s="20">
        <f>BI70+BJ70</f>
        <v/>
      </c>
      <c r="BJ71" s="32">
        <f>BI71*(($B$18*BE71+$B$19*BF71+$B$20*BG71+$B$21*BH71)/$B$8)/100*$B71/360</f>
        <v/>
      </c>
      <c r="BK71" s="33">
        <f>IF($B$11="RCV",1,-1)*(($B$12/100)-(BD71/100+$B$13/10000))*$B71/360</f>
        <v/>
      </c>
      <c r="BL71" s="23">
        <f>$B$7+N$37*SUMIFS(N$6:N$35,$G$6:$G$35,"&lt;="&amp;IF($A71="",EDATE($B$5,20),$A71),$F$6:$F$35,"&lt;&gt;")/100</f>
        <v/>
      </c>
      <c r="BM71" s="23">
        <f>$B$7+$B$9*(BL71-$B$7)+$C$18/100</f>
        <v/>
      </c>
      <c r="BN71" s="23">
        <f>$B$7+$B$9*(BL71-$B$7)+$C$19/100</f>
        <v/>
      </c>
      <c r="BO71" s="23">
        <f>$B$7+$B$9*(AVERAGE(INDEX(BL$51:BL$86,MAX(1,20)):INDEX(BL$51:BL$86,21))-$B$7)+$C$20/100</f>
        <v/>
      </c>
      <c r="BP71" s="23">
        <f>$B$7+$B$9*(AVERAGE(INDEX(BL$51:BL$86,MAX(1,19)):INDEX(BL$51:BL$86,21))-$B$7)+$C$21/100</f>
        <v/>
      </c>
      <c r="BQ71" s="20">
        <f>BQ70+BR70</f>
        <v/>
      </c>
      <c r="BR71" s="32">
        <f>BQ71*(($B$18*BM71+$B$19*BN71+$B$20*BO71+$B$21*BP71)/$B$8)/100*$B71/360</f>
        <v/>
      </c>
      <c r="BS71" s="33">
        <f>IF($B$11="RCV",1,-1)*(($B$12/100)-(BL71/100+$B$13/10000))*$B71/360</f>
        <v/>
      </c>
      <c r="BT71" s="23">
        <f>$B$7+O$37*SUMIFS(O$6:O$35,$G$6:$G$35,"&lt;="&amp;IF($A71="",EDATE($B$5,20),$A71),$F$6:$F$35,"&lt;&gt;")/100</f>
        <v/>
      </c>
      <c r="BU71" s="23">
        <f>$B$7+$B$9*(BT71-$B$7)+$C$18/100</f>
        <v/>
      </c>
      <c r="BV71" s="23">
        <f>$B$7+$B$9*(BT71-$B$7)+$C$19/100</f>
        <v/>
      </c>
      <c r="BW71" s="23">
        <f>$B$7+$B$9*(AVERAGE(INDEX(BT$51:BT$86,MAX(1,20)):INDEX(BT$51:BT$86,21))-$B$7)+$C$20/100</f>
        <v/>
      </c>
      <c r="BX71" s="23">
        <f>$B$7+$B$9*(AVERAGE(INDEX(BT$51:BT$86,MAX(1,19)):INDEX(BT$51:BT$86,21))-$B$7)+$C$21/100</f>
        <v/>
      </c>
      <c r="BY71" s="20">
        <f>BY70+BZ70</f>
        <v/>
      </c>
      <c r="BZ71" s="32">
        <f>BY71*(($B$18*BU71+$B$19*BV71+$B$20*BW71+$B$21*BX71)/$B$8)/100*$B71/360</f>
        <v/>
      </c>
      <c r="CA71" s="33">
        <f>IF($B$11="RCV",1,-1)*(($B$12/100)-(BT71/100+$B$13/10000))*$B71/360</f>
        <v/>
      </c>
    </row>
    <row r="72" outlineLevel="1">
      <c r="A72" s="15">
        <f>IF(21&lt;$B$6,EDATE($B$5,21),"")</f>
        <v/>
      </c>
      <c r="B72" s="24">
        <f>IF(A72="",0,EDATE(A72,1)-A72)</f>
        <v/>
      </c>
      <c r="C72" s="23">
        <f>SUM(D72:O72)</f>
        <v/>
      </c>
      <c r="D72" s="16">
        <f>IF($B72=0,0,IF(AND($B$26&gt;0,$D$26&gt;$A72),$B$26*$C$26/100/12,0))</f>
        <v/>
      </c>
      <c r="E72" s="16">
        <f>IF($B72=0,0,IF(AND($B$27&gt;0,$D$27&gt;$A72),$B$27*$C$27/100/12,0))</f>
        <v/>
      </c>
      <c r="F72" s="16">
        <f>IF($B72=0,0,IF(AND($B$28&gt;0,$D$28&gt;$A72),$B$28*$C$28/100/12,0))</f>
        <v/>
      </c>
      <c r="G72" s="16">
        <f>IF($B72=0,0,IF(AND($B$29&gt;0,$D$29&gt;$A72),$B$29*$C$29/100/12,0))</f>
        <v/>
      </c>
      <c r="H72" s="16">
        <f>IF($B72=0,0,IF(AND($B$30&gt;0,$D$30&gt;$A72),$B$30*$C$30/100/12,0))</f>
        <v/>
      </c>
      <c r="I72" s="16">
        <f>IF($B72=0,0,IF(AND($B$31&gt;0,$D$31&gt;$A72),$B$31*$C$31/100/12,0))</f>
        <v/>
      </c>
      <c r="J72" s="16">
        <f>IF($B72=0,0,IF(AND($B$32&gt;0,$D$32&gt;$A72),$B$32*$C$32/100/12,0))</f>
        <v/>
      </c>
      <c r="K72" s="16">
        <f>IF($B72=0,0,IF(AND($B$33&gt;0,$D$33&gt;$A72),$B$33*$C$33/100/12,0))</f>
        <v/>
      </c>
      <c r="L72" s="16">
        <f>IF($B72=0,0,IF(AND($B$34&gt;0,$D$34&gt;$A72),$B$34*$C$34/100/12,0))</f>
        <v/>
      </c>
      <c r="M72" s="16">
        <f>IF($B72=0,0,IF(AND($B$35&gt;0,$D$35&gt;$A72),$B$35*$C$35/100/12,0))</f>
        <v/>
      </c>
      <c r="N72" s="16">
        <f>IF($B72=0,0,IF(AND($B$36&gt;0,$D$36&gt;$A72),$B$36*$C$36/100/12,0))</f>
        <v/>
      </c>
      <c r="O72" s="16">
        <f>IF($B72=0,0,IF(AND($B$37&gt;0,$D$37&gt;$A72),$B$37*$C$37/100/12,0))</f>
        <v/>
      </c>
      <c r="P72" s="23">
        <f>$B$7+H$37*SUMIFS(H$6:H$35,$G$6:$G$35,"&lt;="&amp;IF($A72="",EDATE($B$5,21),$A72),$F$6:$F$35,"&lt;&gt;")/100</f>
        <v/>
      </c>
      <c r="Q72" s="23">
        <f>$B$7+$B$9*(P72-$B$7)+$C$18/100</f>
        <v/>
      </c>
      <c r="R72" s="23">
        <f>$B$7+$B$9*(P72-$B$7)+$C$19/100</f>
        <v/>
      </c>
      <c r="S72" s="23">
        <f>$B$7+$B$9*(AVERAGE(INDEX(P$51:P$86,MAX(1,21)):INDEX(P$51:P$86,22))-$B$7)+$C$20/100</f>
        <v/>
      </c>
      <c r="T72" s="23">
        <f>$B$7+$B$9*(AVERAGE(INDEX(P$51:P$86,MAX(1,20)):INDEX(P$51:P$86,22))-$B$7)+$C$21/100</f>
        <v/>
      </c>
      <c r="U72" s="20">
        <f>U71+V71</f>
        <v/>
      </c>
      <c r="V72" s="32">
        <f>U72*(($B$18*Q72+$B$19*R72+$B$20*S72+$B$21*T72)/$B$8)/100*$B72/360</f>
        <v/>
      </c>
      <c r="W72" s="33">
        <f>IF($B$11="RCV",1,-1)*(($B$12/100)-(P72/100+$B$13/10000))*$B72/360</f>
        <v/>
      </c>
      <c r="X72" s="23">
        <f>$B$7+I$37*SUMIFS(I$6:I$35,$G$6:$G$35,"&lt;="&amp;IF($A72="",EDATE($B$5,21),$A72),$F$6:$F$35,"&lt;&gt;")/100</f>
        <v/>
      </c>
      <c r="Y72" s="23">
        <f>$B$7+$B$9*(X72-$B$7)+$C$18/100</f>
        <v/>
      </c>
      <c r="Z72" s="23">
        <f>$B$7+$B$9*(X72-$B$7)+$C$19/100</f>
        <v/>
      </c>
      <c r="AA72" s="23">
        <f>$B$7+$B$9*(AVERAGE(INDEX(X$51:X$86,MAX(1,21)):INDEX(X$51:X$86,22))-$B$7)+$C$20/100</f>
        <v/>
      </c>
      <c r="AB72" s="23">
        <f>$B$7+$B$9*(AVERAGE(INDEX(X$51:X$86,MAX(1,20)):INDEX(X$51:X$86,22))-$B$7)+$C$21/100</f>
        <v/>
      </c>
      <c r="AC72" s="20">
        <f>AC71+AD71</f>
        <v/>
      </c>
      <c r="AD72" s="32">
        <f>AC72*(($B$18*Y72+$B$19*Z72+$B$20*AA72+$B$21*AB72)/$B$8)/100*$B72/360</f>
        <v/>
      </c>
      <c r="AE72" s="33">
        <f>IF($B$11="RCV",1,-1)*(($B$12/100)-(X72/100+$B$13/10000))*$B72/360</f>
        <v/>
      </c>
      <c r="AF72" s="23">
        <f>$B$7+J$37*SUMIFS(J$6:J$35,$G$6:$G$35,"&lt;="&amp;IF($A72="",EDATE($B$5,21),$A72),$F$6:$F$35,"&lt;&gt;")/100</f>
        <v/>
      </c>
      <c r="AG72" s="23">
        <f>$B$7+$B$9*(AF72-$B$7)+$C$18/100</f>
        <v/>
      </c>
      <c r="AH72" s="23">
        <f>$B$7+$B$9*(AF72-$B$7)+$C$19/100</f>
        <v/>
      </c>
      <c r="AI72" s="23">
        <f>$B$7+$B$9*(AVERAGE(INDEX(AF$51:AF$86,MAX(1,21)):INDEX(AF$51:AF$86,22))-$B$7)+$C$20/100</f>
        <v/>
      </c>
      <c r="AJ72" s="23">
        <f>$B$7+$B$9*(AVERAGE(INDEX(AF$51:AF$86,MAX(1,20)):INDEX(AF$51:AF$86,22))-$B$7)+$C$21/100</f>
        <v/>
      </c>
      <c r="AK72" s="20">
        <f>AK71+AL71</f>
        <v/>
      </c>
      <c r="AL72" s="32">
        <f>AK72*(($B$18*AG72+$B$19*AH72+$B$20*AI72+$B$21*AJ72)/$B$8)/100*$B72/360</f>
        <v/>
      </c>
      <c r="AM72" s="33">
        <f>IF($B$11="RCV",1,-1)*(($B$12/100)-(AF72/100+$B$13/10000))*$B72/360</f>
        <v/>
      </c>
      <c r="AN72" s="23">
        <f>$B$7+K$37*SUMIFS(K$6:K$35,$G$6:$G$35,"&lt;="&amp;IF($A72="",EDATE($B$5,21),$A72),$F$6:$F$35,"&lt;&gt;")/100</f>
        <v/>
      </c>
      <c r="AO72" s="23">
        <f>$B$7+$B$9*(AN72-$B$7)+$C$18/100</f>
        <v/>
      </c>
      <c r="AP72" s="23">
        <f>$B$7+$B$9*(AN72-$B$7)+$C$19/100</f>
        <v/>
      </c>
      <c r="AQ72" s="23">
        <f>$B$7+$B$9*(AVERAGE(INDEX(AN$51:AN$86,MAX(1,21)):INDEX(AN$51:AN$86,22))-$B$7)+$C$20/100</f>
        <v/>
      </c>
      <c r="AR72" s="23">
        <f>$B$7+$B$9*(AVERAGE(INDEX(AN$51:AN$86,MAX(1,20)):INDEX(AN$51:AN$86,22))-$B$7)+$C$21/100</f>
        <v/>
      </c>
      <c r="AS72" s="20">
        <f>AS71+AT71</f>
        <v/>
      </c>
      <c r="AT72" s="32">
        <f>AS72*(($B$18*AO72+$B$19*AP72+$B$20*AQ72+$B$21*AR72)/$B$8)/100*$B72/360</f>
        <v/>
      </c>
      <c r="AU72" s="33">
        <f>IF($B$11="RCV",1,-1)*(($B$12/100)-(AN72/100+$B$13/10000))*$B72/360</f>
        <v/>
      </c>
      <c r="AV72" s="23">
        <f>$B$7+L$37*SUMIFS(L$6:L$35,$G$6:$G$35,"&lt;="&amp;IF($A72="",EDATE($B$5,21),$A72),$F$6:$F$35,"&lt;&gt;")/100</f>
        <v/>
      </c>
      <c r="AW72" s="23">
        <f>$B$7+$B$9*(AV72-$B$7)+$C$18/100</f>
        <v/>
      </c>
      <c r="AX72" s="23">
        <f>$B$7+$B$9*(AV72-$B$7)+$C$19/100</f>
        <v/>
      </c>
      <c r="AY72" s="23">
        <f>$B$7+$B$9*(AVERAGE(INDEX(AV$51:AV$86,MAX(1,21)):INDEX(AV$51:AV$86,22))-$B$7)+$C$20/100</f>
        <v/>
      </c>
      <c r="AZ72" s="23">
        <f>$B$7+$B$9*(AVERAGE(INDEX(AV$51:AV$86,MAX(1,20)):INDEX(AV$51:AV$86,22))-$B$7)+$C$21/100</f>
        <v/>
      </c>
      <c r="BA72" s="20">
        <f>BA71+BB71</f>
        <v/>
      </c>
      <c r="BB72" s="32">
        <f>BA72*(($B$18*AW72+$B$19*AX72+$B$20*AY72+$B$21*AZ72)/$B$8)/100*$B72/360</f>
        <v/>
      </c>
      <c r="BC72" s="33">
        <f>IF($B$11="RCV",1,-1)*(($B$12/100)-(AV72/100+$B$13/10000))*$B72/360</f>
        <v/>
      </c>
      <c r="BD72" s="23">
        <f>$B$7+M$37*SUMIFS(M$6:M$35,$G$6:$G$35,"&lt;="&amp;IF($A72="",EDATE($B$5,21),$A72),$F$6:$F$35,"&lt;&gt;")/100</f>
        <v/>
      </c>
      <c r="BE72" s="23">
        <f>$B$7+$B$9*(BD72-$B$7)+$C$18/100</f>
        <v/>
      </c>
      <c r="BF72" s="23">
        <f>$B$7+$B$9*(BD72-$B$7)+$C$19/100</f>
        <v/>
      </c>
      <c r="BG72" s="23">
        <f>$B$7+$B$9*(AVERAGE(INDEX(BD$51:BD$86,MAX(1,21)):INDEX(BD$51:BD$86,22))-$B$7)+$C$20/100</f>
        <v/>
      </c>
      <c r="BH72" s="23">
        <f>$B$7+$B$9*(AVERAGE(INDEX(BD$51:BD$86,MAX(1,20)):INDEX(BD$51:BD$86,22))-$B$7)+$C$21/100</f>
        <v/>
      </c>
      <c r="BI72" s="20">
        <f>BI71+BJ71</f>
        <v/>
      </c>
      <c r="BJ72" s="32">
        <f>BI72*(($B$18*BE72+$B$19*BF72+$B$20*BG72+$B$21*BH72)/$B$8)/100*$B72/360</f>
        <v/>
      </c>
      <c r="BK72" s="33">
        <f>IF($B$11="RCV",1,-1)*(($B$12/100)-(BD72/100+$B$13/10000))*$B72/360</f>
        <v/>
      </c>
      <c r="BL72" s="23">
        <f>$B$7+N$37*SUMIFS(N$6:N$35,$G$6:$G$35,"&lt;="&amp;IF($A72="",EDATE($B$5,21),$A72),$F$6:$F$35,"&lt;&gt;")/100</f>
        <v/>
      </c>
      <c r="BM72" s="23">
        <f>$B$7+$B$9*(BL72-$B$7)+$C$18/100</f>
        <v/>
      </c>
      <c r="BN72" s="23">
        <f>$B$7+$B$9*(BL72-$B$7)+$C$19/100</f>
        <v/>
      </c>
      <c r="BO72" s="23">
        <f>$B$7+$B$9*(AVERAGE(INDEX(BL$51:BL$86,MAX(1,21)):INDEX(BL$51:BL$86,22))-$B$7)+$C$20/100</f>
        <v/>
      </c>
      <c r="BP72" s="23">
        <f>$B$7+$B$9*(AVERAGE(INDEX(BL$51:BL$86,MAX(1,20)):INDEX(BL$51:BL$86,22))-$B$7)+$C$21/100</f>
        <v/>
      </c>
      <c r="BQ72" s="20">
        <f>BQ71+BR71</f>
        <v/>
      </c>
      <c r="BR72" s="32">
        <f>BQ72*(($B$18*BM72+$B$19*BN72+$B$20*BO72+$B$21*BP72)/$B$8)/100*$B72/360</f>
        <v/>
      </c>
      <c r="BS72" s="33">
        <f>IF($B$11="RCV",1,-1)*(($B$12/100)-(BL72/100+$B$13/10000))*$B72/360</f>
        <v/>
      </c>
      <c r="BT72" s="23">
        <f>$B$7+O$37*SUMIFS(O$6:O$35,$G$6:$G$35,"&lt;="&amp;IF($A72="",EDATE($B$5,21),$A72),$F$6:$F$35,"&lt;&gt;")/100</f>
        <v/>
      </c>
      <c r="BU72" s="23">
        <f>$B$7+$B$9*(BT72-$B$7)+$C$18/100</f>
        <v/>
      </c>
      <c r="BV72" s="23">
        <f>$B$7+$B$9*(BT72-$B$7)+$C$19/100</f>
        <v/>
      </c>
      <c r="BW72" s="23">
        <f>$B$7+$B$9*(AVERAGE(INDEX(BT$51:BT$86,MAX(1,21)):INDEX(BT$51:BT$86,22))-$B$7)+$C$20/100</f>
        <v/>
      </c>
      <c r="BX72" s="23">
        <f>$B$7+$B$9*(AVERAGE(INDEX(BT$51:BT$86,MAX(1,20)):INDEX(BT$51:BT$86,22))-$B$7)+$C$21/100</f>
        <v/>
      </c>
      <c r="BY72" s="20">
        <f>BY71+BZ71</f>
        <v/>
      </c>
      <c r="BZ72" s="32">
        <f>BY72*(($B$18*BU72+$B$19*BV72+$B$20*BW72+$B$21*BX72)/$B$8)/100*$B72/360</f>
        <v/>
      </c>
      <c r="CA72" s="33">
        <f>IF($B$11="RCV",1,-1)*(($B$12/100)-(BT72/100+$B$13/10000))*$B72/360</f>
        <v/>
      </c>
    </row>
    <row r="73" outlineLevel="1">
      <c r="A73" s="15">
        <f>IF(22&lt;$B$6,EDATE($B$5,22),"")</f>
        <v/>
      </c>
      <c r="B73" s="24">
        <f>IF(A73="",0,EDATE(A73,1)-A73)</f>
        <v/>
      </c>
      <c r="C73" s="23">
        <f>SUM(D73:O73)</f>
        <v/>
      </c>
      <c r="D73" s="16">
        <f>IF($B73=0,0,IF(AND($B$26&gt;0,$D$26&gt;$A73),$B$26*$C$26/100/12,0))</f>
        <v/>
      </c>
      <c r="E73" s="16">
        <f>IF($B73=0,0,IF(AND($B$27&gt;0,$D$27&gt;$A73),$B$27*$C$27/100/12,0))</f>
        <v/>
      </c>
      <c r="F73" s="16">
        <f>IF($B73=0,0,IF(AND($B$28&gt;0,$D$28&gt;$A73),$B$28*$C$28/100/12,0))</f>
        <v/>
      </c>
      <c r="G73" s="16">
        <f>IF($B73=0,0,IF(AND($B$29&gt;0,$D$29&gt;$A73),$B$29*$C$29/100/12,0))</f>
        <v/>
      </c>
      <c r="H73" s="16">
        <f>IF($B73=0,0,IF(AND($B$30&gt;0,$D$30&gt;$A73),$B$30*$C$30/100/12,0))</f>
        <v/>
      </c>
      <c r="I73" s="16">
        <f>IF($B73=0,0,IF(AND($B$31&gt;0,$D$31&gt;$A73),$B$31*$C$31/100/12,0))</f>
        <v/>
      </c>
      <c r="J73" s="16">
        <f>IF($B73=0,0,IF(AND($B$32&gt;0,$D$32&gt;$A73),$B$32*$C$32/100/12,0))</f>
        <v/>
      </c>
      <c r="K73" s="16">
        <f>IF($B73=0,0,IF(AND($B$33&gt;0,$D$33&gt;$A73),$B$33*$C$33/100/12,0))</f>
        <v/>
      </c>
      <c r="L73" s="16">
        <f>IF($B73=0,0,IF(AND($B$34&gt;0,$D$34&gt;$A73),$B$34*$C$34/100/12,0))</f>
        <v/>
      </c>
      <c r="M73" s="16">
        <f>IF($B73=0,0,IF(AND($B$35&gt;0,$D$35&gt;$A73),$B$35*$C$35/100/12,0))</f>
        <v/>
      </c>
      <c r="N73" s="16">
        <f>IF($B73=0,0,IF(AND($B$36&gt;0,$D$36&gt;$A73),$B$36*$C$36/100/12,0))</f>
        <v/>
      </c>
      <c r="O73" s="16">
        <f>IF($B73=0,0,IF(AND($B$37&gt;0,$D$37&gt;$A73),$B$37*$C$37/100/12,0))</f>
        <v/>
      </c>
      <c r="P73" s="23">
        <f>$B$7+H$37*SUMIFS(H$6:H$35,$G$6:$G$35,"&lt;="&amp;IF($A73="",EDATE($B$5,22),$A73),$F$6:$F$35,"&lt;&gt;")/100</f>
        <v/>
      </c>
      <c r="Q73" s="23">
        <f>$B$7+$B$9*(P73-$B$7)+$C$18/100</f>
        <v/>
      </c>
      <c r="R73" s="23">
        <f>$B$7+$B$9*(P73-$B$7)+$C$19/100</f>
        <v/>
      </c>
      <c r="S73" s="23">
        <f>$B$7+$B$9*(AVERAGE(INDEX(P$51:P$86,MAX(1,22)):INDEX(P$51:P$86,23))-$B$7)+$C$20/100</f>
        <v/>
      </c>
      <c r="T73" s="23">
        <f>$B$7+$B$9*(AVERAGE(INDEX(P$51:P$86,MAX(1,21)):INDEX(P$51:P$86,23))-$B$7)+$C$21/100</f>
        <v/>
      </c>
      <c r="U73" s="20">
        <f>U72+V72</f>
        <v/>
      </c>
      <c r="V73" s="32">
        <f>U73*(($B$18*Q73+$B$19*R73+$B$20*S73+$B$21*T73)/$B$8)/100*$B73/360</f>
        <v/>
      </c>
      <c r="W73" s="33">
        <f>IF($B$11="RCV",1,-1)*(($B$12/100)-(P73/100+$B$13/10000))*$B73/360</f>
        <v/>
      </c>
      <c r="X73" s="23">
        <f>$B$7+I$37*SUMIFS(I$6:I$35,$G$6:$G$35,"&lt;="&amp;IF($A73="",EDATE($B$5,22),$A73),$F$6:$F$35,"&lt;&gt;")/100</f>
        <v/>
      </c>
      <c r="Y73" s="23">
        <f>$B$7+$B$9*(X73-$B$7)+$C$18/100</f>
        <v/>
      </c>
      <c r="Z73" s="23">
        <f>$B$7+$B$9*(X73-$B$7)+$C$19/100</f>
        <v/>
      </c>
      <c r="AA73" s="23">
        <f>$B$7+$B$9*(AVERAGE(INDEX(X$51:X$86,MAX(1,22)):INDEX(X$51:X$86,23))-$B$7)+$C$20/100</f>
        <v/>
      </c>
      <c r="AB73" s="23">
        <f>$B$7+$B$9*(AVERAGE(INDEX(X$51:X$86,MAX(1,21)):INDEX(X$51:X$86,23))-$B$7)+$C$21/100</f>
        <v/>
      </c>
      <c r="AC73" s="20">
        <f>AC72+AD72</f>
        <v/>
      </c>
      <c r="AD73" s="32">
        <f>AC73*(($B$18*Y73+$B$19*Z73+$B$20*AA73+$B$21*AB73)/$B$8)/100*$B73/360</f>
        <v/>
      </c>
      <c r="AE73" s="33">
        <f>IF($B$11="RCV",1,-1)*(($B$12/100)-(X73/100+$B$13/10000))*$B73/360</f>
        <v/>
      </c>
      <c r="AF73" s="23">
        <f>$B$7+J$37*SUMIFS(J$6:J$35,$G$6:$G$35,"&lt;="&amp;IF($A73="",EDATE($B$5,22),$A73),$F$6:$F$35,"&lt;&gt;")/100</f>
        <v/>
      </c>
      <c r="AG73" s="23">
        <f>$B$7+$B$9*(AF73-$B$7)+$C$18/100</f>
        <v/>
      </c>
      <c r="AH73" s="23">
        <f>$B$7+$B$9*(AF73-$B$7)+$C$19/100</f>
        <v/>
      </c>
      <c r="AI73" s="23">
        <f>$B$7+$B$9*(AVERAGE(INDEX(AF$51:AF$86,MAX(1,22)):INDEX(AF$51:AF$86,23))-$B$7)+$C$20/100</f>
        <v/>
      </c>
      <c r="AJ73" s="23">
        <f>$B$7+$B$9*(AVERAGE(INDEX(AF$51:AF$86,MAX(1,21)):INDEX(AF$51:AF$86,23))-$B$7)+$C$21/100</f>
        <v/>
      </c>
      <c r="AK73" s="20">
        <f>AK72+AL72</f>
        <v/>
      </c>
      <c r="AL73" s="32">
        <f>AK73*(($B$18*AG73+$B$19*AH73+$B$20*AI73+$B$21*AJ73)/$B$8)/100*$B73/360</f>
        <v/>
      </c>
      <c r="AM73" s="33">
        <f>IF($B$11="RCV",1,-1)*(($B$12/100)-(AF73/100+$B$13/10000))*$B73/360</f>
        <v/>
      </c>
      <c r="AN73" s="23">
        <f>$B$7+K$37*SUMIFS(K$6:K$35,$G$6:$G$35,"&lt;="&amp;IF($A73="",EDATE($B$5,22),$A73),$F$6:$F$35,"&lt;&gt;")/100</f>
        <v/>
      </c>
      <c r="AO73" s="23">
        <f>$B$7+$B$9*(AN73-$B$7)+$C$18/100</f>
        <v/>
      </c>
      <c r="AP73" s="23">
        <f>$B$7+$B$9*(AN73-$B$7)+$C$19/100</f>
        <v/>
      </c>
      <c r="AQ73" s="23">
        <f>$B$7+$B$9*(AVERAGE(INDEX(AN$51:AN$86,MAX(1,22)):INDEX(AN$51:AN$86,23))-$B$7)+$C$20/100</f>
        <v/>
      </c>
      <c r="AR73" s="23">
        <f>$B$7+$B$9*(AVERAGE(INDEX(AN$51:AN$86,MAX(1,21)):INDEX(AN$51:AN$86,23))-$B$7)+$C$21/100</f>
        <v/>
      </c>
      <c r="AS73" s="20">
        <f>AS72+AT72</f>
        <v/>
      </c>
      <c r="AT73" s="32">
        <f>AS73*(($B$18*AO73+$B$19*AP73+$B$20*AQ73+$B$21*AR73)/$B$8)/100*$B73/360</f>
        <v/>
      </c>
      <c r="AU73" s="33">
        <f>IF($B$11="RCV",1,-1)*(($B$12/100)-(AN73/100+$B$13/10000))*$B73/360</f>
        <v/>
      </c>
      <c r="AV73" s="23">
        <f>$B$7+L$37*SUMIFS(L$6:L$35,$G$6:$G$35,"&lt;="&amp;IF($A73="",EDATE($B$5,22),$A73),$F$6:$F$35,"&lt;&gt;")/100</f>
        <v/>
      </c>
      <c r="AW73" s="23">
        <f>$B$7+$B$9*(AV73-$B$7)+$C$18/100</f>
        <v/>
      </c>
      <c r="AX73" s="23">
        <f>$B$7+$B$9*(AV73-$B$7)+$C$19/100</f>
        <v/>
      </c>
      <c r="AY73" s="23">
        <f>$B$7+$B$9*(AVERAGE(INDEX(AV$51:AV$86,MAX(1,22)):INDEX(AV$51:AV$86,23))-$B$7)+$C$20/100</f>
        <v/>
      </c>
      <c r="AZ73" s="23">
        <f>$B$7+$B$9*(AVERAGE(INDEX(AV$51:AV$86,MAX(1,21)):INDEX(AV$51:AV$86,23))-$B$7)+$C$21/100</f>
        <v/>
      </c>
      <c r="BA73" s="20">
        <f>BA72+BB72</f>
        <v/>
      </c>
      <c r="BB73" s="32">
        <f>BA73*(($B$18*AW73+$B$19*AX73+$B$20*AY73+$B$21*AZ73)/$B$8)/100*$B73/360</f>
        <v/>
      </c>
      <c r="BC73" s="33">
        <f>IF($B$11="RCV",1,-1)*(($B$12/100)-(AV73/100+$B$13/10000))*$B73/360</f>
        <v/>
      </c>
      <c r="BD73" s="23">
        <f>$B$7+M$37*SUMIFS(M$6:M$35,$G$6:$G$35,"&lt;="&amp;IF($A73="",EDATE($B$5,22),$A73),$F$6:$F$35,"&lt;&gt;")/100</f>
        <v/>
      </c>
      <c r="BE73" s="23">
        <f>$B$7+$B$9*(BD73-$B$7)+$C$18/100</f>
        <v/>
      </c>
      <c r="BF73" s="23">
        <f>$B$7+$B$9*(BD73-$B$7)+$C$19/100</f>
        <v/>
      </c>
      <c r="BG73" s="23">
        <f>$B$7+$B$9*(AVERAGE(INDEX(BD$51:BD$86,MAX(1,22)):INDEX(BD$51:BD$86,23))-$B$7)+$C$20/100</f>
        <v/>
      </c>
      <c r="BH73" s="23">
        <f>$B$7+$B$9*(AVERAGE(INDEX(BD$51:BD$86,MAX(1,21)):INDEX(BD$51:BD$86,23))-$B$7)+$C$21/100</f>
        <v/>
      </c>
      <c r="BI73" s="20">
        <f>BI72+BJ72</f>
        <v/>
      </c>
      <c r="BJ73" s="32">
        <f>BI73*(($B$18*BE73+$B$19*BF73+$B$20*BG73+$B$21*BH73)/$B$8)/100*$B73/360</f>
        <v/>
      </c>
      <c r="BK73" s="33">
        <f>IF($B$11="RCV",1,-1)*(($B$12/100)-(BD73/100+$B$13/10000))*$B73/360</f>
        <v/>
      </c>
      <c r="BL73" s="23">
        <f>$B$7+N$37*SUMIFS(N$6:N$35,$G$6:$G$35,"&lt;="&amp;IF($A73="",EDATE($B$5,22),$A73),$F$6:$F$35,"&lt;&gt;")/100</f>
        <v/>
      </c>
      <c r="BM73" s="23">
        <f>$B$7+$B$9*(BL73-$B$7)+$C$18/100</f>
        <v/>
      </c>
      <c r="BN73" s="23">
        <f>$B$7+$B$9*(BL73-$B$7)+$C$19/100</f>
        <v/>
      </c>
      <c r="BO73" s="23">
        <f>$B$7+$B$9*(AVERAGE(INDEX(BL$51:BL$86,MAX(1,22)):INDEX(BL$51:BL$86,23))-$B$7)+$C$20/100</f>
        <v/>
      </c>
      <c r="BP73" s="23">
        <f>$B$7+$B$9*(AVERAGE(INDEX(BL$51:BL$86,MAX(1,21)):INDEX(BL$51:BL$86,23))-$B$7)+$C$21/100</f>
        <v/>
      </c>
      <c r="BQ73" s="20">
        <f>BQ72+BR72</f>
        <v/>
      </c>
      <c r="BR73" s="32">
        <f>BQ73*(($B$18*BM73+$B$19*BN73+$B$20*BO73+$B$21*BP73)/$B$8)/100*$B73/360</f>
        <v/>
      </c>
      <c r="BS73" s="33">
        <f>IF($B$11="RCV",1,-1)*(($B$12/100)-(BL73/100+$B$13/10000))*$B73/360</f>
        <v/>
      </c>
      <c r="BT73" s="23">
        <f>$B$7+O$37*SUMIFS(O$6:O$35,$G$6:$G$35,"&lt;="&amp;IF($A73="",EDATE($B$5,22),$A73),$F$6:$F$35,"&lt;&gt;")/100</f>
        <v/>
      </c>
      <c r="BU73" s="23">
        <f>$B$7+$B$9*(BT73-$B$7)+$C$18/100</f>
        <v/>
      </c>
      <c r="BV73" s="23">
        <f>$B$7+$B$9*(BT73-$B$7)+$C$19/100</f>
        <v/>
      </c>
      <c r="BW73" s="23">
        <f>$B$7+$B$9*(AVERAGE(INDEX(BT$51:BT$86,MAX(1,22)):INDEX(BT$51:BT$86,23))-$B$7)+$C$20/100</f>
        <v/>
      </c>
      <c r="BX73" s="23">
        <f>$B$7+$B$9*(AVERAGE(INDEX(BT$51:BT$86,MAX(1,21)):INDEX(BT$51:BT$86,23))-$B$7)+$C$21/100</f>
        <v/>
      </c>
      <c r="BY73" s="20">
        <f>BY72+BZ72</f>
        <v/>
      </c>
      <c r="BZ73" s="32">
        <f>BY73*(($B$18*BU73+$B$19*BV73+$B$20*BW73+$B$21*BX73)/$B$8)/100*$B73/360</f>
        <v/>
      </c>
      <c r="CA73" s="33">
        <f>IF($B$11="RCV",1,-1)*(($B$12/100)-(BT73/100+$B$13/10000))*$B73/360</f>
        <v/>
      </c>
    </row>
    <row r="74" outlineLevel="1">
      <c r="A74" s="15">
        <f>IF(23&lt;$B$6,EDATE($B$5,23),"")</f>
        <v/>
      </c>
      <c r="B74" s="24">
        <f>IF(A74="",0,EDATE(A74,1)-A74)</f>
        <v/>
      </c>
      <c r="C74" s="23">
        <f>SUM(D74:O74)</f>
        <v/>
      </c>
      <c r="D74" s="16">
        <f>IF($B74=0,0,IF(AND($B$26&gt;0,$D$26&gt;$A74),$B$26*$C$26/100/12,0))</f>
        <v/>
      </c>
      <c r="E74" s="16">
        <f>IF($B74=0,0,IF(AND($B$27&gt;0,$D$27&gt;$A74),$B$27*$C$27/100/12,0))</f>
        <v/>
      </c>
      <c r="F74" s="16">
        <f>IF($B74=0,0,IF(AND($B$28&gt;0,$D$28&gt;$A74),$B$28*$C$28/100/12,0))</f>
        <v/>
      </c>
      <c r="G74" s="16">
        <f>IF($B74=0,0,IF(AND($B$29&gt;0,$D$29&gt;$A74),$B$29*$C$29/100/12,0))</f>
        <v/>
      </c>
      <c r="H74" s="16">
        <f>IF($B74=0,0,IF(AND($B$30&gt;0,$D$30&gt;$A74),$B$30*$C$30/100/12,0))</f>
        <v/>
      </c>
      <c r="I74" s="16">
        <f>IF($B74=0,0,IF(AND($B$31&gt;0,$D$31&gt;$A74),$B$31*$C$31/100/12,0))</f>
        <v/>
      </c>
      <c r="J74" s="16">
        <f>IF($B74=0,0,IF(AND($B$32&gt;0,$D$32&gt;$A74),$B$32*$C$32/100/12,0))</f>
        <v/>
      </c>
      <c r="K74" s="16">
        <f>IF($B74=0,0,IF(AND($B$33&gt;0,$D$33&gt;$A74),$B$33*$C$33/100/12,0))</f>
        <v/>
      </c>
      <c r="L74" s="16">
        <f>IF($B74=0,0,IF(AND($B$34&gt;0,$D$34&gt;$A74),$B$34*$C$34/100/12,0))</f>
        <v/>
      </c>
      <c r="M74" s="16">
        <f>IF($B74=0,0,IF(AND($B$35&gt;0,$D$35&gt;$A74),$B$35*$C$35/100/12,0))</f>
        <v/>
      </c>
      <c r="N74" s="16">
        <f>IF($B74=0,0,IF(AND($B$36&gt;0,$D$36&gt;$A74),$B$36*$C$36/100/12,0))</f>
        <v/>
      </c>
      <c r="O74" s="16">
        <f>IF($B74=0,0,IF(AND($B$37&gt;0,$D$37&gt;$A74),$B$37*$C$37/100/12,0))</f>
        <v/>
      </c>
      <c r="P74" s="23">
        <f>$B$7+H$37*SUMIFS(H$6:H$35,$G$6:$G$35,"&lt;="&amp;IF($A74="",EDATE($B$5,23),$A74),$F$6:$F$35,"&lt;&gt;")/100</f>
        <v/>
      </c>
      <c r="Q74" s="23">
        <f>$B$7+$B$9*(P74-$B$7)+$C$18/100</f>
        <v/>
      </c>
      <c r="R74" s="23">
        <f>$B$7+$B$9*(P74-$B$7)+$C$19/100</f>
        <v/>
      </c>
      <c r="S74" s="23">
        <f>$B$7+$B$9*(AVERAGE(INDEX(P$51:P$86,MAX(1,23)):INDEX(P$51:P$86,24))-$B$7)+$C$20/100</f>
        <v/>
      </c>
      <c r="T74" s="23">
        <f>$B$7+$B$9*(AVERAGE(INDEX(P$51:P$86,MAX(1,22)):INDEX(P$51:P$86,24))-$B$7)+$C$21/100</f>
        <v/>
      </c>
      <c r="U74" s="20">
        <f>U73+V73</f>
        <v/>
      </c>
      <c r="V74" s="32">
        <f>U74*(($B$18*Q74+$B$19*R74+$B$20*S74+$B$21*T74)/$B$8)/100*$B74/360</f>
        <v/>
      </c>
      <c r="W74" s="33">
        <f>IF($B$11="RCV",1,-1)*(($B$12/100)-(P74/100+$B$13/10000))*$B74/360</f>
        <v/>
      </c>
      <c r="X74" s="23">
        <f>$B$7+I$37*SUMIFS(I$6:I$35,$G$6:$G$35,"&lt;="&amp;IF($A74="",EDATE($B$5,23),$A74),$F$6:$F$35,"&lt;&gt;")/100</f>
        <v/>
      </c>
      <c r="Y74" s="23">
        <f>$B$7+$B$9*(X74-$B$7)+$C$18/100</f>
        <v/>
      </c>
      <c r="Z74" s="23">
        <f>$B$7+$B$9*(X74-$B$7)+$C$19/100</f>
        <v/>
      </c>
      <c r="AA74" s="23">
        <f>$B$7+$B$9*(AVERAGE(INDEX(X$51:X$86,MAX(1,23)):INDEX(X$51:X$86,24))-$B$7)+$C$20/100</f>
        <v/>
      </c>
      <c r="AB74" s="23">
        <f>$B$7+$B$9*(AVERAGE(INDEX(X$51:X$86,MAX(1,22)):INDEX(X$51:X$86,24))-$B$7)+$C$21/100</f>
        <v/>
      </c>
      <c r="AC74" s="20">
        <f>AC73+AD73</f>
        <v/>
      </c>
      <c r="AD74" s="32">
        <f>AC74*(($B$18*Y74+$B$19*Z74+$B$20*AA74+$B$21*AB74)/$B$8)/100*$B74/360</f>
        <v/>
      </c>
      <c r="AE74" s="33">
        <f>IF($B$11="RCV",1,-1)*(($B$12/100)-(X74/100+$B$13/10000))*$B74/360</f>
        <v/>
      </c>
      <c r="AF74" s="23">
        <f>$B$7+J$37*SUMIFS(J$6:J$35,$G$6:$G$35,"&lt;="&amp;IF($A74="",EDATE($B$5,23),$A74),$F$6:$F$35,"&lt;&gt;")/100</f>
        <v/>
      </c>
      <c r="AG74" s="23">
        <f>$B$7+$B$9*(AF74-$B$7)+$C$18/100</f>
        <v/>
      </c>
      <c r="AH74" s="23">
        <f>$B$7+$B$9*(AF74-$B$7)+$C$19/100</f>
        <v/>
      </c>
      <c r="AI74" s="23">
        <f>$B$7+$B$9*(AVERAGE(INDEX(AF$51:AF$86,MAX(1,23)):INDEX(AF$51:AF$86,24))-$B$7)+$C$20/100</f>
        <v/>
      </c>
      <c r="AJ74" s="23">
        <f>$B$7+$B$9*(AVERAGE(INDEX(AF$51:AF$86,MAX(1,22)):INDEX(AF$51:AF$86,24))-$B$7)+$C$21/100</f>
        <v/>
      </c>
      <c r="AK74" s="20">
        <f>AK73+AL73</f>
        <v/>
      </c>
      <c r="AL74" s="32">
        <f>AK74*(($B$18*AG74+$B$19*AH74+$B$20*AI74+$B$21*AJ74)/$B$8)/100*$B74/360</f>
        <v/>
      </c>
      <c r="AM74" s="33">
        <f>IF($B$11="RCV",1,-1)*(($B$12/100)-(AF74/100+$B$13/10000))*$B74/360</f>
        <v/>
      </c>
      <c r="AN74" s="23">
        <f>$B$7+K$37*SUMIFS(K$6:K$35,$G$6:$G$35,"&lt;="&amp;IF($A74="",EDATE($B$5,23),$A74),$F$6:$F$35,"&lt;&gt;")/100</f>
        <v/>
      </c>
      <c r="AO74" s="23">
        <f>$B$7+$B$9*(AN74-$B$7)+$C$18/100</f>
        <v/>
      </c>
      <c r="AP74" s="23">
        <f>$B$7+$B$9*(AN74-$B$7)+$C$19/100</f>
        <v/>
      </c>
      <c r="AQ74" s="23">
        <f>$B$7+$B$9*(AVERAGE(INDEX(AN$51:AN$86,MAX(1,23)):INDEX(AN$51:AN$86,24))-$B$7)+$C$20/100</f>
        <v/>
      </c>
      <c r="AR74" s="23">
        <f>$B$7+$B$9*(AVERAGE(INDEX(AN$51:AN$86,MAX(1,22)):INDEX(AN$51:AN$86,24))-$B$7)+$C$21/100</f>
        <v/>
      </c>
      <c r="AS74" s="20">
        <f>AS73+AT73</f>
        <v/>
      </c>
      <c r="AT74" s="32">
        <f>AS74*(($B$18*AO74+$B$19*AP74+$B$20*AQ74+$B$21*AR74)/$B$8)/100*$B74/360</f>
        <v/>
      </c>
      <c r="AU74" s="33">
        <f>IF($B$11="RCV",1,-1)*(($B$12/100)-(AN74/100+$B$13/10000))*$B74/360</f>
        <v/>
      </c>
      <c r="AV74" s="23">
        <f>$B$7+L$37*SUMIFS(L$6:L$35,$G$6:$G$35,"&lt;="&amp;IF($A74="",EDATE($B$5,23),$A74),$F$6:$F$35,"&lt;&gt;")/100</f>
        <v/>
      </c>
      <c r="AW74" s="23">
        <f>$B$7+$B$9*(AV74-$B$7)+$C$18/100</f>
        <v/>
      </c>
      <c r="AX74" s="23">
        <f>$B$7+$B$9*(AV74-$B$7)+$C$19/100</f>
        <v/>
      </c>
      <c r="AY74" s="23">
        <f>$B$7+$B$9*(AVERAGE(INDEX(AV$51:AV$86,MAX(1,23)):INDEX(AV$51:AV$86,24))-$B$7)+$C$20/100</f>
        <v/>
      </c>
      <c r="AZ74" s="23">
        <f>$B$7+$B$9*(AVERAGE(INDEX(AV$51:AV$86,MAX(1,22)):INDEX(AV$51:AV$86,24))-$B$7)+$C$21/100</f>
        <v/>
      </c>
      <c r="BA74" s="20">
        <f>BA73+BB73</f>
        <v/>
      </c>
      <c r="BB74" s="32">
        <f>BA74*(($B$18*AW74+$B$19*AX74+$B$20*AY74+$B$21*AZ74)/$B$8)/100*$B74/360</f>
        <v/>
      </c>
      <c r="BC74" s="33">
        <f>IF($B$11="RCV",1,-1)*(($B$12/100)-(AV74/100+$B$13/10000))*$B74/360</f>
        <v/>
      </c>
      <c r="BD74" s="23">
        <f>$B$7+M$37*SUMIFS(M$6:M$35,$G$6:$G$35,"&lt;="&amp;IF($A74="",EDATE($B$5,23),$A74),$F$6:$F$35,"&lt;&gt;")/100</f>
        <v/>
      </c>
      <c r="BE74" s="23">
        <f>$B$7+$B$9*(BD74-$B$7)+$C$18/100</f>
        <v/>
      </c>
      <c r="BF74" s="23">
        <f>$B$7+$B$9*(BD74-$B$7)+$C$19/100</f>
        <v/>
      </c>
      <c r="BG74" s="23">
        <f>$B$7+$B$9*(AVERAGE(INDEX(BD$51:BD$86,MAX(1,23)):INDEX(BD$51:BD$86,24))-$B$7)+$C$20/100</f>
        <v/>
      </c>
      <c r="BH74" s="23">
        <f>$B$7+$B$9*(AVERAGE(INDEX(BD$51:BD$86,MAX(1,22)):INDEX(BD$51:BD$86,24))-$B$7)+$C$21/100</f>
        <v/>
      </c>
      <c r="BI74" s="20">
        <f>BI73+BJ73</f>
        <v/>
      </c>
      <c r="BJ74" s="32">
        <f>BI74*(($B$18*BE74+$B$19*BF74+$B$20*BG74+$B$21*BH74)/$B$8)/100*$B74/360</f>
        <v/>
      </c>
      <c r="BK74" s="33">
        <f>IF($B$11="RCV",1,-1)*(($B$12/100)-(BD74/100+$B$13/10000))*$B74/360</f>
        <v/>
      </c>
      <c r="BL74" s="23">
        <f>$B$7+N$37*SUMIFS(N$6:N$35,$G$6:$G$35,"&lt;="&amp;IF($A74="",EDATE($B$5,23),$A74),$F$6:$F$35,"&lt;&gt;")/100</f>
        <v/>
      </c>
      <c r="BM74" s="23">
        <f>$B$7+$B$9*(BL74-$B$7)+$C$18/100</f>
        <v/>
      </c>
      <c r="BN74" s="23">
        <f>$B$7+$B$9*(BL74-$B$7)+$C$19/100</f>
        <v/>
      </c>
      <c r="BO74" s="23">
        <f>$B$7+$B$9*(AVERAGE(INDEX(BL$51:BL$86,MAX(1,23)):INDEX(BL$51:BL$86,24))-$B$7)+$C$20/100</f>
        <v/>
      </c>
      <c r="BP74" s="23">
        <f>$B$7+$B$9*(AVERAGE(INDEX(BL$51:BL$86,MAX(1,22)):INDEX(BL$51:BL$86,24))-$B$7)+$C$21/100</f>
        <v/>
      </c>
      <c r="BQ74" s="20">
        <f>BQ73+BR73</f>
        <v/>
      </c>
      <c r="BR74" s="32">
        <f>BQ74*(($B$18*BM74+$B$19*BN74+$B$20*BO74+$B$21*BP74)/$B$8)/100*$B74/360</f>
        <v/>
      </c>
      <c r="BS74" s="33">
        <f>IF($B$11="RCV",1,-1)*(($B$12/100)-(BL74/100+$B$13/10000))*$B74/360</f>
        <v/>
      </c>
      <c r="BT74" s="23">
        <f>$B$7+O$37*SUMIFS(O$6:O$35,$G$6:$G$35,"&lt;="&amp;IF($A74="",EDATE($B$5,23),$A74),$F$6:$F$35,"&lt;&gt;")/100</f>
        <v/>
      </c>
      <c r="BU74" s="23">
        <f>$B$7+$B$9*(BT74-$B$7)+$C$18/100</f>
        <v/>
      </c>
      <c r="BV74" s="23">
        <f>$B$7+$B$9*(BT74-$B$7)+$C$19/100</f>
        <v/>
      </c>
      <c r="BW74" s="23">
        <f>$B$7+$B$9*(AVERAGE(INDEX(BT$51:BT$86,MAX(1,23)):INDEX(BT$51:BT$86,24))-$B$7)+$C$20/100</f>
        <v/>
      </c>
      <c r="BX74" s="23">
        <f>$B$7+$B$9*(AVERAGE(INDEX(BT$51:BT$86,MAX(1,22)):INDEX(BT$51:BT$86,24))-$B$7)+$C$21/100</f>
        <v/>
      </c>
      <c r="BY74" s="20">
        <f>BY73+BZ73</f>
        <v/>
      </c>
      <c r="BZ74" s="32">
        <f>BY74*(($B$18*BU74+$B$19*BV74+$B$20*BW74+$B$21*BX74)/$B$8)/100*$B74/360</f>
        <v/>
      </c>
      <c r="CA74" s="33">
        <f>IF($B$11="RCV",1,-1)*(($B$12/100)-(BT74/100+$B$13/10000))*$B74/360</f>
        <v/>
      </c>
    </row>
    <row r="75" outlineLevel="1">
      <c r="A75" s="15">
        <f>IF(24&lt;$B$6,EDATE($B$5,24),"")</f>
        <v/>
      </c>
      <c r="B75" s="24">
        <f>IF(A75="",0,EDATE(A75,1)-A75)</f>
        <v/>
      </c>
      <c r="C75" s="23">
        <f>SUM(D75:O75)</f>
        <v/>
      </c>
      <c r="D75" s="16">
        <f>IF($B75=0,0,IF(AND($B$26&gt;0,$D$26&gt;$A75),$B$26*$C$26/100/12,0))</f>
        <v/>
      </c>
      <c r="E75" s="16">
        <f>IF($B75=0,0,IF(AND($B$27&gt;0,$D$27&gt;$A75),$B$27*$C$27/100/12,0))</f>
        <v/>
      </c>
      <c r="F75" s="16">
        <f>IF($B75=0,0,IF(AND($B$28&gt;0,$D$28&gt;$A75),$B$28*$C$28/100/12,0))</f>
        <v/>
      </c>
      <c r="G75" s="16">
        <f>IF($B75=0,0,IF(AND($B$29&gt;0,$D$29&gt;$A75),$B$29*$C$29/100/12,0))</f>
        <v/>
      </c>
      <c r="H75" s="16">
        <f>IF($B75=0,0,IF(AND($B$30&gt;0,$D$30&gt;$A75),$B$30*$C$30/100/12,0))</f>
        <v/>
      </c>
      <c r="I75" s="16">
        <f>IF($B75=0,0,IF(AND($B$31&gt;0,$D$31&gt;$A75),$B$31*$C$31/100/12,0))</f>
        <v/>
      </c>
      <c r="J75" s="16">
        <f>IF($B75=0,0,IF(AND($B$32&gt;0,$D$32&gt;$A75),$B$32*$C$32/100/12,0))</f>
        <v/>
      </c>
      <c r="K75" s="16">
        <f>IF($B75=0,0,IF(AND($B$33&gt;0,$D$33&gt;$A75),$B$33*$C$33/100/12,0))</f>
        <v/>
      </c>
      <c r="L75" s="16">
        <f>IF($B75=0,0,IF(AND($B$34&gt;0,$D$34&gt;$A75),$B$34*$C$34/100/12,0))</f>
        <v/>
      </c>
      <c r="M75" s="16">
        <f>IF($B75=0,0,IF(AND($B$35&gt;0,$D$35&gt;$A75),$B$35*$C$35/100/12,0))</f>
        <v/>
      </c>
      <c r="N75" s="16">
        <f>IF($B75=0,0,IF(AND($B$36&gt;0,$D$36&gt;$A75),$B$36*$C$36/100/12,0))</f>
        <v/>
      </c>
      <c r="O75" s="16">
        <f>IF($B75=0,0,IF(AND($B$37&gt;0,$D$37&gt;$A75),$B$37*$C$37/100/12,0))</f>
        <v/>
      </c>
      <c r="P75" s="23">
        <f>$B$7+H$37*SUMIFS(H$6:H$35,$G$6:$G$35,"&lt;="&amp;IF($A75="",EDATE($B$5,24),$A75),$F$6:$F$35,"&lt;&gt;")/100</f>
        <v/>
      </c>
      <c r="Q75" s="23">
        <f>$B$7+$B$9*(P75-$B$7)+$C$18/100</f>
        <v/>
      </c>
      <c r="R75" s="23">
        <f>$B$7+$B$9*(P75-$B$7)+$C$19/100</f>
        <v/>
      </c>
      <c r="S75" s="23">
        <f>$B$7+$B$9*(AVERAGE(INDEX(P$51:P$86,MAX(1,24)):INDEX(P$51:P$86,25))-$B$7)+$C$20/100</f>
        <v/>
      </c>
      <c r="T75" s="23">
        <f>$B$7+$B$9*(AVERAGE(INDEX(P$51:P$86,MAX(1,23)):INDEX(P$51:P$86,25))-$B$7)+$C$21/100</f>
        <v/>
      </c>
      <c r="U75" s="20">
        <f>U74+V74</f>
        <v/>
      </c>
      <c r="V75" s="32">
        <f>U75*(($B$18*Q75+$B$19*R75+$B$20*S75+$B$21*T75)/$B$8)/100*$B75/360</f>
        <v/>
      </c>
      <c r="W75" s="33">
        <f>IF($B$11="RCV",1,-1)*(($B$12/100)-(P75/100+$B$13/10000))*$B75/360</f>
        <v/>
      </c>
      <c r="X75" s="23">
        <f>$B$7+I$37*SUMIFS(I$6:I$35,$G$6:$G$35,"&lt;="&amp;IF($A75="",EDATE($B$5,24),$A75),$F$6:$F$35,"&lt;&gt;")/100</f>
        <v/>
      </c>
      <c r="Y75" s="23">
        <f>$B$7+$B$9*(X75-$B$7)+$C$18/100</f>
        <v/>
      </c>
      <c r="Z75" s="23">
        <f>$B$7+$B$9*(X75-$B$7)+$C$19/100</f>
        <v/>
      </c>
      <c r="AA75" s="23">
        <f>$B$7+$B$9*(AVERAGE(INDEX(X$51:X$86,MAX(1,24)):INDEX(X$51:X$86,25))-$B$7)+$C$20/100</f>
        <v/>
      </c>
      <c r="AB75" s="23">
        <f>$B$7+$B$9*(AVERAGE(INDEX(X$51:X$86,MAX(1,23)):INDEX(X$51:X$86,25))-$B$7)+$C$21/100</f>
        <v/>
      </c>
      <c r="AC75" s="20">
        <f>AC74+AD74</f>
        <v/>
      </c>
      <c r="AD75" s="32">
        <f>AC75*(($B$18*Y75+$B$19*Z75+$B$20*AA75+$B$21*AB75)/$B$8)/100*$B75/360</f>
        <v/>
      </c>
      <c r="AE75" s="33">
        <f>IF($B$11="RCV",1,-1)*(($B$12/100)-(X75/100+$B$13/10000))*$B75/360</f>
        <v/>
      </c>
      <c r="AF75" s="23">
        <f>$B$7+J$37*SUMIFS(J$6:J$35,$G$6:$G$35,"&lt;="&amp;IF($A75="",EDATE($B$5,24),$A75),$F$6:$F$35,"&lt;&gt;")/100</f>
        <v/>
      </c>
      <c r="AG75" s="23">
        <f>$B$7+$B$9*(AF75-$B$7)+$C$18/100</f>
        <v/>
      </c>
      <c r="AH75" s="23">
        <f>$B$7+$B$9*(AF75-$B$7)+$C$19/100</f>
        <v/>
      </c>
      <c r="AI75" s="23">
        <f>$B$7+$B$9*(AVERAGE(INDEX(AF$51:AF$86,MAX(1,24)):INDEX(AF$51:AF$86,25))-$B$7)+$C$20/100</f>
        <v/>
      </c>
      <c r="AJ75" s="23">
        <f>$B$7+$B$9*(AVERAGE(INDEX(AF$51:AF$86,MAX(1,23)):INDEX(AF$51:AF$86,25))-$B$7)+$C$21/100</f>
        <v/>
      </c>
      <c r="AK75" s="20">
        <f>AK74+AL74</f>
        <v/>
      </c>
      <c r="AL75" s="32">
        <f>AK75*(($B$18*AG75+$B$19*AH75+$B$20*AI75+$B$21*AJ75)/$B$8)/100*$B75/360</f>
        <v/>
      </c>
      <c r="AM75" s="33">
        <f>IF($B$11="RCV",1,-1)*(($B$12/100)-(AF75/100+$B$13/10000))*$B75/360</f>
        <v/>
      </c>
      <c r="AN75" s="23">
        <f>$B$7+K$37*SUMIFS(K$6:K$35,$G$6:$G$35,"&lt;="&amp;IF($A75="",EDATE($B$5,24),$A75),$F$6:$F$35,"&lt;&gt;")/100</f>
        <v/>
      </c>
      <c r="AO75" s="23">
        <f>$B$7+$B$9*(AN75-$B$7)+$C$18/100</f>
        <v/>
      </c>
      <c r="AP75" s="23">
        <f>$B$7+$B$9*(AN75-$B$7)+$C$19/100</f>
        <v/>
      </c>
      <c r="AQ75" s="23">
        <f>$B$7+$B$9*(AVERAGE(INDEX(AN$51:AN$86,MAX(1,24)):INDEX(AN$51:AN$86,25))-$B$7)+$C$20/100</f>
        <v/>
      </c>
      <c r="AR75" s="23">
        <f>$B$7+$B$9*(AVERAGE(INDEX(AN$51:AN$86,MAX(1,23)):INDEX(AN$51:AN$86,25))-$B$7)+$C$21/100</f>
        <v/>
      </c>
      <c r="AS75" s="20">
        <f>AS74+AT74</f>
        <v/>
      </c>
      <c r="AT75" s="32">
        <f>AS75*(($B$18*AO75+$B$19*AP75+$B$20*AQ75+$B$21*AR75)/$B$8)/100*$B75/360</f>
        <v/>
      </c>
      <c r="AU75" s="33">
        <f>IF($B$11="RCV",1,-1)*(($B$12/100)-(AN75/100+$B$13/10000))*$B75/360</f>
        <v/>
      </c>
      <c r="AV75" s="23">
        <f>$B$7+L$37*SUMIFS(L$6:L$35,$G$6:$G$35,"&lt;="&amp;IF($A75="",EDATE($B$5,24),$A75),$F$6:$F$35,"&lt;&gt;")/100</f>
        <v/>
      </c>
      <c r="AW75" s="23">
        <f>$B$7+$B$9*(AV75-$B$7)+$C$18/100</f>
        <v/>
      </c>
      <c r="AX75" s="23">
        <f>$B$7+$B$9*(AV75-$B$7)+$C$19/100</f>
        <v/>
      </c>
      <c r="AY75" s="23">
        <f>$B$7+$B$9*(AVERAGE(INDEX(AV$51:AV$86,MAX(1,24)):INDEX(AV$51:AV$86,25))-$B$7)+$C$20/100</f>
        <v/>
      </c>
      <c r="AZ75" s="23">
        <f>$B$7+$B$9*(AVERAGE(INDEX(AV$51:AV$86,MAX(1,23)):INDEX(AV$51:AV$86,25))-$B$7)+$C$21/100</f>
        <v/>
      </c>
      <c r="BA75" s="20">
        <f>BA74+BB74</f>
        <v/>
      </c>
      <c r="BB75" s="32">
        <f>BA75*(($B$18*AW75+$B$19*AX75+$B$20*AY75+$B$21*AZ75)/$B$8)/100*$B75/360</f>
        <v/>
      </c>
      <c r="BC75" s="33">
        <f>IF($B$11="RCV",1,-1)*(($B$12/100)-(AV75/100+$B$13/10000))*$B75/360</f>
        <v/>
      </c>
      <c r="BD75" s="23">
        <f>$B$7+M$37*SUMIFS(M$6:M$35,$G$6:$G$35,"&lt;="&amp;IF($A75="",EDATE($B$5,24),$A75),$F$6:$F$35,"&lt;&gt;")/100</f>
        <v/>
      </c>
      <c r="BE75" s="23">
        <f>$B$7+$B$9*(BD75-$B$7)+$C$18/100</f>
        <v/>
      </c>
      <c r="BF75" s="23">
        <f>$B$7+$B$9*(BD75-$B$7)+$C$19/100</f>
        <v/>
      </c>
      <c r="BG75" s="23">
        <f>$B$7+$B$9*(AVERAGE(INDEX(BD$51:BD$86,MAX(1,24)):INDEX(BD$51:BD$86,25))-$B$7)+$C$20/100</f>
        <v/>
      </c>
      <c r="BH75" s="23">
        <f>$B$7+$B$9*(AVERAGE(INDEX(BD$51:BD$86,MAX(1,23)):INDEX(BD$51:BD$86,25))-$B$7)+$C$21/100</f>
        <v/>
      </c>
      <c r="BI75" s="20">
        <f>BI74+BJ74</f>
        <v/>
      </c>
      <c r="BJ75" s="32">
        <f>BI75*(($B$18*BE75+$B$19*BF75+$B$20*BG75+$B$21*BH75)/$B$8)/100*$B75/360</f>
        <v/>
      </c>
      <c r="BK75" s="33">
        <f>IF($B$11="RCV",1,-1)*(($B$12/100)-(BD75/100+$B$13/10000))*$B75/360</f>
        <v/>
      </c>
      <c r="BL75" s="23">
        <f>$B$7+N$37*SUMIFS(N$6:N$35,$G$6:$G$35,"&lt;="&amp;IF($A75="",EDATE($B$5,24),$A75),$F$6:$F$35,"&lt;&gt;")/100</f>
        <v/>
      </c>
      <c r="BM75" s="23">
        <f>$B$7+$B$9*(BL75-$B$7)+$C$18/100</f>
        <v/>
      </c>
      <c r="BN75" s="23">
        <f>$B$7+$B$9*(BL75-$B$7)+$C$19/100</f>
        <v/>
      </c>
      <c r="BO75" s="23">
        <f>$B$7+$B$9*(AVERAGE(INDEX(BL$51:BL$86,MAX(1,24)):INDEX(BL$51:BL$86,25))-$B$7)+$C$20/100</f>
        <v/>
      </c>
      <c r="BP75" s="23">
        <f>$B$7+$B$9*(AVERAGE(INDEX(BL$51:BL$86,MAX(1,23)):INDEX(BL$51:BL$86,25))-$B$7)+$C$21/100</f>
        <v/>
      </c>
      <c r="BQ75" s="20">
        <f>BQ74+BR74</f>
        <v/>
      </c>
      <c r="BR75" s="32">
        <f>BQ75*(($B$18*BM75+$B$19*BN75+$B$20*BO75+$B$21*BP75)/$B$8)/100*$B75/360</f>
        <v/>
      </c>
      <c r="BS75" s="33">
        <f>IF($B$11="RCV",1,-1)*(($B$12/100)-(BL75/100+$B$13/10000))*$B75/360</f>
        <v/>
      </c>
      <c r="BT75" s="23">
        <f>$B$7+O$37*SUMIFS(O$6:O$35,$G$6:$G$35,"&lt;="&amp;IF($A75="",EDATE($B$5,24),$A75),$F$6:$F$35,"&lt;&gt;")/100</f>
        <v/>
      </c>
      <c r="BU75" s="23">
        <f>$B$7+$B$9*(BT75-$B$7)+$C$18/100</f>
        <v/>
      </c>
      <c r="BV75" s="23">
        <f>$B$7+$B$9*(BT75-$B$7)+$C$19/100</f>
        <v/>
      </c>
      <c r="BW75" s="23">
        <f>$B$7+$B$9*(AVERAGE(INDEX(BT$51:BT$86,MAX(1,24)):INDEX(BT$51:BT$86,25))-$B$7)+$C$20/100</f>
        <v/>
      </c>
      <c r="BX75" s="23">
        <f>$B$7+$B$9*(AVERAGE(INDEX(BT$51:BT$86,MAX(1,23)):INDEX(BT$51:BT$86,25))-$B$7)+$C$21/100</f>
        <v/>
      </c>
      <c r="BY75" s="20">
        <f>BY74+BZ74</f>
        <v/>
      </c>
      <c r="BZ75" s="32">
        <f>BY75*(($B$18*BU75+$B$19*BV75+$B$20*BW75+$B$21*BX75)/$B$8)/100*$B75/360</f>
        <v/>
      </c>
      <c r="CA75" s="33">
        <f>IF($B$11="RCV",1,-1)*(($B$12/100)-(BT75/100+$B$13/10000))*$B75/360</f>
        <v/>
      </c>
    </row>
    <row r="76" outlineLevel="1">
      <c r="A76" s="15">
        <f>IF(25&lt;$B$6,EDATE($B$5,25),"")</f>
        <v/>
      </c>
      <c r="B76" s="24">
        <f>IF(A76="",0,EDATE(A76,1)-A76)</f>
        <v/>
      </c>
      <c r="C76" s="23">
        <f>SUM(D76:O76)</f>
        <v/>
      </c>
      <c r="D76" s="16">
        <f>IF($B76=0,0,IF(AND($B$26&gt;0,$D$26&gt;$A76),$B$26*$C$26/100/12,0))</f>
        <v/>
      </c>
      <c r="E76" s="16">
        <f>IF($B76=0,0,IF(AND($B$27&gt;0,$D$27&gt;$A76),$B$27*$C$27/100/12,0))</f>
        <v/>
      </c>
      <c r="F76" s="16">
        <f>IF($B76=0,0,IF(AND($B$28&gt;0,$D$28&gt;$A76),$B$28*$C$28/100/12,0))</f>
        <v/>
      </c>
      <c r="G76" s="16">
        <f>IF($B76=0,0,IF(AND($B$29&gt;0,$D$29&gt;$A76),$B$29*$C$29/100/12,0))</f>
        <v/>
      </c>
      <c r="H76" s="16">
        <f>IF($B76=0,0,IF(AND($B$30&gt;0,$D$30&gt;$A76),$B$30*$C$30/100/12,0))</f>
        <v/>
      </c>
      <c r="I76" s="16">
        <f>IF($B76=0,0,IF(AND($B$31&gt;0,$D$31&gt;$A76),$B$31*$C$31/100/12,0))</f>
        <v/>
      </c>
      <c r="J76" s="16">
        <f>IF($B76=0,0,IF(AND($B$32&gt;0,$D$32&gt;$A76),$B$32*$C$32/100/12,0))</f>
        <v/>
      </c>
      <c r="K76" s="16">
        <f>IF($B76=0,0,IF(AND($B$33&gt;0,$D$33&gt;$A76),$B$33*$C$33/100/12,0))</f>
        <v/>
      </c>
      <c r="L76" s="16">
        <f>IF($B76=0,0,IF(AND($B$34&gt;0,$D$34&gt;$A76),$B$34*$C$34/100/12,0))</f>
        <v/>
      </c>
      <c r="M76" s="16">
        <f>IF($B76=0,0,IF(AND($B$35&gt;0,$D$35&gt;$A76),$B$35*$C$35/100/12,0))</f>
        <v/>
      </c>
      <c r="N76" s="16">
        <f>IF($B76=0,0,IF(AND($B$36&gt;0,$D$36&gt;$A76),$B$36*$C$36/100/12,0))</f>
        <v/>
      </c>
      <c r="O76" s="16">
        <f>IF($B76=0,0,IF(AND($B$37&gt;0,$D$37&gt;$A76),$B$37*$C$37/100/12,0))</f>
        <v/>
      </c>
      <c r="P76" s="23">
        <f>$B$7+H$37*SUMIFS(H$6:H$35,$G$6:$G$35,"&lt;="&amp;IF($A76="",EDATE($B$5,25),$A76),$F$6:$F$35,"&lt;&gt;")/100</f>
        <v/>
      </c>
      <c r="Q76" s="23">
        <f>$B$7+$B$9*(P76-$B$7)+$C$18/100</f>
        <v/>
      </c>
      <c r="R76" s="23">
        <f>$B$7+$B$9*(P76-$B$7)+$C$19/100</f>
        <v/>
      </c>
      <c r="S76" s="23">
        <f>$B$7+$B$9*(AVERAGE(INDEX(P$51:P$86,MAX(1,25)):INDEX(P$51:P$86,26))-$B$7)+$C$20/100</f>
        <v/>
      </c>
      <c r="T76" s="23">
        <f>$B$7+$B$9*(AVERAGE(INDEX(P$51:P$86,MAX(1,24)):INDEX(P$51:P$86,26))-$B$7)+$C$21/100</f>
        <v/>
      </c>
      <c r="U76" s="20">
        <f>U75+V75</f>
        <v/>
      </c>
      <c r="V76" s="32">
        <f>U76*(($B$18*Q76+$B$19*R76+$B$20*S76+$B$21*T76)/$B$8)/100*$B76/360</f>
        <v/>
      </c>
      <c r="W76" s="33">
        <f>IF($B$11="RCV",1,-1)*(($B$12/100)-(P76/100+$B$13/10000))*$B76/360</f>
        <v/>
      </c>
      <c r="X76" s="23">
        <f>$B$7+I$37*SUMIFS(I$6:I$35,$G$6:$G$35,"&lt;="&amp;IF($A76="",EDATE($B$5,25),$A76),$F$6:$F$35,"&lt;&gt;")/100</f>
        <v/>
      </c>
      <c r="Y76" s="23">
        <f>$B$7+$B$9*(X76-$B$7)+$C$18/100</f>
        <v/>
      </c>
      <c r="Z76" s="23">
        <f>$B$7+$B$9*(X76-$B$7)+$C$19/100</f>
        <v/>
      </c>
      <c r="AA76" s="23">
        <f>$B$7+$B$9*(AVERAGE(INDEX(X$51:X$86,MAX(1,25)):INDEX(X$51:X$86,26))-$B$7)+$C$20/100</f>
        <v/>
      </c>
      <c r="AB76" s="23">
        <f>$B$7+$B$9*(AVERAGE(INDEX(X$51:X$86,MAX(1,24)):INDEX(X$51:X$86,26))-$B$7)+$C$21/100</f>
        <v/>
      </c>
      <c r="AC76" s="20">
        <f>AC75+AD75</f>
        <v/>
      </c>
      <c r="AD76" s="32">
        <f>AC76*(($B$18*Y76+$B$19*Z76+$B$20*AA76+$B$21*AB76)/$B$8)/100*$B76/360</f>
        <v/>
      </c>
      <c r="AE76" s="33">
        <f>IF($B$11="RCV",1,-1)*(($B$12/100)-(X76/100+$B$13/10000))*$B76/360</f>
        <v/>
      </c>
      <c r="AF76" s="23">
        <f>$B$7+J$37*SUMIFS(J$6:J$35,$G$6:$G$35,"&lt;="&amp;IF($A76="",EDATE($B$5,25),$A76),$F$6:$F$35,"&lt;&gt;")/100</f>
        <v/>
      </c>
      <c r="AG76" s="23">
        <f>$B$7+$B$9*(AF76-$B$7)+$C$18/100</f>
        <v/>
      </c>
      <c r="AH76" s="23">
        <f>$B$7+$B$9*(AF76-$B$7)+$C$19/100</f>
        <v/>
      </c>
      <c r="AI76" s="23">
        <f>$B$7+$B$9*(AVERAGE(INDEX(AF$51:AF$86,MAX(1,25)):INDEX(AF$51:AF$86,26))-$B$7)+$C$20/100</f>
        <v/>
      </c>
      <c r="AJ76" s="23">
        <f>$B$7+$B$9*(AVERAGE(INDEX(AF$51:AF$86,MAX(1,24)):INDEX(AF$51:AF$86,26))-$B$7)+$C$21/100</f>
        <v/>
      </c>
      <c r="AK76" s="20">
        <f>AK75+AL75</f>
        <v/>
      </c>
      <c r="AL76" s="32">
        <f>AK76*(($B$18*AG76+$B$19*AH76+$B$20*AI76+$B$21*AJ76)/$B$8)/100*$B76/360</f>
        <v/>
      </c>
      <c r="AM76" s="33">
        <f>IF($B$11="RCV",1,-1)*(($B$12/100)-(AF76/100+$B$13/10000))*$B76/360</f>
        <v/>
      </c>
      <c r="AN76" s="23">
        <f>$B$7+K$37*SUMIFS(K$6:K$35,$G$6:$G$35,"&lt;="&amp;IF($A76="",EDATE($B$5,25),$A76),$F$6:$F$35,"&lt;&gt;")/100</f>
        <v/>
      </c>
      <c r="AO76" s="23">
        <f>$B$7+$B$9*(AN76-$B$7)+$C$18/100</f>
        <v/>
      </c>
      <c r="AP76" s="23">
        <f>$B$7+$B$9*(AN76-$B$7)+$C$19/100</f>
        <v/>
      </c>
      <c r="AQ76" s="23">
        <f>$B$7+$B$9*(AVERAGE(INDEX(AN$51:AN$86,MAX(1,25)):INDEX(AN$51:AN$86,26))-$B$7)+$C$20/100</f>
        <v/>
      </c>
      <c r="AR76" s="23">
        <f>$B$7+$B$9*(AVERAGE(INDEX(AN$51:AN$86,MAX(1,24)):INDEX(AN$51:AN$86,26))-$B$7)+$C$21/100</f>
        <v/>
      </c>
      <c r="AS76" s="20">
        <f>AS75+AT75</f>
        <v/>
      </c>
      <c r="AT76" s="32">
        <f>AS76*(($B$18*AO76+$B$19*AP76+$B$20*AQ76+$B$21*AR76)/$B$8)/100*$B76/360</f>
        <v/>
      </c>
      <c r="AU76" s="33">
        <f>IF($B$11="RCV",1,-1)*(($B$12/100)-(AN76/100+$B$13/10000))*$B76/360</f>
        <v/>
      </c>
      <c r="AV76" s="23">
        <f>$B$7+L$37*SUMIFS(L$6:L$35,$G$6:$G$35,"&lt;="&amp;IF($A76="",EDATE($B$5,25),$A76),$F$6:$F$35,"&lt;&gt;")/100</f>
        <v/>
      </c>
      <c r="AW76" s="23">
        <f>$B$7+$B$9*(AV76-$B$7)+$C$18/100</f>
        <v/>
      </c>
      <c r="AX76" s="23">
        <f>$B$7+$B$9*(AV76-$B$7)+$C$19/100</f>
        <v/>
      </c>
      <c r="AY76" s="23">
        <f>$B$7+$B$9*(AVERAGE(INDEX(AV$51:AV$86,MAX(1,25)):INDEX(AV$51:AV$86,26))-$B$7)+$C$20/100</f>
        <v/>
      </c>
      <c r="AZ76" s="23">
        <f>$B$7+$B$9*(AVERAGE(INDEX(AV$51:AV$86,MAX(1,24)):INDEX(AV$51:AV$86,26))-$B$7)+$C$21/100</f>
        <v/>
      </c>
      <c r="BA76" s="20">
        <f>BA75+BB75</f>
        <v/>
      </c>
      <c r="BB76" s="32">
        <f>BA76*(($B$18*AW76+$B$19*AX76+$B$20*AY76+$B$21*AZ76)/$B$8)/100*$B76/360</f>
        <v/>
      </c>
      <c r="BC76" s="33">
        <f>IF($B$11="RCV",1,-1)*(($B$12/100)-(AV76/100+$B$13/10000))*$B76/360</f>
        <v/>
      </c>
      <c r="BD76" s="23">
        <f>$B$7+M$37*SUMIFS(M$6:M$35,$G$6:$G$35,"&lt;="&amp;IF($A76="",EDATE($B$5,25),$A76),$F$6:$F$35,"&lt;&gt;")/100</f>
        <v/>
      </c>
      <c r="BE76" s="23">
        <f>$B$7+$B$9*(BD76-$B$7)+$C$18/100</f>
        <v/>
      </c>
      <c r="BF76" s="23">
        <f>$B$7+$B$9*(BD76-$B$7)+$C$19/100</f>
        <v/>
      </c>
      <c r="BG76" s="23">
        <f>$B$7+$B$9*(AVERAGE(INDEX(BD$51:BD$86,MAX(1,25)):INDEX(BD$51:BD$86,26))-$B$7)+$C$20/100</f>
        <v/>
      </c>
      <c r="BH76" s="23">
        <f>$B$7+$B$9*(AVERAGE(INDEX(BD$51:BD$86,MAX(1,24)):INDEX(BD$51:BD$86,26))-$B$7)+$C$21/100</f>
        <v/>
      </c>
      <c r="BI76" s="20">
        <f>BI75+BJ75</f>
        <v/>
      </c>
      <c r="BJ76" s="32">
        <f>BI76*(($B$18*BE76+$B$19*BF76+$B$20*BG76+$B$21*BH76)/$B$8)/100*$B76/360</f>
        <v/>
      </c>
      <c r="BK76" s="33">
        <f>IF($B$11="RCV",1,-1)*(($B$12/100)-(BD76/100+$B$13/10000))*$B76/360</f>
        <v/>
      </c>
      <c r="BL76" s="23">
        <f>$B$7+N$37*SUMIFS(N$6:N$35,$G$6:$G$35,"&lt;="&amp;IF($A76="",EDATE($B$5,25),$A76),$F$6:$F$35,"&lt;&gt;")/100</f>
        <v/>
      </c>
      <c r="BM76" s="23">
        <f>$B$7+$B$9*(BL76-$B$7)+$C$18/100</f>
        <v/>
      </c>
      <c r="BN76" s="23">
        <f>$B$7+$B$9*(BL76-$B$7)+$C$19/100</f>
        <v/>
      </c>
      <c r="BO76" s="23">
        <f>$B$7+$B$9*(AVERAGE(INDEX(BL$51:BL$86,MAX(1,25)):INDEX(BL$51:BL$86,26))-$B$7)+$C$20/100</f>
        <v/>
      </c>
      <c r="BP76" s="23">
        <f>$B$7+$B$9*(AVERAGE(INDEX(BL$51:BL$86,MAX(1,24)):INDEX(BL$51:BL$86,26))-$B$7)+$C$21/100</f>
        <v/>
      </c>
      <c r="BQ76" s="20">
        <f>BQ75+BR75</f>
        <v/>
      </c>
      <c r="BR76" s="32">
        <f>BQ76*(($B$18*BM76+$B$19*BN76+$B$20*BO76+$B$21*BP76)/$B$8)/100*$B76/360</f>
        <v/>
      </c>
      <c r="BS76" s="33">
        <f>IF($B$11="RCV",1,-1)*(($B$12/100)-(BL76/100+$B$13/10000))*$B76/360</f>
        <v/>
      </c>
      <c r="BT76" s="23">
        <f>$B$7+O$37*SUMIFS(O$6:O$35,$G$6:$G$35,"&lt;="&amp;IF($A76="",EDATE($B$5,25),$A76),$F$6:$F$35,"&lt;&gt;")/100</f>
        <v/>
      </c>
      <c r="BU76" s="23">
        <f>$B$7+$B$9*(BT76-$B$7)+$C$18/100</f>
        <v/>
      </c>
      <c r="BV76" s="23">
        <f>$B$7+$B$9*(BT76-$B$7)+$C$19/100</f>
        <v/>
      </c>
      <c r="BW76" s="23">
        <f>$B$7+$B$9*(AVERAGE(INDEX(BT$51:BT$86,MAX(1,25)):INDEX(BT$51:BT$86,26))-$B$7)+$C$20/100</f>
        <v/>
      </c>
      <c r="BX76" s="23">
        <f>$B$7+$B$9*(AVERAGE(INDEX(BT$51:BT$86,MAX(1,24)):INDEX(BT$51:BT$86,26))-$B$7)+$C$21/100</f>
        <v/>
      </c>
      <c r="BY76" s="20">
        <f>BY75+BZ75</f>
        <v/>
      </c>
      <c r="BZ76" s="32">
        <f>BY76*(($B$18*BU76+$B$19*BV76+$B$20*BW76+$B$21*BX76)/$B$8)/100*$B76/360</f>
        <v/>
      </c>
      <c r="CA76" s="33">
        <f>IF($B$11="RCV",1,-1)*(($B$12/100)-(BT76/100+$B$13/10000))*$B76/360</f>
        <v/>
      </c>
    </row>
    <row r="77" outlineLevel="1">
      <c r="A77" s="15">
        <f>IF(26&lt;$B$6,EDATE($B$5,26),"")</f>
        <v/>
      </c>
      <c r="B77" s="24">
        <f>IF(A77="",0,EDATE(A77,1)-A77)</f>
        <v/>
      </c>
      <c r="C77" s="23">
        <f>SUM(D77:O77)</f>
        <v/>
      </c>
      <c r="D77" s="16">
        <f>IF($B77=0,0,IF(AND($B$26&gt;0,$D$26&gt;$A77),$B$26*$C$26/100/12,0))</f>
        <v/>
      </c>
      <c r="E77" s="16">
        <f>IF($B77=0,0,IF(AND($B$27&gt;0,$D$27&gt;$A77),$B$27*$C$27/100/12,0))</f>
        <v/>
      </c>
      <c r="F77" s="16">
        <f>IF($B77=0,0,IF(AND($B$28&gt;0,$D$28&gt;$A77),$B$28*$C$28/100/12,0))</f>
        <v/>
      </c>
      <c r="G77" s="16">
        <f>IF($B77=0,0,IF(AND($B$29&gt;0,$D$29&gt;$A77),$B$29*$C$29/100/12,0))</f>
        <v/>
      </c>
      <c r="H77" s="16">
        <f>IF($B77=0,0,IF(AND($B$30&gt;0,$D$30&gt;$A77),$B$30*$C$30/100/12,0))</f>
        <v/>
      </c>
      <c r="I77" s="16">
        <f>IF($B77=0,0,IF(AND($B$31&gt;0,$D$31&gt;$A77),$B$31*$C$31/100/12,0))</f>
        <v/>
      </c>
      <c r="J77" s="16">
        <f>IF($B77=0,0,IF(AND($B$32&gt;0,$D$32&gt;$A77),$B$32*$C$32/100/12,0))</f>
        <v/>
      </c>
      <c r="K77" s="16">
        <f>IF($B77=0,0,IF(AND($B$33&gt;0,$D$33&gt;$A77),$B$33*$C$33/100/12,0))</f>
        <v/>
      </c>
      <c r="L77" s="16">
        <f>IF($B77=0,0,IF(AND($B$34&gt;0,$D$34&gt;$A77),$B$34*$C$34/100/12,0))</f>
        <v/>
      </c>
      <c r="M77" s="16">
        <f>IF($B77=0,0,IF(AND($B$35&gt;0,$D$35&gt;$A77),$B$35*$C$35/100/12,0))</f>
        <v/>
      </c>
      <c r="N77" s="16">
        <f>IF($B77=0,0,IF(AND($B$36&gt;0,$D$36&gt;$A77),$B$36*$C$36/100/12,0))</f>
        <v/>
      </c>
      <c r="O77" s="16">
        <f>IF($B77=0,0,IF(AND($B$37&gt;0,$D$37&gt;$A77),$B$37*$C$37/100/12,0))</f>
        <v/>
      </c>
      <c r="P77" s="23">
        <f>$B$7+H$37*SUMIFS(H$6:H$35,$G$6:$G$35,"&lt;="&amp;IF($A77="",EDATE($B$5,26),$A77),$F$6:$F$35,"&lt;&gt;")/100</f>
        <v/>
      </c>
      <c r="Q77" s="23">
        <f>$B$7+$B$9*(P77-$B$7)+$C$18/100</f>
        <v/>
      </c>
      <c r="R77" s="23">
        <f>$B$7+$B$9*(P77-$B$7)+$C$19/100</f>
        <v/>
      </c>
      <c r="S77" s="23">
        <f>$B$7+$B$9*(AVERAGE(INDEX(P$51:P$86,MAX(1,26)):INDEX(P$51:P$86,27))-$B$7)+$C$20/100</f>
        <v/>
      </c>
      <c r="T77" s="23">
        <f>$B$7+$B$9*(AVERAGE(INDEX(P$51:P$86,MAX(1,25)):INDEX(P$51:P$86,27))-$B$7)+$C$21/100</f>
        <v/>
      </c>
      <c r="U77" s="20">
        <f>U76+V76</f>
        <v/>
      </c>
      <c r="V77" s="32">
        <f>U77*(($B$18*Q77+$B$19*R77+$B$20*S77+$B$21*T77)/$B$8)/100*$B77/360</f>
        <v/>
      </c>
      <c r="W77" s="33">
        <f>IF($B$11="RCV",1,-1)*(($B$12/100)-(P77/100+$B$13/10000))*$B77/360</f>
        <v/>
      </c>
      <c r="X77" s="23">
        <f>$B$7+I$37*SUMIFS(I$6:I$35,$G$6:$G$35,"&lt;="&amp;IF($A77="",EDATE($B$5,26),$A77),$F$6:$F$35,"&lt;&gt;")/100</f>
        <v/>
      </c>
      <c r="Y77" s="23">
        <f>$B$7+$B$9*(X77-$B$7)+$C$18/100</f>
        <v/>
      </c>
      <c r="Z77" s="23">
        <f>$B$7+$B$9*(X77-$B$7)+$C$19/100</f>
        <v/>
      </c>
      <c r="AA77" s="23">
        <f>$B$7+$B$9*(AVERAGE(INDEX(X$51:X$86,MAX(1,26)):INDEX(X$51:X$86,27))-$B$7)+$C$20/100</f>
        <v/>
      </c>
      <c r="AB77" s="23">
        <f>$B$7+$B$9*(AVERAGE(INDEX(X$51:X$86,MAX(1,25)):INDEX(X$51:X$86,27))-$B$7)+$C$21/100</f>
        <v/>
      </c>
      <c r="AC77" s="20">
        <f>AC76+AD76</f>
        <v/>
      </c>
      <c r="AD77" s="32">
        <f>AC77*(($B$18*Y77+$B$19*Z77+$B$20*AA77+$B$21*AB77)/$B$8)/100*$B77/360</f>
        <v/>
      </c>
      <c r="AE77" s="33">
        <f>IF($B$11="RCV",1,-1)*(($B$12/100)-(X77/100+$B$13/10000))*$B77/360</f>
        <v/>
      </c>
      <c r="AF77" s="23">
        <f>$B$7+J$37*SUMIFS(J$6:J$35,$G$6:$G$35,"&lt;="&amp;IF($A77="",EDATE($B$5,26),$A77),$F$6:$F$35,"&lt;&gt;")/100</f>
        <v/>
      </c>
      <c r="AG77" s="23">
        <f>$B$7+$B$9*(AF77-$B$7)+$C$18/100</f>
        <v/>
      </c>
      <c r="AH77" s="23">
        <f>$B$7+$B$9*(AF77-$B$7)+$C$19/100</f>
        <v/>
      </c>
      <c r="AI77" s="23">
        <f>$B$7+$B$9*(AVERAGE(INDEX(AF$51:AF$86,MAX(1,26)):INDEX(AF$51:AF$86,27))-$B$7)+$C$20/100</f>
        <v/>
      </c>
      <c r="AJ77" s="23">
        <f>$B$7+$B$9*(AVERAGE(INDEX(AF$51:AF$86,MAX(1,25)):INDEX(AF$51:AF$86,27))-$B$7)+$C$21/100</f>
        <v/>
      </c>
      <c r="AK77" s="20">
        <f>AK76+AL76</f>
        <v/>
      </c>
      <c r="AL77" s="32">
        <f>AK77*(($B$18*AG77+$B$19*AH77+$B$20*AI77+$B$21*AJ77)/$B$8)/100*$B77/360</f>
        <v/>
      </c>
      <c r="AM77" s="33">
        <f>IF($B$11="RCV",1,-1)*(($B$12/100)-(AF77/100+$B$13/10000))*$B77/360</f>
        <v/>
      </c>
      <c r="AN77" s="23">
        <f>$B$7+K$37*SUMIFS(K$6:K$35,$G$6:$G$35,"&lt;="&amp;IF($A77="",EDATE($B$5,26),$A77),$F$6:$F$35,"&lt;&gt;")/100</f>
        <v/>
      </c>
      <c r="AO77" s="23">
        <f>$B$7+$B$9*(AN77-$B$7)+$C$18/100</f>
        <v/>
      </c>
      <c r="AP77" s="23">
        <f>$B$7+$B$9*(AN77-$B$7)+$C$19/100</f>
        <v/>
      </c>
      <c r="AQ77" s="23">
        <f>$B$7+$B$9*(AVERAGE(INDEX(AN$51:AN$86,MAX(1,26)):INDEX(AN$51:AN$86,27))-$B$7)+$C$20/100</f>
        <v/>
      </c>
      <c r="AR77" s="23">
        <f>$B$7+$B$9*(AVERAGE(INDEX(AN$51:AN$86,MAX(1,25)):INDEX(AN$51:AN$86,27))-$B$7)+$C$21/100</f>
        <v/>
      </c>
      <c r="AS77" s="20">
        <f>AS76+AT76</f>
        <v/>
      </c>
      <c r="AT77" s="32">
        <f>AS77*(($B$18*AO77+$B$19*AP77+$B$20*AQ77+$B$21*AR77)/$B$8)/100*$B77/360</f>
        <v/>
      </c>
      <c r="AU77" s="33">
        <f>IF($B$11="RCV",1,-1)*(($B$12/100)-(AN77/100+$B$13/10000))*$B77/360</f>
        <v/>
      </c>
      <c r="AV77" s="23">
        <f>$B$7+L$37*SUMIFS(L$6:L$35,$G$6:$G$35,"&lt;="&amp;IF($A77="",EDATE($B$5,26),$A77),$F$6:$F$35,"&lt;&gt;")/100</f>
        <v/>
      </c>
      <c r="AW77" s="23">
        <f>$B$7+$B$9*(AV77-$B$7)+$C$18/100</f>
        <v/>
      </c>
      <c r="AX77" s="23">
        <f>$B$7+$B$9*(AV77-$B$7)+$C$19/100</f>
        <v/>
      </c>
      <c r="AY77" s="23">
        <f>$B$7+$B$9*(AVERAGE(INDEX(AV$51:AV$86,MAX(1,26)):INDEX(AV$51:AV$86,27))-$B$7)+$C$20/100</f>
        <v/>
      </c>
      <c r="AZ77" s="23">
        <f>$B$7+$B$9*(AVERAGE(INDEX(AV$51:AV$86,MAX(1,25)):INDEX(AV$51:AV$86,27))-$B$7)+$C$21/100</f>
        <v/>
      </c>
      <c r="BA77" s="20">
        <f>BA76+BB76</f>
        <v/>
      </c>
      <c r="BB77" s="32">
        <f>BA77*(($B$18*AW77+$B$19*AX77+$B$20*AY77+$B$21*AZ77)/$B$8)/100*$B77/360</f>
        <v/>
      </c>
      <c r="BC77" s="33">
        <f>IF($B$11="RCV",1,-1)*(($B$12/100)-(AV77/100+$B$13/10000))*$B77/360</f>
        <v/>
      </c>
      <c r="BD77" s="23">
        <f>$B$7+M$37*SUMIFS(M$6:M$35,$G$6:$G$35,"&lt;="&amp;IF($A77="",EDATE($B$5,26),$A77),$F$6:$F$35,"&lt;&gt;")/100</f>
        <v/>
      </c>
      <c r="BE77" s="23">
        <f>$B$7+$B$9*(BD77-$B$7)+$C$18/100</f>
        <v/>
      </c>
      <c r="BF77" s="23">
        <f>$B$7+$B$9*(BD77-$B$7)+$C$19/100</f>
        <v/>
      </c>
      <c r="BG77" s="23">
        <f>$B$7+$B$9*(AVERAGE(INDEX(BD$51:BD$86,MAX(1,26)):INDEX(BD$51:BD$86,27))-$B$7)+$C$20/100</f>
        <v/>
      </c>
      <c r="BH77" s="23">
        <f>$B$7+$B$9*(AVERAGE(INDEX(BD$51:BD$86,MAX(1,25)):INDEX(BD$51:BD$86,27))-$B$7)+$C$21/100</f>
        <v/>
      </c>
      <c r="BI77" s="20">
        <f>BI76+BJ76</f>
        <v/>
      </c>
      <c r="BJ77" s="32">
        <f>BI77*(($B$18*BE77+$B$19*BF77+$B$20*BG77+$B$21*BH77)/$B$8)/100*$B77/360</f>
        <v/>
      </c>
      <c r="BK77" s="33">
        <f>IF($B$11="RCV",1,-1)*(($B$12/100)-(BD77/100+$B$13/10000))*$B77/360</f>
        <v/>
      </c>
      <c r="BL77" s="23">
        <f>$B$7+N$37*SUMIFS(N$6:N$35,$G$6:$G$35,"&lt;="&amp;IF($A77="",EDATE($B$5,26),$A77),$F$6:$F$35,"&lt;&gt;")/100</f>
        <v/>
      </c>
      <c r="BM77" s="23">
        <f>$B$7+$B$9*(BL77-$B$7)+$C$18/100</f>
        <v/>
      </c>
      <c r="BN77" s="23">
        <f>$B$7+$B$9*(BL77-$B$7)+$C$19/100</f>
        <v/>
      </c>
      <c r="BO77" s="23">
        <f>$B$7+$B$9*(AVERAGE(INDEX(BL$51:BL$86,MAX(1,26)):INDEX(BL$51:BL$86,27))-$B$7)+$C$20/100</f>
        <v/>
      </c>
      <c r="BP77" s="23">
        <f>$B$7+$B$9*(AVERAGE(INDEX(BL$51:BL$86,MAX(1,25)):INDEX(BL$51:BL$86,27))-$B$7)+$C$21/100</f>
        <v/>
      </c>
      <c r="BQ77" s="20">
        <f>BQ76+BR76</f>
        <v/>
      </c>
      <c r="BR77" s="32">
        <f>BQ77*(($B$18*BM77+$B$19*BN77+$B$20*BO77+$B$21*BP77)/$B$8)/100*$B77/360</f>
        <v/>
      </c>
      <c r="BS77" s="33">
        <f>IF($B$11="RCV",1,-1)*(($B$12/100)-(BL77/100+$B$13/10000))*$B77/360</f>
        <v/>
      </c>
      <c r="BT77" s="23">
        <f>$B$7+O$37*SUMIFS(O$6:O$35,$G$6:$G$35,"&lt;="&amp;IF($A77="",EDATE($B$5,26),$A77),$F$6:$F$35,"&lt;&gt;")/100</f>
        <v/>
      </c>
      <c r="BU77" s="23">
        <f>$B$7+$B$9*(BT77-$B$7)+$C$18/100</f>
        <v/>
      </c>
      <c r="BV77" s="23">
        <f>$B$7+$B$9*(BT77-$B$7)+$C$19/100</f>
        <v/>
      </c>
      <c r="BW77" s="23">
        <f>$B$7+$B$9*(AVERAGE(INDEX(BT$51:BT$86,MAX(1,26)):INDEX(BT$51:BT$86,27))-$B$7)+$C$20/100</f>
        <v/>
      </c>
      <c r="BX77" s="23">
        <f>$B$7+$B$9*(AVERAGE(INDEX(BT$51:BT$86,MAX(1,25)):INDEX(BT$51:BT$86,27))-$B$7)+$C$21/100</f>
        <v/>
      </c>
      <c r="BY77" s="20">
        <f>BY76+BZ76</f>
        <v/>
      </c>
      <c r="BZ77" s="32">
        <f>BY77*(($B$18*BU77+$B$19*BV77+$B$20*BW77+$B$21*BX77)/$B$8)/100*$B77/360</f>
        <v/>
      </c>
      <c r="CA77" s="33">
        <f>IF($B$11="RCV",1,-1)*(($B$12/100)-(BT77/100+$B$13/10000))*$B77/360</f>
        <v/>
      </c>
    </row>
    <row r="78" outlineLevel="1">
      <c r="A78" s="15">
        <f>IF(27&lt;$B$6,EDATE($B$5,27),"")</f>
        <v/>
      </c>
      <c r="B78" s="24">
        <f>IF(A78="",0,EDATE(A78,1)-A78)</f>
        <v/>
      </c>
      <c r="C78" s="23">
        <f>SUM(D78:O78)</f>
        <v/>
      </c>
      <c r="D78" s="16">
        <f>IF($B78=0,0,IF(AND($B$26&gt;0,$D$26&gt;$A78),$B$26*$C$26/100/12,0))</f>
        <v/>
      </c>
      <c r="E78" s="16">
        <f>IF($B78=0,0,IF(AND($B$27&gt;0,$D$27&gt;$A78),$B$27*$C$27/100/12,0))</f>
        <v/>
      </c>
      <c r="F78" s="16">
        <f>IF($B78=0,0,IF(AND($B$28&gt;0,$D$28&gt;$A78),$B$28*$C$28/100/12,0))</f>
        <v/>
      </c>
      <c r="G78" s="16">
        <f>IF($B78=0,0,IF(AND($B$29&gt;0,$D$29&gt;$A78),$B$29*$C$29/100/12,0))</f>
        <v/>
      </c>
      <c r="H78" s="16">
        <f>IF($B78=0,0,IF(AND($B$30&gt;0,$D$30&gt;$A78),$B$30*$C$30/100/12,0))</f>
        <v/>
      </c>
      <c r="I78" s="16">
        <f>IF($B78=0,0,IF(AND($B$31&gt;0,$D$31&gt;$A78),$B$31*$C$31/100/12,0))</f>
        <v/>
      </c>
      <c r="J78" s="16">
        <f>IF($B78=0,0,IF(AND($B$32&gt;0,$D$32&gt;$A78),$B$32*$C$32/100/12,0))</f>
        <v/>
      </c>
      <c r="K78" s="16">
        <f>IF($B78=0,0,IF(AND($B$33&gt;0,$D$33&gt;$A78),$B$33*$C$33/100/12,0))</f>
        <v/>
      </c>
      <c r="L78" s="16">
        <f>IF($B78=0,0,IF(AND($B$34&gt;0,$D$34&gt;$A78),$B$34*$C$34/100/12,0))</f>
        <v/>
      </c>
      <c r="M78" s="16">
        <f>IF($B78=0,0,IF(AND($B$35&gt;0,$D$35&gt;$A78),$B$35*$C$35/100/12,0))</f>
        <v/>
      </c>
      <c r="N78" s="16">
        <f>IF($B78=0,0,IF(AND($B$36&gt;0,$D$36&gt;$A78),$B$36*$C$36/100/12,0))</f>
        <v/>
      </c>
      <c r="O78" s="16">
        <f>IF($B78=0,0,IF(AND($B$37&gt;0,$D$37&gt;$A78),$B$37*$C$37/100/12,0))</f>
        <v/>
      </c>
      <c r="P78" s="23">
        <f>$B$7+H$37*SUMIFS(H$6:H$35,$G$6:$G$35,"&lt;="&amp;IF($A78="",EDATE($B$5,27),$A78),$F$6:$F$35,"&lt;&gt;")/100</f>
        <v/>
      </c>
      <c r="Q78" s="23">
        <f>$B$7+$B$9*(P78-$B$7)+$C$18/100</f>
        <v/>
      </c>
      <c r="R78" s="23">
        <f>$B$7+$B$9*(P78-$B$7)+$C$19/100</f>
        <v/>
      </c>
      <c r="S78" s="23">
        <f>$B$7+$B$9*(AVERAGE(INDEX(P$51:P$86,MAX(1,27)):INDEX(P$51:P$86,28))-$B$7)+$C$20/100</f>
        <v/>
      </c>
      <c r="T78" s="23">
        <f>$B$7+$B$9*(AVERAGE(INDEX(P$51:P$86,MAX(1,26)):INDEX(P$51:P$86,28))-$B$7)+$C$21/100</f>
        <v/>
      </c>
      <c r="U78" s="20">
        <f>U77+V77</f>
        <v/>
      </c>
      <c r="V78" s="32">
        <f>U78*(($B$18*Q78+$B$19*R78+$B$20*S78+$B$21*T78)/$B$8)/100*$B78/360</f>
        <v/>
      </c>
      <c r="W78" s="33">
        <f>IF($B$11="RCV",1,-1)*(($B$12/100)-(P78/100+$B$13/10000))*$B78/360</f>
        <v/>
      </c>
      <c r="X78" s="23">
        <f>$B$7+I$37*SUMIFS(I$6:I$35,$G$6:$G$35,"&lt;="&amp;IF($A78="",EDATE($B$5,27),$A78),$F$6:$F$35,"&lt;&gt;")/100</f>
        <v/>
      </c>
      <c r="Y78" s="23">
        <f>$B$7+$B$9*(X78-$B$7)+$C$18/100</f>
        <v/>
      </c>
      <c r="Z78" s="23">
        <f>$B$7+$B$9*(X78-$B$7)+$C$19/100</f>
        <v/>
      </c>
      <c r="AA78" s="23">
        <f>$B$7+$B$9*(AVERAGE(INDEX(X$51:X$86,MAX(1,27)):INDEX(X$51:X$86,28))-$B$7)+$C$20/100</f>
        <v/>
      </c>
      <c r="AB78" s="23">
        <f>$B$7+$B$9*(AVERAGE(INDEX(X$51:X$86,MAX(1,26)):INDEX(X$51:X$86,28))-$B$7)+$C$21/100</f>
        <v/>
      </c>
      <c r="AC78" s="20">
        <f>AC77+AD77</f>
        <v/>
      </c>
      <c r="AD78" s="32">
        <f>AC78*(($B$18*Y78+$B$19*Z78+$B$20*AA78+$B$21*AB78)/$B$8)/100*$B78/360</f>
        <v/>
      </c>
      <c r="AE78" s="33">
        <f>IF($B$11="RCV",1,-1)*(($B$12/100)-(X78/100+$B$13/10000))*$B78/360</f>
        <v/>
      </c>
      <c r="AF78" s="23">
        <f>$B$7+J$37*SUMIFS(J$6:J$35,$G$6:$G$35,"&lt;="&amp;IF($A78="",EDATE($B$5,27),$A78),$F$6:$F$35,"&lt;&gt;")/100</f>
        <v/>
      </c>
      <c r="AG78" s="23">
        <f>$B$7+$B$9*(AF78-$B$7)+$C$18/100</f>
        <v/>
      </c>
      <c r="AH78" s="23">
        <f>$B$7+$B$9*(AF78-$B$7)+$C$19/100</f>
        <v/>
      </c>
      <c r="AI78" s="23">
        <f>$B$7+$B$9*(AVERAGE(INDEX(AF$51:AF$86,MAX(1,27)):INDEX(AF$51:AF$86,28))-$B$7)+$C$20/100</f>
        <v/>
      </c>
      <c r="AJ78" s="23">
        <f>$B$7+$B$9*(AVERAGE(INDEX(AF$51:AF$86,MAX(1,26)):INDEX(AF$51:AF$86,28))-$B$7)+$C$21/100</f>
        <v/>
      </c>
      <c r="AK78" s="20">
        <f>AK77+AL77</f>
        <v/>
      </c>
      <c r="AL78" s="32">
        <f>AK78*(($B$18*AG78+$B$19*AH78+$B$20*AI78+$B$21*AJ78)/$B$8)/100*$B78/360</f>
        <v/>
      </c>
      <c r="AM78" s="33">
        <f>IF($B$11="RCV",1,-1)*(($B$12/100)-(AF78/100+$B$13/10000))*$B78/360</f>
        <v/>
      </c>
      <c r="AN78" s="23">
        <f>$B$7+K$37*SUMIFS(K$6:K$35,$G$6:$G$35,"&lt;="&amp;IF($A78="",EDATE($B$5,27),$A78),$F$6:$F$35,"&lt;&gt;")/100</f>
        <v/>
      </c>
      <c r="AO78" s="23">
        <f>$B$7+$B$9*(AN78-$B$7)+$C$18/100</f>
        <v/>
      </c>
      <c r="AP78" s="23">
        <f>$B$7+$B$9*(AN78-$B$7)+$C$19/100</f>
        <v/>
      </c>
      <c r="AQ78" s="23">
        <f>$B$7+$B$9*(AVERAGE(INDEX(AN$51:AN$86,MAX(1,27)):INDEX(AN$51:AN$86,28))-$B$7)+$C$20/100</f>
        <v/>
      </c>
      <c r="AR78" s="23">
        <f>$B$7+$B$9*(AVERAGE(INDEX(AN$51:AN$86,MAX(1,26)):INDEX(AN$51:AN$86,28))-$B$7)+$C$21/100</f>
        <v/>
      </c>
      <c r="AS78" s="20">
        <f>AS77+AT77</f>
        <v/>
      </c>
      <c r="AT78" s="32">
        <f>AS78*(($B$18*AO78+$B$19*AP78+$B$20*AQ78+$B$21*AR78)/$B$8)/100*$B78/360</f>
        <v/>
      </c>
      <c r="AU78" s="33">
        <f>IF($B$11="RCV",1,-1)*(($B$12/100)-(AN78/100+$B$13/10000))*$B78/360</f>
        <v/>
      </c>
      <c r="AV78" s="23">
        <f>$B$7+L$37*SUMIFS(L$6:L$35,$G$6:$G$35,"&lt;="&amp;IF($A78="",EDATE($B$5,27),$A78),$F$6:$F$35,"&lt;&gt;")/100</f>
        <v/>
      </c>
      <c r="AW78" s="23">
        <f>$B$7+$B$9*(AV78-$B$7)+$C$18/100</f>
        <v/>
      </c>
      <c r="AX78" s="23">
        <f>$B$7+$B$9*(AV78-$B$7)+$C$19/100</f>
        <v/>
      </c>
      <c r="AY78" s="23">
        <f>$B$7+$B$9*(AVERAGE(INDEX(AV$51:AV$86,MAX(1,27)):INDEX(AV$51:AV$86,28))-$B$7)+$C$20/100</f>
        <v/>
      </c>
      <c r="AZ78" s="23">
        <f>$B$7+$B$9*(AVERAGE(INDEX(AV$51:AV$86,MAX(1,26)):INDEX(AV$51:AV$86,28))-$B$7)+$C$21/100</f>
        <v/>
      </c>
      <c r="BA78" s="20">
        <f>BA77+BB77</f>
        <v/>
      </c>
      <c r="BB78" s="32">
        <f>BA78*(($B$18*AW78+$B$19*AX78+$B$20*AY78+$B$21*AZ78)/$B$8)/100*$B78/360</f>
        <v/>
      </c>
      <c r="BC78" s="33">
        <f>IF($B$11="RCV",1,-1)*(($B$12/100)-(AV78/100+$B$13/10000))*$B78/360</f>
        <v/>
      </c>
      <c r="BD78" s="23">
        <f>$B$7+M$37*SUMIFS(M$6:M$35,$G$6:$G$35,"&lt;="&amp;IF($A78="",EDATE($B$5,27),$A78),$F$6:$F$35,"&lt;&gt;")/100</f>
        <v/>
      </c>
      <c r="BE78" s="23">
        <f>$B$7+$B$9*(BD78-$B$7)+$C$18/100</f>
        <v/>
      </c>
      <c r="BF78" s="23">
        <f>$B$7+$B$9*(BD78-$B$7)+$C$19/100</f>
        <v/>
      </c>
      <c r="BG78" s="23">
        <f>$B$7+$B$9*(AVERAGE(INDEX(BD$51:BD$86,MAX(1,27)):INDEX(BD$51:BD$86,28))-$B$7)+$C$20/100</f>
        <v/>
      </c>
      <c r="BH78" s="23">
        <f>$B$7+$B$9*(AVERAGE(INDEX(BD$51:BD$86,MAX(1,26)):INDEX(BD$51:BD$86,28))-$B$7)+$C$21/100</f>
        <v/>
      </c>
      <c r="BI78" s="20">
        <f>BI77+BJ77</f>
        <v/>
      </c>
      <c r="BJ78" s="32">
        <f>BI78*(($B$18*BE78+$B$19*BF78+$B$20*BG78+$B$21*BH78)/$B$8)/100*$B78/360</f>
        <v/>
      </c>
      <c r="BK78" s="33">
        <f>IF($B$11="RCV",1,-1)*(($B$12/100)-(BD78/100+$B$13/10000))*$B78/360</f>
        <v/>
      </c>
      <c r="BL78" s="23">
        <f>$B$7+N$37*SUMIFS(N$6:N$35,$G$6:$G$35,"&lt;="&amp;IF($A78="",EDATE($B$5,27),$A78),$F$6:$F$35,"&lt;&gt;")/100</f>
        <v/>
      </c>
      <c r="BM78" s="23">
        <f>$B$7+$B$9*(BL78-$B$7)+$C$18/100</f>
        <v/>
      </c>
      <c r="BN78" s="23">
        <f>$B$7+$B$9*(BL78-$B$7)+$C$19/100</f>
        <v/>
      </c>
      <c r="BO78" s="23">
        <f>$B$7+$B$9*(AVERAGE(INDEX(BL$51:BL$86,MAX(1,27)):INDEX(BL$51:BL$86,28))-$B$7)+$C$20/100</f>
        <v/>
      </c>
      <c r="BP78" s="23">
        <f>$B$7+$B$9*(AVERAGE(INDEX(BL$51:BL$86,MAX(1,26)):INDEX(BL$51:BL$86,28))-$B$7)+$C$21/100</f>
        <v/>
      </c>
      <c r="BQ78" s="20">
        <f>BQ77+BR77</f>
        <v/>
      </c>
      <c r="BR78" s="32">
        <f>BQ78*(($B$18*BM78+$B$19*BN78+$B$20*BO78+$B$21*BP78)/$B$8)/100*$B78/360</f>
        <v/>
      </c>
      <c r="BS78" s="33">
        <f>IF($B$11="RCV",1,-1)*(($B$12/100)-(BL78/100+$B$13/10000))*$B78/360</f>
        <v/>
      </c>
      <c r="BT78" s="23">
        <f>$B$7+O$37*SUMIFS(O$6:O$35,$G$6:$G$35,"&lt;="&amp;IF($A78="",EDATE($B$5,27),$A78),$F$6:$F$35,"&lt;&gt;")/100</f>
        <v/>
      </c>
      <c r="BU78" s="23">
        <f>$B$7+$B$9*(BT78-$B$7)+$C$18/100</f>
        <v/>
      </c>
      <c r="BV78" s="23">
        <f>$B$7+$B$9*(BT78-$B$7)+$C$19/100</f>
        <v/>
      </c>
      <c r="BW78" s="23">
        <f>$B$7+$B$9*(AVERAGE(INDEX(BT$51:BT$86,MAX(1,27)):INDEX(BT$51:BT$86,28))-$B$7)+$C$20/100</f>
        <v/>
      </c>
      <c r="BX78" s="23">
        <f>$B$7+$B$9*(AVERAGE(INDEX(BT$51:BT$86,MAX(1,26)):INDEX(BT$51:BT$86,28))-$B$7)+$C$21/100</f>
        <v/>
      </c>
      <c r="BY78" s="20">
        <f>BY77+BZ77</f>
        <v/>
      </c>
      <c r="BZ78" s="32">
        <f>BY78*(($B$18*BU78+$B$19*BV78+$B$20*BW78+$B$21*BX78)/$B$8)/100*$B78/360</f>
        <v/>
      </c>
      <c r="CA78" s="33">
        <f>IF($B$11="RCV",1,-1)*(($B$12/100)-(BT78/100+$B$13/10000))*$B78/360</f>
        <v/>
      </c>
    </row>
    <row r="79" outlineLevel="1">
      <c r="A79" s="15">
        <f>IF(28&lt;$B$6,EDATE($B$5,28),"")</f>
        <v/>
      </c>
      <c r="B79" s="24">
        <f>IF(A79="",0,EDATE(A79,1)-A79)</f>
        <v/>
      </c>
      <c r="C79" s="23">
        <f>SUM(D79:O79)</f>
        <v/>
      </c>
      <c r="D79" s="16">
        <f>IF($B79=0,0,IF(AND($B$26&gt;0,$D$26&gt;$A79),$B$26*$C$26/100/12,0))</f>
        <v/>
      </c>
      <c r="E79" s="16">
        <f>IF($B79=0,0,IF(AND($B$27&gt;0,$D$27&gt;$A79),$B$27*$C$27/100/12,0))</f>
        <v/>
      </c>
      <c r="F79" s="16">
        <f>IF($B79=0,0,IF(AND($B$28&gt;0,$D$28&gt;$A79),$B$28*$C$28/100/12,0))</f>
        <v/>
      </c>
      <c r="G79" s="16">
        <f>IF($B79=0,0,IF(AND($B$29&gt;0,$D$29&gt;$A79),$B$29*$C$29/100/12,0))</f>
        <v/>
      </c>
      <c r="H79" s="16">
        <f>IF($B79=0,0,IF(AND($B$30&gt;0,$D$30&gt;$A79),$B$30*$C$30/100/12,0))</f>
        <v/>
      </c>
      <c r="I79" s="16">
        <f>IF($B79=0,0,IF(AND($B$31&gt;0,$D$31&gt;$A79),$B$31*$C$31/100/12,0))</f>
        <v/>
      </c>
      <c r="J79" s="16">
        <f>IF($B79=0,0,IF(AND($B$32&gt;0,$D$32&gt;$A79),$B$32*$C$32/100/12,0))</f>
        <v/>
      </c>
      <c r="K79" s="16">
        <f>IF($B79=0,0,IF(AND($B$33&gt;0,$D$33&gt;$A79),$B$33*$C$33/100/12,0))</f>
        <v/>
      </c>
      <c r="L79" s="16">
        <f>IF($B79=0,0,IF(AND($B$34&gt;0,$D$34&gt;$A79),$B$34*$C$34/100/12,0))</f>
        <v/>
      </c>
      <c r="M79" s="16">
        <f>IF($B79=0,0,IF(AND($B$35&gt;0,$D$35&gt;$A79),$B$35*$C$35/100/12,0))</f>
        <v/>
      </c>
      <c r="N79" s="16">
        <f>IF($B79=0,0,IF(AND($B$36&gt;0,$D$36&gt;$A79),$B$36*$C$36/100/12,0))</f>
        <v/>
      </c>
      <c r="O79" s="16">
        <f>IF($B79=0,0,IF(AND($B$37&gt;0,$D$37&gt;$A79),$B$37*$C$37/100/12,0))</f>
        <v/>
      </c>
      <c r="P79" s="23">
        <f>$B$7+H$37*SUMIFS(H$6:H$35,$G$6:$G$35,"&lt;="&amp;IF($A79="",EDATE($B$5,28),$A79),$F$6:$F$35,"&lt;&gt;")/100</f>
        <v/>
      </c>
      <c r="Q79" s="23">
        <f>$B$7+$B$9*(P79-$B$7)+$C$18/100</f>
        <v/>
      </c>
      <c r="R79" s="23">
        <f>$B$7+$B$9*(P79-$B$7)+$C$19/100</f>
        <v/>
      </c>
      <c r="S79" s="23">
        <f>$B$7+$B$9*(AVERAGE(INDEX(P$51:P$86,MAX(1,28)):INDEX(P$51:P$86,29))-$B$7)+$C$20/100</f>
        <v/>
      </c>
      <c r="T79" s="23">
        <f>$B$7+$B$9*(AVERAGE(INDEX(P$51:P$86,MAX(1,27)):INDEX(P$51:P$86,29))-$B$7)+$C$21/100</f>
        <v/>
      </c>
      <c r="U79" s="20">
        <f>U78+V78</f>
        <v/>
      </c>
      <c r="V79" s="32">
        <f>U79*(($B$18*Q79+$B$19*R79+$B$20*S79+$B$21*T79)/$B$8)/100*$B79/360</f>
        <v/>
      </c>
      <c r="W79" s="33">
        <f>IF($B$11="RCV",1,-1)*(($B$12/100)-(P79/100+$B$13/10000))*$B79/360</f>
        <v/>
      </c>
      <c r="X79" s="23">
        <f>$B$7+I$37*SUMIFS(I$6:I$35,$G$6:$G$35,"&lt;="&amp;IF($A79="",EDATE($B$5,28),$A79),$F$6:$F$35,"&lt;&gt;")/100</f>
        <v/>
      </c>
      <c r="Y79" s="23">
        <f>$B$7+$B$9*(X79-$B$7)+$C$18/100</f>
        <v/>
      </c>
      <c r="Z79" s="23">
        <f>$B$7+$B$9*(X79-$B$7)+$C$19/100</f>
        <v/>
      </c>
      <c r="AA79" s="23">
        <f>$B$7+$B$9*(AVERAGE(INDEX(X$51:X$86,MAX(1,28)):INDEX(X$51:X$86,29))-$B$7)+$C$20/100</f>
        <v/>
      </c>
      <c r="AB79" s="23">
        <f>$B$7+$B$9*(AVERAGE(INDEX(X$51:X$86,MAX(1,27)):INDEX(X$51:X$86,29))-$B$7)+$C$21/100</f>
        <v/>
      </c>
      <c r="AC79" s="20">
        <f>AC78+AD78</f>
        <v/>
      </c>
      <c r="AD79" s="32">
        <f>AC79*(($B$18*Y79+$B$19*Z79+$B$20*AA79+$B$21*AB79)/$B$8)/100*$B79/360</f>
        <v/>
      </c>
      <c r="AE79" s="33">
        <f>IF($B$11="RCV",1,-1)*(($B$12/100)-(X79/100+$B$13/10000))*$B79/360</f>
        <v/>
      </c>
      <c r="AF79" s="23">
        <f>$B$7+J$37*SUMIFS(J$6:J$35,$G$6:$G$35,"&lt;="&amp;IF($A79="",EDATE($B$5,28),$A79),$F$6:$F$35,"&lt;&gt;")/100</f>
        <v/>
      </c>
      <c r="AG79" s="23">
        <f>$B$7+$B$9*(AF79-$B$7)+$C$18/100</f>
        <v/>
      </c>
      <c r="AH79" s="23">
        <f>$B$7+$B$9*(AF79-$B$7)+$C$19/100</f>
        <v/>
      </c>
      <c r="AI79" s="23">
        <f>$B$7+$B$9*(AVERAGE(INDEX(AF$51:AF$86,MAX(1,28)):INDEX(AF$51:AF$86,29))-$B$7)+$C$20/100</f>
        <v/>
      </c>
      <c r="AJ79" s="23">
        <f>$B$7+$B$9*(AVERAGE(INDEX(AF$51:AF$86,MAX(1,27)):INDEX(AF$51:AF$86,29))-$B$7)+$C$21/100</f>
        <v/>
      </c>
      <c r="AK79" s="20">
        <f>AK78+AL78</f>
        <v/>
      </c>
      <c r="AL79" s="32">
        <f>AK79*(($B$18*AG79+$B$19*AH79+$B$20*AI79+$B$21*AJ79)/$B$8)/100*$B79/360</f>
        <v/>
      </c>
      <c r="AM79" s="33">
        <f>IF($B$11="RCV",1,-1)*(($B$12/100)-(AF79/100+$B$13/10000))*$B79/360</f>
        <v/>
      </c>
      <c r="AN79" s="23">
        <f>$B$7+K$37*SUMIFS(K$6:K$35,$G$6:$G$35,"&lt;="&amp;IF($A79="",EDATE($B$5,28),$A79),$F$6:$F$35,"&lt;&gt;")/100</f>
        <v/>
      </c>
      <c r="AO79" s="23">
        <f>$B$7+$B$9*(AN79-$B$7)+$C$18/100</f>
        <v/>
      </c>
      <c r="AP79" s="23">
        <f>$B$7+$B$9*(AN79-$B$7)+$C$19/100</f>
        <v/>
      </c>
      <c r="AQ79" s="23">
        <f>$B$7+$B$9*(AVERAGE(INDEX(AN$51:AN$86,MAX(1,28)):INDEX(AN$51:AN$86,29))-$B$7)+$C$20/100</f>
        <v/>
      </c>
      <c r="AR79" s="23">
        <f>$B$7+$B$9*(AVERAGE(INDEX(AN$51:AN$86,MAX(1,27)):INDEX(AN$51:AN$86,29))-$B$7)+$C$21/100</f>
        <v/>
      </c>
      <c r="AS79" s="20">
        <f>AS78+AT78</f>
        <v/>
      </c>
      <c r="AT79" s="32">
        <f>AS79*(($B$18*AO79+$B$19*AP79+$B$20*AQ79+$B$21*AR79)/$B$8)/100*$B79/360</f>
        <v/>
      </c>
      <c r="AU79" s="33">
        <f>IF($B$11="RCV",1,-1)*(($B$12/100)-(AN79/100+$B$13/10000))*$B79/360</f>
        <v/>
      </c>
      <c r="AV79" s="23">
        <f>$B$7+L$37*SUMIFS(L$6:L$35,$G$6:$G$35,"&lt;="&amp;IF($A79="",EDATE($B$5,28),$A79),$F$6:$F$35,"&lt;&gt;")/100</f>
        <v/>
      </c>
      <c r="AW79" s="23">
        <f>$B$7+$B$9*(AV79-$B$7)+$C$18/100</f>
        <v/>
      </c>
      <c r="AX79" s="23">
        <f>$B$7+$B$9*(AV79-$B$7)+$C$19/100</f>
        <v/>
      </c>
      <c r="AY79" s="23">
        <f>$B$7+$B$9*(AVERAGE(INDEX(AV$51:AV$86,MAX(1,28)):INDEX(AV$51:AV$86,29))-$B$7)+$C$20/100</f>
        <v/>
      </c>
      <c r="AZ79" s="23">
        <f>$B$7+$B$9*(AVERAGE(INDEX(AV$51:AV$86,MAX(1,27)):INDEX(AV$51:AV$86,29))-$B$7)+$C$21/100</f>
        <v/>
      </c>
      <c r="BA79" s="20">
        <f>BA78+BB78</f>
        <v/>
      </c>
      <c r="BB79" s="32">
        <f>BA79*(($B$18*AW79+$B$19*AX79+$B$20*AY79+$B$21*AZ79)/$B$8)/100*$B79/360</f>
        <v/>
      </c>
      <c r="BC79" s="33">
        <f>IF($B$11="RCV",1,-1)*(($B$12/100)-(AV79/100+$B$13/10000))*$B79/360</f>
        <v/>
      </c>
      <c r="BD79" s="23">
        <f>$B$7+M$37*SUMIFS(M$6:M$35,$G$6:$G$35,"&lt;="&amp;IF($A79="",EDATE($B$5,28),$A79),$F$6:$F$35,"&lt;&gt;")/100</f>
        <v/>
      </c>
      <c r="BE79" s="23">
        <f>$B$7+$B$9*(BD79-$B$7)+$C$18/100</f>
        <v/>
      </c>
      <c r="BF79" s="23">
        <f>$B$7+$B$9*(BD79-$B$7)+$C$19/100</f>
        <v/>
      </c>
      <c r="BG79" s="23">
        <f>$B$7+$B$9*(AVERAGE(INDEX(BD$51:BD$86,MAX(1,28)):INDEX(BD$51:BD$86,29))-$B$7)+$C$20/100</f>
        <v/>
      </c>
      <c r="BH79" s="23">
        <f>$B$7+$B$9*(AVERAGE(INDEX(BD$51:BD$86,MAX(1,27)):INDEX(BD$51:BD$86,29))-$B$7)+$C$21/100</f>
        <v/>
      </c>
      <c r="BI79" s="20">
        <f>BI78+BJ78</f>
        <v/>
      </c>
      <c r="BJ79" s="32">
        <f>BI79*(($B$18*BE79+$B$19*BF79+$B$20*BG79+$B$21*BH79)/$B$8)/100*$B79/360</f>
        <v/>
      </c>
      <c r="BK79" s="33">
        <f>IF($B$11="RCV",1,-1)*(($B$12/100)-(BD79/100+$B$13/10000))*$B79/360</f>
        <v/>
      </c>
      <c r="BL79" s="23">
        <f>$B$7+N$37*SUMIFS(N$6:N$35,$G$6:$G$35,"&lt;="&amp;IF($A79="",EDATE($B$5,28),$A79),$F$6:$F$35,"&lt;&gt;")/100</f>
        <v/>
      </c>
      <c r="BM79" s="23">
        <f>$B$7+$B$9*(BL79-$B$7)+$C$18/100</f>
        <v/>
      </c>
      <c r="BN79" s="23">
        <f>$B$7+$B$9*(BL79-$B$7)+$C$19/100</f>
        <v/>
      </c>
      <c r="BO79" s="23">
        <f>$B$7+$B$9*(AVERAGE(INDEX(BL$51:BL$86,MAX(1,28)):INDEX(BL$51:BL$86,29))-$B$7)+$C$20/100</f>
        <v/>
      </c>
      <c r="BP79" s="23">
        <f>$B$7+$B$9*(AVERAGE(INDEX(BL$51:BL$86,MAX(1,27)):INDEX(BL$51:BL$86,29))-$B$7)+$C$21/100</f>
        <v/>
      </c>
      <c r="BQ79" s="20">
        <f>BQ78+BR78</f>
        <v/>
      </c>
      <c r="BR79" s="32">
        <f>BQ79*(($B$18*BM79+$B$19*BN79+$B$20*BO79+$B$21*BP79)/$B$8)/100*$B79/360</f>
        <v/>
      </c>
      <c r="BS79" s="33">
        <f>IF($B$11="RCV",1,-1)*(($B$12/100)-(BL79/100+$B$13/10000))*$B79/360</f>
        <v/>
      </c>
      <c r="BT79" s="23">
        <f>$B$7+O$37*SUMIFS(O$6:O$35,$G$6:$G$35,"&lt;="&amp;IF($A79="",EDATE($B$5,28),$A79),$F$6:$F$35,"&lt;&gt;")/100</f>
        <v/>
      </c>
      <c r="BU79" s="23">
        <f>$B$7+$B$9*(BT79-$B$7)+$C$18/100</f>
        <v/>
      </c>
      <c r="BV79" s="23">
        <f>$B$7+$B$9*(BT79-$B$7)+$C$19/100</f>
        <v/>
      </c>
      <c r="BW79" s="23">
        <f>$B$7+$B$9*(AVERAGE(INDEX(BT$51:BT$86,MAX(1,28)):INDEX(BT$51:BT$86,29))-$B$7)+$C$20/100</f>
        <v/>
      </c>
      <c r="BX79" s="23">
        <f>$B$7+$B$9*(AVERAGE(INDEX(BT$51:BT$86,MAX(1,27)):INDEX(BT$51:BT$86,29))-$B$7)+$C$21/100</f>
        <v/>
      </c>
      <c r="BY79" s="20">
        <f>BY78+BZ78</f>
        <v/>
      </c>
      <c r="BZ79" s="32">
        <f>BY79*(($B$18*BU79+$B$19*BV79+$B$20*BW79+$B$21*BX79)/$B$8)/100*$B79/360</f>
        <v/>
      </c>
      <c r="CA79" s="33">
        <f>IF($B$11="RCV",1,-1)*(($B$12/100)-(BT79/100+$B$13/10000))*$B79/360</f>
        <v/>
      </c>
    </row>
    <row r="80" outlineLevel="1">
      <c r="A80" s="15">
        <f>IF(29&lt;$B$6,EDATE($B$5,29),"")</f>
        <v/>
      </c>
      <c r="B80" s="24">
        <f>IF(A80="",0,EDATE(A80,1)-A80)</f>
        <v/>
      </c>
      <c r="C80" s="23">
        <f>SUM(D80:O80)</f>
        <v/>
      </c>
      <c r="D80" s="16">
        <f>IF($B80=0,0,IF(AND($B$26&gt;0,$D$26&gt;$A80),$B$26*$C$26/100/12,0))</f>
        <v/>
      </c>
      <c r="E80" s="16">
        <f>IF($B80=0,0,IF(AND($B$27&gt;0,$D$27&gt;$A80),$B$27*$C$27/100/12,0))</f>
        <v/>
      </c>
      <c r="F80" s="16">
        <f>IF($B80=0,0,IF(AND($B$28&gt;0,$D$28&gt;$A80),$B$28*$C$28/100/12,0))</f>
        <v/>
      </c>
      <c r="G80" s="16">
        <f>IF($B80=0,0,IF(AND($B$29&gt;0,$D$29&gt;$A80),$B$29*$C$29/100/12,0))</f>
        <v/>
      </c>
      <c r="H80" s="16">
        <f>IF($B80=0,0,IF(AND($B$30&gt;0,$D$30&gt;$A80),$B$30*$C$30/100/12,0))</f>
        <v/>
      </c>
      <c r="I80" s="16">
        <f>IF($B80=0,0,IF(AND($B$31&gt;0,$D$31&gt;$A80),$B$31*$C$31/100/12,0))</f>
        <v/>
      </c>
      <c r="J80" s="16">
        <f>IF($B80=0,0,IF(AND($B$32&gt;0,$D$32&gt;$A80),$B$32*$C$32/100/12,0))</f>
        <v/>
      </c>
      <c r="K80" s="16">
        <f>IF($B80=0,0,IF(AND($B$33&gt;0,$D$33&gt;$A80),$B$33*$C$33/100/12,0))</f>
        <v/>
      </c>
      <c r="L80" s="16">
        <f>IF($B80=0,0,IF(AND($B$34&gt;0,$D$34&gt;$A80),$B$34*$C$34/100/12,0))</f>
        <v/>
      </c>
      <c r="M80" s="16">
        <f>IF($B80=0,0,IF(AND($B$35&gt;0,$D$35&gt;$A80),$B$35*$C$35/100/12,0))</f>
        <v/>
      </c>
      <c r="N80" s="16">
        <f>IF($B80=0,0,IF(AND($B$36&gt;0,$D$36&gt;$A80),$B$36*$C$36/100/12,0))</f>
        <v/>
      </c>
      <c r="O80" s="16">
        <f>IF($B80=0,0,IF(AND($B$37&gt;0,$D$37&gt;$A80),$B$37*$C$37/100/12,0))</f>
        <v/>
      </c>
      <c r="P80" s="23">
        <f>$B$7+H$37*SUMIFS(H$6:H$35,$G$6:$G$35,"&lt;="&amp;IF($A80="",EDATE($B$5,29),$A80),$F$6:$F$35,"&lt;&gt;")/100</f>
        <v/>
      </c>
      <c r="Q80" s="23">
        <f>$B$7+$B$9*(P80-$B$7)+$C$18/100</f>
        <v/>
      </c>
      <c r="R80" s="23">
        <f>$B$7+$B$9*(P80-$B$7)+$C$19/100</f>
        <v/>
      </c>
      <c r="S80" s="23">
        <f>$B$7+$B$9*(AVERAGE(INDEX(P$51:P$86,MAX(1,29)):INDEX(P$51:P$86,30))-$B$7)+$C$20/100</f>
        <v/>
      </c>
      <c r="T80" s="23">
        <f>$B$7+$B$9*(AVERAGE(INDEX(P$51:P$86,MAX(1,28)):INDEX(P$51:P$86,30))-$B$7)+$C$21/100</f>
        <v/>
      </c>
      <c r="U80" s="20">
        <f>U79+V79</f>
        <v/>
      </c>
      <c r="V80" s="32">
        <f>U80*(($B$18*Q80+$B$19*R80+$B$20*S80+$B$21*T80)/$B$8)/100*$B80/360</f>
        <v/>
      </c>
      <c r="W80" s="33">
        <f>IF($B$11="RCV",1,-1)*(($B$12/100)-(P80/100+$B$13/10000))*$B80/360</f>
        <v/>
      </c>
      <c r="X80" s="23">
        <f>$B$7+I$37*SUMIFS(I$6:I$35,$G$6:$G$35,"&lt;="&amp;IF($A80="",EDATE($B$5,29),$A80),$F$6:$F$35,"&lt;&gt;")/100</f>
        <v/>
      </c>
      <c r="Y80" s="23">
        <f>$B$7+$B$9*(X80-$B$7)+$C$18/100</f>
        <v/>
      </c>
      <c r="Z80" s="23">
        <f>$B$7+$B$9*(X80-$B$7)+$C$19/100</f>
        <v/>
      </c>
      <c r="AA80" s="23">
        <f>$B$7+$B$9*(AVERAGE(INDEX(X$51:X$86,MAX(1,29)):INDEX(X$51:X$86,30))-$B$7)+$C$20/100</f>
        <v/>
      </c>
      <c r="AB80" s="23">
        <f>$B$7+$B$9*(AVERAGE(INDEX(X$51:X$86,MAX(1,28)):INDEX(X$51:X$86,30))-$B$7)+$C$21/100</f>
        <v/>
      </c>
      <c r="AC80" s="20">
        <f>AC79+AD79</f>
        <v/>
      </c>
      <c r="AD80" s="32">
        <f>AC80*(($B$18*Y80+$B$19*Z80+$B$20*AA80+$B$21*AB80)/$B$8)/100*$B80/360</f>
        <v/>
      </c>
      <c r="AE80" s="33">
        <f>IF($B$11="RCV",1,-1)*(($B$12/100)-(X80/100+$B$13/10000))*$B80/360</f>
        <v/>
      </c>
      <c r="AF80" s="23">
        <f>$B$7+J$37*SUMIFS(J$6:J$35,$G$6:$G$35,"&lt;="&amp;IF($A80="",EDATE($B$5,29),$A80),$F$6:$F$35,"&lt;&gt;")/100</f>
        <v/>
      </c>
      <c r="AG80" s="23">
        <f>$B$7+$B$9*(AF80-$B$7)+$C$18/100</f>
        <v/>
      </c>
      <c r="AH80" s="23">
        <f>$B$7+$B$9*(AF80-$B$7)+$C$19/100</f>
        <v/>
      </c>
      <c r="AI80" s="23">
        <f>$B$7+$B$9*(AVERAGE(INDEX(AF$51:AF$86,MAX(1,29)):INDEX(AF$51:AF$86,30))-$B$7)+$C$20/100</f>
        <v/>
      </c>
      <c r="AJ80" s="23">
        <f>$B$7+$B$9*(AVERAGE(INDEX(AF$51:AF$86,MAX(1,28)):INDEX(AF$51:AF$86,30))-$B$7)+$C$21/100</f>
        <v/>
      </c>
      <c r="AK80" s="20">
        <f>AK79+AL79</f>
        <v/>
      </c>
      <c r="AL80" s="32">
        <f>AK80*(($B$18*AG80+$B$19*AH80+$B$20*AI80+$B$21*AJ80)/$B$8)/100*$B80/360</f>
        <v/>
      </c>
      <c r="AM80" s="33">
        <f>IF($B$11="RCV",1,-1)*(($B$12/100)-(AF80/100+$B$13/10000))*$B80/360</f>
        <v/>
      </c>
      <c r="AN80" s="23">
        <f>$B$7+K$37*SUMIFS(K$6:K$35,$G$6:$G$35,"&lt;="&amp;IF($A80="",EDATE($B$5,29),$A80),$F$6:$F$35,"&lt;&gt;")/100</f>
        <v/>
      </c>
      <c r="AO80" s="23">
        <f>$B$7+$B$9*(AN80-$B$7)+$C$18/100</f>
        <v/>
      </c>
      <c r="AP80" s="23">
        <f>$B$7+$B$9*(AN80-$B$7)+$C$19/100</f>
        <v/>
      </c>
      <c r="AQ80" s="23">
        <f>$B$7+$B$9*(AVERAGE(INDEX(AN$51:AN$86,MAX(1,29)):INDEX(AN$51:AN$86,30))-$B$7)+$C$20/100</f>
        <v/>
      </c>
      <c r="AR80" s="23">
        <f>$B$7+$B$9*(AVERAGE(INDEX(AN$51:AN$86,MAX(1,28)):INDEX(AN$51:AN$86,30))-$B$7)+$C$21/100</f>
        <v/>
      </c>
      <c r="AS80" s="20">
        <f>AS79+AT79</f>
        <v/>
      </c>
      <c r="AT80" s="32">
        <f>AS80*(($B$18*AO80+$B$19*AP80+$B$20*AQ80+$B$21*AR80)/$B$8)/100*$B80/360</f>
        <v/>
      </c>
      <c r="AU80" s="33">
        <f>IF($B$11="RCV",1,-1)*(($B$12/100)-(AN80/100+$B$13/10000))*$B80/360</f>
        <v/>
      </c>
      <c r="AV80" s="23">
        <f>$B$7+L$37*SUMIFS(L$6:L$35,$G$6:$G$35,"&lt;="&amp;IF($A80="",EDATE($B$5,29),$A80),$F$6:$F$35,"&lt;&gt;")/100</f>
        <v/>
      </c>
      <c r="AW80" s="23">
        <f>$B$7+$B$9*(AV80-$B$7)+$C$18/100</f>
        <v/>
      </c>
      <c r="AX80" s="23">
        <f>$B$7+$B$9*(AV80-$B$7)+$C$19/100</f>
        <v/>
      </c>
      <c r="AY80" s="23">
        <f>$B$7+$B$9*(AVERAGE(INDEX(AV$51:AV$86,MAX(1,29)):INDEX(AV$51:AV$86,30))-$B$7)+$C$20/100</f>
        <v/>
      </c>
      <c r="AZ80" s="23">
        <f>$B$7+$B$9*(AVERAGE(INDEX(AV$51:AV$86,MAX(1,28)):INDEX(AV$51:AV$86,30))-$B$7)+$C$21/100</f>
        <v/>
      </c>
      <c r="BA80" s="20">
        <f>BA79+BB79</f>
        <v/>
      </c>
      <c r="BB80" s="32">
        <f>BA80*(($B$18*AW80+$B$19*AX80+$B$20*AY80+$B$21*AZ80)/$B$8)/100*$B80/360</f>
        <v/>
      </c>
      <c r="BC80" s="33">
        <f>IF($B$11="RCV",1,-1)*(($B$12/100)-(AV80/100+$B$13/10000))*$B80/360</f>
        <v/>
      </c>
      <c r="BD80" s="23">
        <f>$B$7+M$37*SUMIFS(M$6:M$35,$G$6:$G$35,"&lt;="&amp;IF($A80="",EDATE($B$5,29),$A80),$F$6:$F$35,"&lt;&gt;")/100</f>
        <v/>
      </c>
      <c r="BE80" s="23">
        <f>$B$7+$B$9*(BD80-$B$7)+$C$18/100</f>
        <v/>
      </c>
      <c r="BF80" s="23">
        <f>$B$7+$B$9*(BD80-$B$7)+$C$19/100</f>
        <v/>
      </c>
      <c r="BG80" s="23">
        <f>$B$7+$B$9*(AVERAGE(INDEX(BD$51:BD$86,MAX(1,29)):INDEX(BD$51:BD$86,30))-$B$7)+$C$20/100</f>
        <v/>
      </c>
      <c r="BH80" s="23">
        <f>$B$7+$B$9*(AVERAGE(INDEX(BD$51:BD$86,MAX(1,28)):INDEX(BD$51:BD$86,30))-$B$7)+$C$21/100</f>
        <v/>
      </c>
      <c r="BI80" s="20">
        <f>BI79+BJ79</f>
        <v/>
      </c>
      <c r="BJ80" s="32">
        <f>BI80*(($B$18*BE80+$B$19*BF80+$B$20*BG80+$B$21*BH80)/$B$8)/100*$B80/360</f>
        <v/>
      </c>
      <c r="BK80" s="33">
        <f>IF($B$11="RCV",1,-1)*(($B$12/100)-(BD80/100+$B$13/10000))*$B80/360</f>
        <v/>
      </c>
      <c r="BL80" s="23">
        <f>$B$7+N$37*SUMIFS(N$6:N$35,$G$6:$G$35,"&lt;="&amp;IF($A80="",EDATE($B$5,29),$A80),$F$6:$F$35,"&lt;&gt;")/100</f>
        <v/>
      </c>
      <c r="BM80" s="23">
        <f>$B$7+$B$9*(BL80-$B$7)+$C$18/100</f>
        <v/>
      </c>
      <c r="BN80" s="23">
        <f>$B$7+$B$9*(BL80-$B$7)+$C$19/100</f>
        <v/>
      </c>
      <c r="BO80" s="23">
        <f>$B$7+$B$9*(AVERAGE(INDEX(BL$51:BL$86,MAX(1,29)):INDEX(BL$51:BL$86,30))-$B$7)+$C$20/100</f>
        <v/>
      </c>
      <c r="BP80" s="23">
        <f>$B$7+$B$9*(AVERAGE(INDEX(BL$51:BL$86,MAX(1,28)):INDEX(BL$51:BL$86,30))-$B$7)+$C$21/100</f>
        <v/>
      </c>
      <c r="BQ80" s="20">
        <f>BQ79+BR79</f>
        <v/>
      </c>
      <c r="BR80" s="32">
        <f>BQ80*(($B$18*BM80+$B$19*BN80+$B$20*BO80+$B$21*BP80)/$B$8)/100*$B80/360</f>
        <v/>
      </c>
      <c r="BS80" s="33">
        <f>IF($B$11="RCV",1,-1)*(($B$12/100)-(BL80/100+$B$13/10000))*$B80/360</f>
        <v/>
      </c>
      <c r="BT80" s="23">
        <f>$B$7+O$37*SUMIFS(O$6:O$35,$G$6:$G$35,"&lt;="&amp;IF($A80="",EDATE($B$5,29),$A80),$F$6:$F$35,"&lt;&gt;")/100</f>
        <v/>
      </c>
      <c r="BU80" s="23">
        <f>$B$7+$B$9*(BT80-$B$7)+$C$18/100</f>
        <v/>
      </c>
      <c r="BV80" s="23">
        <f>$B$7+$B$9*(BT80-$B$7)+$C$19/100</f>
        <v/>
      </c>
      <c r="BW80" s="23">
        <f>$B$7+$B$9*(AVERAGE(INDEX(BT$51:BT$86,MAX(1,29)):INDEX(BT$51:BT$86,30))-$B$7)+$C$20/100</f>
        <v/>
      </c>
      <c r="BX80" s="23">
        <f>$B$7+$B$9*(AVERAGE(INDEX(BT$51:BT$86,MAX(1,28)):INDEX(BT$51:BT$86,30))-$B$7)+$C$21/100</f>
        <v/>
      </c>
      <c r="BY80" s="20">
        <f>BY79+BZ79</f>
        <v/>
      </c>
      <c r="BZ80" s="32">
        <f>BY80*(($B$18*BU80+$B$19*BV80+$B$20*BW80+$B$21*BX80)/$B$8)/100*$B80/360</f>
        <v/>
      </c>
      <c r="CA80" s="33">
        <f>IF($B$11="RCV",1,-1)*(($B$12/100)-(BT80/100+$B$13/10000))*$B80/360</f>
        <v/>
      </c>
    </row>
    <row r="81" outlineLevel="1">
      <c r="A81" s="15">
        <f>IF(30&lt;$B$6,EDATE($B$5,30),"")</f>
        <v/>
      </c>
      <c r="B81" s="24">
        <f>IF(A81="",0,EDATE(A81,1)-A81)</f>
        <v/>
      </c>
      <c r="C81" s="23">
        <f>SUM(D81:O81)</f>
        <v/>
      </c>
      <c r="D81" s="16">
        <f>IF($B81=0,0,IF(AND($B$26&gt;0,$D$26&gt;$A81),$B$26*$C$26/100/12,0))</f>
        <v/>
      </c>
      <c r="E81" s="16">
        <f>IF($B81=0,0,IF(AND($B$27&gt;0,$D$27&gt;$A81),$B$27*$C$27/100/12,0))</f>
        <v/>
      </c>
      <c r="F81" s="16">
        <f>IF($B81=0,0,IF(AND($B$28&gt;0,$D$28&gt;$A81),$B$28*$C$28/100/12,0))</f>
        <v/>
      </c>
      <c r="G81" s="16">
        <f>IF($B81=0,0,IF(AND($B$29&gt;0,$D$29&gt;$A81),$B$29*$C$29/100/12,0))</f>
        <v/>
      </c>
      <c r="H81" s="16">
        <f>IF($B81=0,0,IF(AND($B$30&gt;0,$D$30&gt;$A81),$B$30*$C$30/100/12,0))</f>
        <v/>
      </c>
      <c r="I81" s="16">
        <f>IF($B81=0,0,IF(AND($B$31&gt;0,$D$31&gt;$A81),$B$31*$C$31/100/12,0))</f>
        <v/>
      </c>
      <c r="J81" s="16">
        <f>IF($B81=0,0,IF(AND($B$32&gt;0,$D$32&gt;$A81),$B$32*$C$32/100/12,0))</f>
        <v/>
      </c>
      <c r="K81" s="16">
        <f>IF($B81=0,0,IF(AND($B$33&gt;0,$D$33&gt;$A81),$B$33*$C$33/100/12,0))</f>
        <v/>
      </c>
      <c r="L81" s="16">
        <f>IF($B81=0,0,IF(AND($B$34&gt;0,$D$34&gt;$A81),$B$34*$C$34/100/12,0))</f>
        <v/>
      </c>
      <c r="M81" s="16">
        <f>IF($B81=0,0,IF(AND($B$35&gt;0,$D$35&gt;$A81),$B$35*$C$35/100/12,0))</f>
        <v/>
      </c>
      <c r="N81" s="16">
        <f>IF($B81=0,0,IF(AND($B$36&gt;0,$D$36&gt;$A81),$B$36*$C$36/100/12,0))</f>
        <v/>
      </c>
      <c r="O81" s="16">
        <f>IF($B81=0,0,IF(AND($B$37&gt;0,$D$37&gt;$A81),$B$37*$C$37/100/12,0))</f>
        <v/>
      </c>
      <c r="P81" s="23">
        <f>$B$7+H$37*SUMIFS(H$6:H$35,$G$6:$G$35,"&lt;="&amp;IF($A81="",EDATE($B$5,30),$A81),$F$6:$F$35,"&lt;&gt;")/100</f>
        <v/>
      </c>
      <c r="Q81" s="23">
        <f>$B$7+$B$9*(P81-$B$7)+$C$18/100</f>
        <v/>
      </c>
      <c r="R81" s="23">
        <f>$B$7+$B$9*(P81-$B$7)+$C$19/100</f>
        <v/>
      </c>
      <c r="S81" s="23">
        <f>$B$7+$B$9*(AVERAGE(INDEX(P$51:P$86,MAX(1,30)):INDEX(P$51:P$86,31))-$B$7)+$C$20/100</f>
        <v/>
      </c>
      <c r="T81" s="23">
        <f>$B$7+$B$9*(AVERAGE(INDEX(P$51:P$86,MAX(1,29)):INDEX(P$51:P$86,31))-$B$7)+$C$21/100</f>
        <v/>
      </c>
      <c r="U81" s="20">
        <f>U80+V80</f>
        <v/>
      </c>
      <c r="V81" s="32">
        <f>U81*(($B$18*Q81+$B$19*R81+$B$20*S81+$B$21*T81)/$B$8)/100*$B81/360</f>
        <v/>
      </c>
      <c r="W81" s="33">
        <f>IF($B$11="RCV",1,-1)*(($B$12/100)-(P81/100+$B$13/10000))*$B81/360</f>
        <v/>
      </c>
      <c r="X81" s="23">
        <f>$B$7+I$37*SUMIFS(I$6:I$35,$G$6:$G$35,"&lt;="&amp;IF($A81="",EDATE($B$5,30),$A81),$F$6:$F$35,"&lt;&gt;")/100</f>
        <v/>
      </c>
      <c r="Y81" s="23">
        <f>$B$7+$B$9*(X81-$B$7)+$C$18/100</f>
        <v/>
      </c>
      <c r="Z81" s="23">
        <f>$B$7+$B$9*(X81-$B$7)+$C$19/100</f>
        <v/>
      </c>
      <c r="AA81" s="23">
        <f>$B$7+$B$9*(AVERAGE(INDEX(X$51:X$86,MAX(1,30)):INDEX(X$51:X$86,31))-$B$7)+$C$20/100</f>
        <v/>
      </c>
      <c r="AB81" s="23">
        <f>$B$7+$B$9*(AVERAGE(INDEX(X$51:X$86,MAX(1,29)):INDEX(X$51:X$86,31))-$B$7)+$C$21/100</f>
        <v/>
      </c>
      <c r="AC81" s="20">
        <f>AC80+AD80</f>
        <v/>
      </c>
      <c r="AD81" s="32">
        <f>AC81*(($B$18*Y81+$B$19*Z81+$B$20*AA81+$B$21*AB81)/$B$8)/100*$B81/360</f>
        <v/>
      </c>
      <c r="AE81" s="33">
        <f>IF($B$11="RCV",1,-1)*(($B$12/100)-(X81/100+$B$13/10000))*$B81/360</f>
        <v/>
      </c>
      <c r="AF81" s="23">
        <f>$B$7+J$37*SUMIFS(J$6:J$35,$G$6:$G$35,"&lt;="&amp;IF($A81="",EDATE($B$5,30),$A81),$F$6:$F$35,"&lt;&gt;")/100</f>
        <v/>
      </c>
      <c r="AG81" s="23">
        <f>$B$7+$B$9*(AF81-$B$7)+$C$18/100</f>
        <v/>
      </c>
      <c r="AH81" s="23">
        <f>$B$7+$B$9*(AF81-$B$7)+$C$19/100</f>
        <v/>
      </c>
      <c r="AI81" s="23">
        <f>$B$7+$B$9*(AVERAGE(INDEX(AF$51:AF$86,MAX(1,30)):INDEX(AF$51:AF$86,31))-$B$7)+$C$20/100</f>
        <v/>
      </c>
      <c r="AJ81" s="23">
        <f>$B$7+$B$9*(AVERAGE(INDEX(AF$51:AF$86,MAX(1,29)):INDEX(AF$51:AF$86,31))-$B$7)+$C$21/100</f>
        <v/>
      </c>
      <c r="AK81" s="20">
        <f>AK80+AL80</f>
        <v/>
      </c>
      <c r="AL81" s="32">
        <f>AK81*(($B$18*AG81+$B$19*AH81+$B$20*AI81+$B$21*AJ81)/$B$8)/100*$B81/360</f>
        <v/>
      </c>
      <c r="AM81" s="33">
        <f>IF($B$11="RCV",1,-1)*(($B$12/100)-(AF81/100+$B$13/10000))*$B81/360</f>
        <v/>
      </c>
      <c r="AN81" s="23">
        <f>$B$7+K$37*SUMIFS(K$6:K$35,$G$6:$G$35,"&lt;="&amp;IF($A81="",EDATE($B$5,30),$A81),$F$6:$F$35,"&lt;&gt;")/100</f>
        <v/>
      </c>
      <c r="AO81" s="23">
        <f>$B$7+$B$9*(AN81-$B$7)+$C$18/100</f>
        <v/>
      </c>
      <c r="AP81" s="23">
        <f>$B$7+$B$9*(AN81-$B$7)+$C$19/100</f>
        <v/>
      </c>
      <c r="AQ81" s="23">
        <f>$B$7+$B$9*(AVERAGE(INDEX(AN$51:AN$86,MAX(1,30)):INDEX(AN$51:AN$86,31))-$B$7)+$C$20/100</f>
        <v/>
      </c>
      <c r="AR81" s="23">
        <f>$B$7+$B$9*(AVERAGE(INDEX(AN$51:AN$86,MAX(1,29)):INDEX(AN$51:AN$86,31))-$B$7)+$C$21/100</f>
        <v/>
      </c>
      <c r="AS81" s="20">
        <f>AS80+AT80</f>
        <v/>
      </c>
      <c r="AT81" s="32">
        <f>AS81*(($B$18*AO81+$B$19*AP81+$B$20*AQ81+$B$21*AR81)/$B$8)/100*$B81/360</f>
        <v/>
      </c>
      <c r="AU81" s="33">
        <f>IF($B$11="RCV",1,-1)*(($B$12/100)-(AN81/100+$B$13/10000))*$B81/360</f>
        <v/>
      </c>
      <c r="AV81" s="23">
        <f>$B$7+L$37*SUMIFS(L$6:L$35,$G$6:$G$35,"&lt;="&amp;IF($A81="",EDATE($B$5,30),$A81),$F$6:$F$35,"&lt;&gt;")/100</f>
        <v/>
      </c>
      <c r="AW81" s="23">
        <f>$B$7+$B$9*(AV81-$B$7)+$C$18/100</f>
        <v/>
      </c>
      <c r="AX81" s="23">
        <f>$B$7+$B$9*(AV81-$B$7)+$C$19/100</f>
        <v/>
      </c>
      <c r="AY81" s="23">
        <f>$B$7+$B$9*(AVERAGE(INDEX(AV$51:AV$86,MAX(1,30)):INDEX(AV$51:AV$86,31))-$B$7)+$C$20/100</f>
        <v/>
      </c>
      <c r="AZ81" s="23">
        <f>$B$7+$B$9*(AVERAGE(INDEX(AV$51:AV$86,MAX(1,29)):INDEX(AV$51:AV$86,31))-$B$7)+$C$21/100</f>
        <v/>
      </c>
      <c r="BA81" s="20">
        <f>BA80+BB80</f>
        <v/>
      </c>
      <c r="BB81" s="32">
        <f>BA81*(($B$18*AW81+$B$19*AX81+$B$20*AY81+$B$21*AZ81)/$B$8)/100*$B81/360</f>
        <v/>
      </c>
      <c r="BC81" s="33">
        <f>IF($B$11="RCV",1,-1)*(($B$12/100)-(AV81/100+$B$13/10000))*$B81/360</f>
        <v/>
      </c>
      <c r="BD81" s="23">
        <f>$B$7+M$37*SUMIFS(M$6:M$35,$G$6:$G$35,"&lt;="&amp;IF($A81="",EDATE($B$5,30),$A81),$F$6:$F$35,"&lt;&gt;")/100</f>
        <v/>
      </c>
      <c r="BE81" s="23">
        <f>$B$7+$B$9*(BD81-$B$7)+$C$18/100</f>
        <v/>
      </c>
      <c r="BF81" s="23">
        <f>$B$7+$B$9*(BD81-$B$7)+$C$19/100</f>
        <v/>
      </c>
      <c r="BG81" s="23">
        <f>$B$7+$B$9*(AVERAGE(INDEX(BD$51:BD$86,MAX(1,30)):INDEX(BD$51:BD$86,31))-$B$7)+$C$20/100</f>
        <v/>
      </c>
      <c r="BH81" s="23">
        <f>$B$7+$B$9*(AVERAGE(INDEX(BD$51:BD$86,MAX(1,29)):INDEX(BD$51:BD$86,31))-$B$7)+$C$21/100</f>
        <v/>
      </c>
      <c r="BI81" s="20">
        <f>BI80+BJ80</f>
        <v/>
      </c>
      <c r="BJ81" s="32">
        <f>BI81*(($B$18*BE81+$B$19*BF81+$B$20*BG81+$B$21*BH81)/$B$8)/100*$B81/360</f>
        <v/>
      </c>
      <c r="BK81" s="33">
        <f>IF($B$11="RCV",1,-1)*(($B$12/100)-(BD81/100+$B$13/10000))*$B81/360</f>
        <v/>
      </c>
      <c r="BL81" s="23">
        <f>$B$7+N$37*SUMIFS(N$6:N$35,$G$6:$G$35,"&lt;="&amp;IF($A81="",EDATE($B$5,30),$A81),$F$6:$F$35,"&lt;&gt;")/100</f>
        <v/>
      </c>
      <c r="BM81" s="23">
        <f>$B$7+$B$9*(BL81-$B$7)+$C$18/100</f>
        <v/>
      </c>
      <c r="BN81" s="23">
        <f>$B$7+$B$9*(BL81-$B$7)+$C$19/100</f>
        <v/>
      </c>
      <c r="BO81" s="23">
        <f>$B$7+$B$9*(AVERAGE(INDEX(BL$51:BL$86,MAX(1,30)):INDEX(BL$51:BL$86,31))-$B$7)+$C$20/100</f>
        <v/>
      </c>
      <c r="BP81" s="23">
        <f>$B$7+$B$9*(AVERAGE(INDEX(BL$51:BL$86,MAX(1,29)):INDEX(BL$51:BL$86,31))-$B$7)+$C$21/100</f>
        <v/>
      </c>
      <c r="BQ81" s="20">
        <f>BQ80+BR80</f>
        <v/>
      </c>
      <c r="BR81" s="32">
        <f>BQ81*(($B$18*BM81+$B$19*BN81+$B$20*BO81+$B$21*BP81)/$B$8)/100*$B81/360</f>
        <v/>
      </c>
      <c r="BS81" s="33">
        <f>IF($B$11="RCV",1,-1)*(($B$12/100)-(BL81/100+$B$13/10000))*$B81/360</f>
        <v/>
      </c>
      <c r="BT81" s="23">
        <f>$B$7+O$37*SUMIFS(O$6:O$35,$G$6:$G$35,"&lt;="&amp;IF($A81="",EDATE($B$5,30),$A81),$F$6:$F$35,"&lt;&gt;")/100</f>
        <v/>
      </c>
      <c r="BU81" s="23">
        <f>$B$7+$B$9*(BT81-$B$7)+$C$18/100</f>
        <v/>
      </c>
      <c r="BV81" s="23">
        <f>$B$7+$B$9*(BT81-$B$7)+$C$19/100</f>
        <v/>
      </c>
      <c r="BW81" s="23">
        <f>$B$7+$B$9*(AVERAGE(INDEX(BT$51:BT$86,MAX(1,30)):INDEX(BT$51:BT$86,31))-$B$7)+$C$20/100</f>
        <v/>
      </c>
      <c r="BX81" s="23">
        <f>$B$7+$B$9*(AVERAGE(INDEX(BT$51:BT$86,MAX(1,29)):INDEX(BT$51:BT$86,31))-$B$7)+$C$21/100</f>
        <v/>
      </c>
      <c r="BY81" s="20">
        <f>BY80+BZ80</f>
        <v/>
      </c>
      <c r="BZ81" s="32">
        <f>BY81*(($B$18*BU81+$B$19*BV81+$B$20*BW81+$B$21*BX81)/$B$8)/100*$B81/360</f>
        <v/>
      </c>
      <c r="CA81" s="33">
        <f>IF($B$11="RCV",1,-1)*(($B$12/100)-(BT81/100+$B$13/10000))*$B81/360</f>
        <v/>
      </c>
    </row>
    <row r="82" outlineLevel="1">
      <c r="A82" s="15">
        <f>IF(31&lt;$B$6,EDATE($B$5,31),"")</f>
        <v/>
      </c>
      <c r="B82" s="24">
        <f>IF(A82="",0,EDATE(A82,1)-A82)</f>
        <v/>
      </c>
      <c r="C82" s="23">
        <f>SUM(D82:O82)</f>
        <v/>
      </c>
      <c r="D82" s="16">
        <f>IF($B82=0,0,IF(AND($B$26&gt;0,$D$26&gt;$A82),$B$26*$C$26/100/12,0))</f>
        <v/>
      </c>
      <c r="E82" s="16">
        <f>IF($B82=0,0,IF(AND($B$27&gt;0,$D$27&gt;$A82),$B$27*$C$27/100/12,0))</f>
        <v/>
      </c>
      <c r="F82" s="16">
        <f>IF($B82=0,0,IF(AND($B$28&gt;0,$D$28&gt;$A82),$B$28*$C$28/100/12,0))</f>
        <v/>
      </c>
      <c r="G82" s="16">
        <f>IF($B82=0,0,IF(AND($B$29&gt;0,$D$29&gt;$A82),$B$29*$C$29/100/12,0))</f>
        <v/>
      </c>
      <c r="H82" s="16">
        <f>IF($B82=0,0,IF(AND($B$30&gt;0,$D$30&gt;$A82),$B$30*$C$30/100/12,0))</f>
        <v/>
      </c>
      <c r="I82" s="16">
        <f>IF($B82=0,0,IF(AND($B$31&gt;0,$D$31&gt;$A82),$B$31*$C$31/100/12,0))</f>
        <v/>
      </c>
      <c r="J82" s="16">
        <f>IF($B82=0,0,IF(AND($B$32&gt;0,$D$32&gt;$A82),$B$32*$C$32/100/12,0))</f>
        <v/>
      </c>
      <c r="K82" s="16">
        <f>IF($B82=0,0,IF(AND($B$33&gt;0,$D$33&gt;$A82),$B$33*$C$33/100/12,0))</f>
        <v/>
      </c>
      <c r="L82" s="16">
        <f>IF($B82=0,0,IF(AND($B$34&gt;0,$D$34&gt;$A82),$B$34*$C$34/100/12,0))</f>
        <v/>
      </c>
      <c r="M82" s="16">
        <f>IF($B82=0,0,IF(AND($B$35&gt;0,$D$35&gt;$A82),$B$35*$C$35/100/12,0))</f>
        <v/>
      </c>
      <c r="N82" s="16">
        <f>IF($B82=0,0,IF(AND($B$36&gt;0,$D$36&gt;$A82),$B$36*$C$36/100/12,0))</f>
        <v/>
      </c>
      <c r="O82" s="16">
        <f>IF($B82=0,0,IF(AND($B$37&gt;0,$D$37&gt;$A82),$B$37*$C$37/100/12,0))</f>
        <v/>
      </c>
      <c r="P82" s="23">
        <f>$B$7+H$37*SUMIFS(H$6:H$35,$G$6:$G$35,"&lt;="&amp;IF($A82="",EDATE($B$5,31),$A82),$F$6:$F$35,"&lt;&gt;")/100</f>
        <v/>
      </c>
      <c r="Q82" s="23">
        <f>$B$7+$B$9*(P82-$B$7)+$C$18/100</f>
        <v/>
      </c>
      <c r="R82" s="23">
        <f>$B$7+$B$9*(P82-$B$7)+$C$19/100</f>
        <v/>
      </c>
      <c r="S82" s="23">
        <f>$B$7+$B$9*(AVERAGE(INDEX(P$51:P$86,MAX(1,31)):INDEX(P$51:P$86,32))-$B$7)+$C$20/100</f>
        <v/>
      </c>
      <c r="T82" s="23">
        <f>$B$7+$B$9*(AVERAGE(INDEX(P$51:P$86,MAX(1,30)):INDEX(P$51:P$86,32))-$B$7)+$C$21/100</f>
        <v/>
      </c>
      <c r="U82" s="20">
        <f>U81+V81</f>
        <v/>
      </c>
      <c r="V82" s="32">
        <f>U82*(($B$18*Q82+$B$19*R82+$B$20*S82+$B$21*T82)/$B$8)/100*$B82/360</f>
        <v/>
      </c>
      <c r="W82" s="33">
        <f>IF($B$11="RCV",1,-1)*(($B$12/100)-(P82/100+$B$13/10000))*$B82/360</f>
        <v/>
      </c>
      <c r="X82" s="23">
        <f>$B$7+I$37*SUMIFS(I$6:I$35,$G$6:$G$35,"&lt;="&amp;IF($A82="",EDATE($B$5,31),$A82),$F$6:$F$35,"&lt;&gt;")/100</f>
        <v/>
      </c>
      <c r="Y82" s="23">
        <f>$B$7+$B$9*(X82-$B$7)+$C$18/100</f>
        <v/>
      </c>
      <c r="Z82" s="23">
        <f>$B$7+$B$9*(X82-$B$7)+$C$19/100</f>
        <v/>
      </c>
      <c r="AA82" s="23">
        <f>$B$7+$B$9*(AVERAGE(INDEX(X$51:X$86,MAX(1,31)):INDEX(X$51:X$86,32))-$B$7)+$C$20/100</f>
        <v/>
      </c>
      <c r="AB82" s="23">
        <f>$B$7+$B$9*(AVERAGE(INDEX(X$51:X$86,MAX(1,30)):INDEX(X$51:X$86,32))-$B$7)+$C$21/100</f>
        <v/>
      </c>
      <c r="AC82" s="20">
        <f>AC81+AD81</f>
        <v/>
      </c>
      <c r="AD82" s="32">
        <f>AC82*(($B$18*Y82+$B$19*Z82+$B$20*AA82+$B$21*AB82)/$B$8)/100*$B82/360</f>
        <v/>
      </c>
      <c r="AE82" s="33">
        <f>IF($B$11="RCV",1,-1)*(($B$12/100)-(X82/100+$B$13/10000))*$B82/360</f>
        <v/>
      </c>
      <c r="AF82" s="23">
        <f>$B$7+J$37*SUMIFS(J$6:J$35,$G$6:$G$35,"&lt;="&amp;IF($A82="",EDATE($B$5,31),$A82),$F$6:$F$35,"&lt;&gt;")/100</f>
        <v/>
      </c>
      <c r="AG82" s="23">
        <f>$B$7+$B$9*(AF82-$B$7)+$C$18/100</f>
        <v/>
      </c>
      <c r="AH82" s="23">
        <f>$B$7+$B$9*(AF82-$B$7)+$C$19/100</f>
        <v/>
      </c>
      <c r="AI82" s="23">
        <f>$B$7+$B$9*(AVERAGE(INDEX(AF$51:AF$86,MAX(1,31)):INDEX(AF$51:AF$86,32))-$B$7)+$C$20/100</f>
        <v/>
      </c>
      <c r="AJ82" s="23">
        <f>$B$7+$B$9*(AVERAGE(INDEX(AF$51:AF$86,MAX(1,30)):INDEX(AF$51:AF$86,32))-$B$7)+$C$21/100</f>
        <v/>
      </c>
      <c r="AK82" s="20">
        <f>AK81+AL81</f>
        <v/>
      </c>
      <c r="AL82" s="32">
        <f>AK82*(($B$18*AG82+$B$19*AH82+$B$20*AI82+$B$21*AJ82)/$B$8)/100*$B82/360</f>
        <v/>
      </c>
      <c r="AM82" s="33">
        <f>IF($B$11="RCV",1,-1)*(($B$12/100)-(AF82/100+$B$13/10000))*$B82/360</f>
        <v/>
      </c>
      <c r="AN82" s="23">
        <f>$B$7+K$37*SUMIFS(K$6:K$35,$G$6:$G$35,"&lt;="&amp;IF($A82="",EDATE($B$5,31),$A82),$F$6:$F$35,"&lt;&gt;")/100</f>
        <v/>
      </c>
      <c r="AO82" s="23">
        <f>$B$7+$B$9*(AN82-$B$7)+$C$18/100</f>
        <v/>
      </c>
      <c r="AP82" s="23">
        <f>$B$7+$B$9*(AN82-$B$7)+$C$19/100</f>
        <v/>
      </c>
      <c r="AQ82" s="23">
        <f>$B$7+$B$9*(AVERAGE(INDEX(AN$51:AN$86,MAX(1,31)):INDEX(AN$51:AN$86,32))-$B$7)+$C$20/100</f>
        <v/>
      </c>
      <c r="AR82" s="23">
        <f>$B$7+$B$9*(AVERAGE(INDEX(AN$51:AN$86,MAX(1,30)):INDEX(AN$51:AN$86,32))-$B$7)+$C$21/100</f>
        <v/>
      </c>
      <c r="AS82" s="20">
        <f>AS81+AT81</f>
        <v/>
      </c>
      <c r="AT82" s="32">
        <f>AS82*(($B$18*AO82+$B$19*AP82+$B$20*AQ82+$B$21*AR82)/$B$8)/100*$B82/360</f>
        <v/>
      </c>
      <c r="AU82" s="33">
        <f>IF($B$11="RCV",1,-1)*(($B$12/100)-(AN82/100+$B$13/10000))*$B82/360</f>
        <v/>
      </c>
      <c r="AV82" s="23">
        <f>$B$7+L$37*SUMIFS(L$6:L$35,$G$6:$G$35,"&lt;="&amp;IF($A82="",EDATE($B$5,31),$A82),$F$6:$F$35,"&lt;&gt;")/100</f>
        <v/>
      </c>
      <c r="AW82" s="23">
        <f>$B$7+$B$9*(AV82-$B$7)+$C$18/100</f>
        <v/>
      </c>
      <c r="AX82" s="23">
        <f>$B$7+$B$9*(AV82-$B$7)+$C$19/100</f>
        <v/>
      </c>
      <c r="AY82" s="23">
        <f>$B$7+$B$9*(AVERAGE(INDEX(AV$51:AV$86,MAX(1,31)):INDEX(AV$51:AV$86,32))-$B$7)+$C$20/100</f>
        <v/>
      </c>
      <c r="AZ82" s="23">
        <f>$B$7+$B$9*(AVERAGE(INDEX(AV$51:AV$86,MAX(1,30)):INDEX(AV$51:AV$86,32))-$B$7)+$C$21/100</f>
        <v/>
      </c>
      <c r="BA82" s="20">
        <f>BA81+BB81</f>
        <v/>
      </c>
      <c r="BB82" s="32">
        <f>BA82*(($B$18*AW82+$B$19*AX82+$B$20*AY82+$B$21*AZ82)/$B$8)/100*$B82/360</f>
        <v/>
      </c>
      <c r="BC82" s="33">
        <f>IF($B$11="RCV",1,-1)*(($B$12/100)-(AV82/100+$B$13/10000))*$B82/360</f>
        <v/>
      </c>
      <c r="BD82" s="23">
        <f>$B$7+M$37*SUMIFS(M$6:M$35,$G$6:$G$35,"&lt;="&amp;IF($A82="",EDATE($B$5,31),$A82),$F$6:$F$35,"&lt;&gt;")/100</f>
        <v/>
      </c>
      <c r="BE82" s="23">
        <f>$B$7+$B$9*(BD82-$B$7)+$C$18/100</f>
        <v/>
      </c>
      <c r="BF82" s="23">
        <f>$B$7+$B$9*(BD82-$B$7)+$C$19/100</f>
        <v/>
      </c>
      <c r="BG82" s="23">
        <f>$B$7+$B$9*(AVERAGE(INDEX(BD$51:BD$86,MAX(1,31)):INDEX(BD$51:BD$86,32))-$B$7)+$C$20/100</f>
        <v/>
      </c>
      <c r="BH82" s="23">
        <f>$B$7+$B$9*(AVERAGE(INDEX(BD$51:BD$86,MAX(1,30)):INDEX(BD$51:BD$86,32))-$B$7)+$C$21/100</f>
        <v/>
      </c>
      <c r="BI82" s="20">
        <f>BI81+BJ81</f>
        <v/>
      </c>
      <c r="BJ82" s="32">
        <f>BI82*(($B$18*BE82+$B$19*BF82+$B$20*BG82+$B$21*BH82)/$B$8)/100*$B82/360</f>
        <v/>
      </c>
      <c r="BK82" s="33">
        <f>IF($B$11="RCV",1,-1)*(($B$12/100)-(BD82/100+$B$13/10000))*$B82/360</f>
        <v/>
      </c>
      <c r="BL82" s="23">
        <f>$B$7+N$37*SUMIFS(N$6:N$35,$G$6:$G$35,"&lt;="&amp;IF($A82="",EDATE($B$5,31),$A82),$F$6:$F$35,"&lt;&gt;")/100</f>
        <v/>
      </c>
      <c r="BM82" s="23">
        <f>$B$7+$B$9*(BL82-$B$7)+$C$18/100</f>
        <v/>
      </c>
      <c r="BN82" s="23">
        <f>$B$7+$B$9*(BL82-$B$7)+$C$19/100</f>
        <v/>
      </c>
      <c r="BO82" s="23">
        <f>$B$7+$B$9*(AVERAGE(INDEX(BL$51:BL$86,MAX(1,31)):INDEX(BL$51:BL$86,32))-$B$7)+$C$20/100</f>
        <v/>
      </c>
      <c r="BP82" s="23">
        <f>$B$7+$B$9*(AVERAGE(INDEX(BL$51:BL$86,MAX(1,30)):INDEX(BL$51:BL$86,32))-$B$7)+$C$21/100</f>
        <v/>
      </c>
      <c r="BQ82" s="20">
        <f>BQ81+BR81</f>
        <v/>
      </c>
      <c r="BR82" s="32">
        <f>BQ82*(($B$18*BM82+$B$19*BN82+$B$20*BO82+$B$21*BP82)/$B$8)/100*$B82/360</f>
        <v/>
      </c>
      <c r="BS82" s="33">
        <f>IF($B$11="RCV",1,-1)*(($B$12/100)-(BL82/100+$B$13/10000))*$B82/360</f>
        <v/>
      </c>
      <c r="BT82" s="23">
        <f>$B$7+O$37*SUMIFS(O$6:O$35,$G$6:$G$35,"&lt;="&amp;IF($A82="",EDATE($B$5,31),$A82),$F$6:$F$35,"&lt;&gt;")/100</f>
        <v/>
      </c>
      <c r="BU82" s="23">
        <f>$B$7+$B$9*(BT82-$B$7)+$C$18/100</f>
        <v/>
      </c>
      <c r="BV82" s="23">
        <f>$B$7+$B$9*(BT82-$B$7)+$C$19/100</f>
        <v/>
      </c>
      <c r="BW82" s="23">
        <f>$B$7+$B$9*(AVERAGE(INDEX(BT$51:BT$86,MAX(1,31)):INDEX(BT$51:BT$86,32))-$B$7)+$C$20/100</f>
        <v/>
      </c>
      <c r="BX82" s="23">
        <f>$B$7+$B$9*(AVERAGE(INDEX(BT$51:BT$86,MAX(1,30)):INDEX(BT$51:BT$86,32))-$B$7)+$C$21/100</f>
        <v/>
      </c>
      <c r="BY82" s="20">
        <f>BY81+BZ81</f>
        <v/>
      </c>
      <c r="BZ82" s="32">
        <f>BY82*(($B$18*BU82+$B$19*BV82+$B$20*BW82+$B$21*BX82)/$B$8)/100*$B82/360</f>
        <v/>
      </c>
      <c r="CA82" s="33">
        <f>IF($B$11="RCV",1,-1)*(($B$12/100)-(BT82/100+$B$13/10000))*$B82/360</f>
        <v/>
      </c>
    </row>
    <row r="83" outlineLevel="1">
      <c r="A83" s="15">
        <f>IF(32&lt;$B$6,EDATE($B$5,32),"")</f>
        <v/>
      </c>
      <c r="B83" s="24">
        <f>IF(A83="",0,EDATE(A83,1)-A83)</f>
        <v/>
      </c>
      <c r="C83" s="23">
        <f>SUM(D83:O83)</f>
        <v/>
      </c>
      <c r="D83" s="16">
        <f>IF($B83=0,0,IF(AND($B$26&gt;0,$D$26&gt;$A83),$B$26*$C$26/100/12,0))</f>
        <v/>
      </c>
      <c r="E83" s="16">
        <f>IF($B83=0,0,IF(AND($B$27&gt;0,$D$27&gt;$A83),$B$27*$C$27/100/12,0))</f>
        <v/>
      </c>
      <c r="F83" s="16">
        <f>IF($B83=0,0,IF(AND($B$28&gt;0,$D$28&gt;$A83),$B$28*$C$28/100/12,0))</f>
        <v/>
      </c>
      <c r="G83" s="16">
        <f>IF($B83=0,0,IF(AND($B$29&gt;0,$D$29&gt;$A83),$B$29*$C$29/100/12,0))</f>
        <v/>
      </c>
      <c r="H83" s="16">
        <f>IF($B83=0,0,IF(AND($B$30&gt;0,$D$30&gt;$A83),$B$30*$C$30/100/12,0))</f>
        <v/>
      </c>
      <c r="I83" s="16">
        <f>IF($B83=0,0,IF(AND($B$31&gt;0,$D$31&gt;$A83),$B$31*$C$31/100/12,0))</f>
        <v/>
      </c>
      <c r="J83" s="16">
        <f>IF($B83=0,0,IF(AND($B$32&gt;0,$D$32&gt;$A83),$B$32*$C$32/100/12,0))</f>
        <v/>
      </c>
      <c r="K83" s="16">
        <f>IF($B83=0,0,IF(AND($B$33&gt;0,$D$33&gt;$A83),$B$33*$C$33/100/12,0))</f>
        <v/>
      </c>
      <c r="L83" s="16">
        <f>IF($B83=0,0,IF(AND($B$34&gt;0,$D$34&gt;$A83),$B$34*$C$34/100/12,0))</f>
        <v/>
      </c>
      <c r="M83" s="16">
        <f>IF($B83=0,0,IF(AND($B$35&gt;0,$D$35&gt;$A83),$B$35*$C$35/100/12,0))</f>
        <v/>
      </c>
      <c r="N83" s="16">
        <f>IF($B83=0,0,IF(AND($B$36&gt;0,$D$36&gt;$A83),$B$36*$C$36/100/12,0))</f>
        <v/>
      </c>
      <c r="O83" s="16">
        <f>IF($B83=0,0,IF(AND($B$37&gt;0,$D$37&gt;$A83),$B$37*$C$37/100/12,0))</f>
        <v/>
      </c>
      <c r="P83" s="23">
        <f>$B$7+H$37*SUMIFS(H$6:H$35,$G$6:$G$35,"&lt;="&amp;IF($A83="",EDATE($B$5,32),$A83),$F$6:$F$35,"&lt;&gt;")/100</f>
        <v/>
      </c>
      <c r="Q83" s="23">
        <f>$B$7+$B$9*(P83-$B$7)+$C$18/100</f>
        <v/>
      </c>
      <c r="R83" s="23">
        <f>$B$7+$B$9*(P83-$B$7)+$C$19/100</f>
        <v/>
      </c>
      <c r="S83" s="23">
        <f>$B$7+$B$9*(AVERAGE(INDEX(P$51:P$86,MAX(1,32)):INDEX(P$51:P$86,33))-$B$7)+$C$20/100</f>
        <v/>
      </c>
      <c r="T83" s="23">
        <f>$B$7+$B$9*(AVERAGE(INDEX(P$51:P$86,MAX(1,31)):INDEX(P$51:P$86,33))-$B$7)+$C$21/100</f>
        <v/>
      </c>
      <c r="U83" s="20">
        <f>U82+V82</f>
        <v/>
      </c>
      <c r="V83" s="32">
        <f>U83*(($B$18*Q83+$B$19*R83+$B$20*S83+$B$21*T83)/$B$8)/100*$B83/360</f>
        <v/>
      </c>
      <c r="W83" s="33">
        <f>IF($B$11="RCV",1,-1)*(($B$12/100)-(P83/100+$B$13/10000))*$B83/360</f>
        <v/>
      </c>
      <c r="X83" s="23">
        <f>$B$7+I$37*SUMIFS(I$6:I$35,$G$6:$G$35,"&lt;="&amp;IF($A83="",EDATE($B$5,32),$A83),$F$6:$F$35,"&lt;&gt;")/100</f>
        <v/>
      </c>
      <c r="Y83" s="23">
        <f>$B$7+$B$9*(X83-$B$7)+$C$18/100</f>
        <v/>
      </c>
      <c r="Z83" s="23">
        <f>$B$7+$B$9*(X83-$B$7)+$C$19/100</f>
        <v/>
      </c>
      <c r="AA83" s="23">
        <f>$B$7+$B$9*(AVERAGE(INDEX(X$51:X$86,MAX(1,32)):INDEX(X$51:X$86,33))-$B$7)+$C$20/100</f>
        <v/>
      </c>
      <c r="AB83" s="23">
        <f>$B$7+$B$9*(AVERAGE(INDEX(X$51:X$86,MAX(1,31)):INDEX(X$51:X$86,33))-$B$7)+$C$21/100</f>
        <v/>
      </c>
      <c r="AC83" s="20">
        <f>AC82+AD82</f>
        <v/>
      </c>
      <c r="AD83" s="32">
        <f>AC83*(($B$18*Y83+$B$19*Z83+$B$20*AA83+$B$21*AB83)/$B$8)/100*$B83/360</f>
        <v/>
      </c>
      <c r="AE83" s="33">
        <f>IF($B$11="RCV",1,-1)*(($B$12/100)-(X83/100+$B$13/10000))*$B83/360</f>
        <v/>
      </c>
      <c r="AF83" s="23">
        <f>$B$7+J$37*SUMIFS(J$6:J$35,$G$6:$G$35,"&lt;="&amp;IF($A83="",EDATE($B$5,32),$A83),$F$6:$F$35,"&lt;&gt;")/100</f>
        <v/>
      </c>
      <c r="AG83" s="23">
        <f>$B$7+$B$9*(AF83-$B$7)+$C$18/100</f>
        <v/>
      </c>
      <c r="AH83" s="23">
        <f>$B$7+$B$9*(AF83-$B$7)+$C$19/100</f>
        <v/>
      </c>
      <c r="AI83" s="23">
        <f>$B$7+$B$9*(AVERAGE(INDEX(AF$51:AF$86,MAX(1,32)):INDEX(AF$51:AF$86,33))-$B$7)+$C$20/100</f>
        <v/>
      </c>
      <c r="AJ83" s="23">
        <f>$B$7+$B$9*(AVERAGE(INDEX(AF$51:AF$86,MAX(1,31)):INDEX(AF$51:AF$86,33))-$B$7)+$C$21/100</f>
        <v/>
      </c>
      <c r="AK83" s="20">
        <f>AK82+AL82</f>
        <v/>
      </c>
      <c r="AL83" s="32">
        <f>AK83*(($B$18*AG83+$B$19*AH83+$B$20*AI83+$B$21*AJ83)/$B$8)/100*$B83/360</f>
        <v/>
      </c>
      <c r="AM83" s="33">
        <f>IF($B$11="RCV",1,-1)*(($B$12/100)-(AF83/100+$B$13/10000))*$B83/360</f>
        <v/>
      </c>
      <c r="AN83" s="23">
        <f>$B$7+K$37*SUMIFS(K$6:K$35,$G$6:$G$35,"&lt;="&amp;IF($A83="",EDATE($B$5,32),$A83),$F$6:$F$35,"&lt;&gt;")/100</f>
        <v/>
      </c>
      <c r="AO83" s="23">
        <f>$B$7+$B$9*(AN83-$B$7)+$C$18/100</f>
        <v/>
      </c>
      <c r="AP83" s="23">
        <f>$B$7+$B$9*(AN83-$B$7)+$C$19/100</f>
        <v/>
      </c>
      <c r="AQ83" s="23">
        <f>$B$7+$B$9*(AVERAGE(INDEX(AN$51:AN$86,MAX(1,32)):INDEX(AN$51:AN$86,33))-$B$7)+$C$20/100</f>
        <v/>
      </c>
      <c r="AR83" s="23">
        <f>$B$7+$B$9*(AVERAGE(INDEX(AN$51:AN$86,MAX(1,31)):INDEX(AN$51:AN$86,33))-$B$7)+$C$21/100</f>
        <v/>
      </c>
      <c r="AS83" s="20">
        <f>AS82+AT82</f>
        <v/>
      </c>
      <c r="AT83" s="32">
        <f>AS83*(($B$18*AO83+$B$19*AP83+$B$20*AQ83+$B$21*AR83)/$B$8)/100*$B83/360</f>
        <v/>
      </c>
      <c r="AU83" s="33">
        <f>IF($B$11="RCV",1,-1)*(($B$12/100)-(AN83/100+$B$13/10000))*$B83/360</f>
        <v/>
      </c>
      <c r="AV83" s="23">
        <f>$B$7+L$37*SUMIFS(L$6:L$35,$G$6:$G$35,"&lt;="&amp;IF($A83="",EDATE($B$5,32),$A83),$F$6:$F$35,"&lt;&gt;")/100</f>
        <v/>
      </c>
      <c r="AW83" s="23">
        <f>$B$7+$B$9*(AV83-$B$7)+$C$18/100</f>
        <v/>
      </c>
      <c r="AX83" s="23">
        <f>$B$7+$B$9*(AV83-$B$7)+$C$19/100</f>
        <v/>
      </c>
      <c r="AY83" s="23">
        <f>$B$7+$B$9*(AVERAGE(INDEX(AV$51:AV$86,MAX(1,32)):INDEX(AV$51:AV$86,33))-$B$7)+$C$20/100</f>
        <v/>
      </c>
      <c r="AZ83" s="23">
        <f>$B$7+$B$9*(AVERAGE(INDEX(AV$51:AV$86,MAX(1,31)):INDEX(AV$51:AV$86,33))-$B$7)+$C$21/100</f>
        <v/>
      </c>
      <c r="BA83" s="20">
        <f>BA82+BB82</f>
        <v/>
      </c>
      <c r="BB83" s="32">
        <f>BA83*(($B$18*AW83+$B$19*AX83+$B$20*AY83+$B$21*AZ83)/$B$8)/100*$B83/360</f>
        <v/>
      </c>
      <c r="BC83" s="33">
        <f>IF($B$11="RCV",1,-1)*(($B$12/100)-(AV83/100+$B$13/10000))*$B83/360</f>
        <v/>
      </c>
      <c r="BD83" s="23">
        <f>$B$7+M$37*SUMIFS(M$6:M$35,$G$6:$G$35,"&lt;="&amp;IF($A83="",EDATE($B$5,32),$A83),$F$6:$F$35,"&lt;&gt;")/100</f>
        <v/>
      </c>
      <c r="BE83" s="23">
        <f>$B$7+$B$9*(BD83-$B$7)+$C$18/100</f>
        <v/>
      </c>
      <c r="BF83" s="23">
        <f>$B$7+$B$9*(BD83-$B$7)+$C$19/100</f>
        <v/>
      </c>
      <c r="BG83" s="23">
        <f>$B$7+$B$9*(AVERAGE(INDEX(BD$51:BD$86,MAX(1,32)):INDEX(BD$51:BD$86,33))-$B$7)+$C$20/100</f>
        <v/>
      </c>
      <c r="BH83" s="23">
        <f>$B$7+$B$9*(AVERAGE(INDEX(BD$51:BD$86,MAX(1,31)):INDEX(BD$51:BD$86,33))-$B$7)+$C$21/100</f>
        <v/>
      </c>
      <c r="BI83" s="20">
        <f>BI82+BJ82</f>
        <v/>
      </c>
      <c r="BJ83" s="32">
        <f>BI83*(($B$18*BE83+$B$19*BF83+$B$20*BG83+$B$21*BH83)/$B$8)/100*$B83/360</f>
        <v/>
      </c>
      <c r="BK83" s="33">
        <f>IF($B$11="RCV",1,-1)*(($B$12/100)-(BD83/100+$B$13/10000))*$B83/360</f>
        <v/>
      </c>
      <c r="BL83" s="23">
        <f>$B$7+N$37*SUMIFS(N$6:N$35,$G$6:$G$35,"&lt;="&amp;IF($A83="",EDATE($B$5,32),$A83),$F$6:$F$35,"&lt;&gt;")/100</f>
        <v/>
      </c>
      <c r="BM83" s="23">
        <f>$B$7+$B$9*(BL83-$B$7)+$C$18/100</f>
        <v/>
      </c>
      <c r="BN83" s="23">
        <f>$B$7+$B$9*(BL83-$B$7)+$C$19/100</f>
        <v/>
      </c>
      <c r="BO83" s="23">
        <f>$B$7+$B$9*(AVERAGE(INDEX(BL$51:BL$86,MAX(1,32)):INDEX(BL$51:BL$86,33))-$B$7)+$C$20/100</f>
        <v/>
      </c>
      <c r="BP83" s="23">
        <f>$B$7+$B$9*(AVERAGE(INDEX(BL$51:BL$86,MAX(1,31)):INDEX(BL$51:BL$86,33))-$B$7)+$C$21/100</f>
        <v/>
      </c>
      <c r="BQ83" s="20">
        <f>BQ82+BR82</f>
        <v/>
      </c>
      <c r="BR83" s="32">
        <f>BQ83*(($B$18*BM83+$B$19*BN83+$B$20*BO83+$B$21*BP83)/$B$8)/100*$B83/360</f>
        <v/>
      </c>
      <c r="BS83" s="33">
        <f>IF($B$11="RCV",1,-1)*(($B$12/100)-(BL83/100+$B$13/10000))*$B83/360</f>
        <v/>
      </c>
      <c r="BT83" s="23">
        <f>$B$7+O$37*SUMIFS(O$6:O$35,$G$6:$G$35,"&lt;="&amp;IF($A83="",EDATE($B$5,32),$A83),$F$6:$F$35,"&lt;&gt;")/100</f>
        <v/>
      </c>
      <c r="BU83" s="23">
        <f>$B$7+$B$9*(BT83-$B$7)+$C$18/100</f>
        <v/>
      </c>
      <c r="BV83" s="23">
        <f>$B$7+$B$9*(BT83-$B$7)+$C$19/100</f>
        <v/>
      </c>
      <c r="BW83" s="23">
        <f>$B$7+$B$9*(AVERAGE(INDEX(BT$51:BT$86,MAX(1,32)):INDEX(BT$51:BT$86,33))-$B$7)+$C$20/100</f>
        <v/>
      </c>
      <c r="BX83" s="23">
        <f>$B$7+$B$9*(AVERAGE(INDEX(BT$51:BT$86,MAX(1,31)):INDEX(BT$51:BT$86,33))-$B$7)+$C$21/100</f>
        <v/>
      </c>
      <c r="BY83" s="20">
        <f>BY82+BZ82</f>
        <v/>
      </c>
      <c r="BZ83" s="32">
        <f>BY83*(($B$18*BU83+$B$19*BV83+$B$20*BW83+$B$21*BX83)/$B$8)/100*$B83/360</f>
        <v/>
      </c>
      <c r="CA83" s="33">
        <f>IF($B$11="RCV",1,-1)*(($B$12/100)-(BT83/100+$B$13/10000))*$B83/360</f>
        <v/>
      </c>
    </row>
    <row r="84" outlineLevel="1">
      <c r="A84" s="15">
        <f>IF(33&lt;$B$6,EDATE($B$5,33),"")</f>
        <v/>
      </c>
      <c r="B84" s="24">
        <f>IF(A84="",0,EDATE(A84,1)-A84)</f>
        <v/>
      </c>
      <c r="C84" s="23">
        <f>SUM(D84:O84)</f>
        <v/>
      </c>
      <c r="D84" s="16">
        <f>IF($B84=0,0,IF(AND($B$26&gt;0,$D$26&gt;$A84),$B$26*$C$26/100/12,0))</f>
        <v/>
      </c>
      <c r="E84" s="16">
        <f>IF($B84=0,0,IF(AND($B$27&gt;0,$D$27&gt;$A84),$B$27*$C$27/100/12,0))</f>
        <v/>
      </c>
      <c r="F84" s="16">
        <f>IF($B84=0,0,IF(AND($B$28&gt;0,$D$28&gt;$A84),$B$28*$C$28/100/12,0))</f>
        <v/>
      </c>
      <c r="G84" s="16">
        <f>IF($B84=0,0,IF(AND($B$29&gt;0,$D$29&gt;$A84),$B$29*$C$29/100/12,0))</f>
        <v/>
      </c>
      <c r="H84" s="16">
        <f>IF($B84=0,0,IF(AND($B$30&gt;0,$D$30&gt;$A84),$B$30*$C$30/100/12,0))</f>
        <v/>
      </c>
      <c r="I84" s="16">
        <f>IF($B84=0,0,IF(AND($B$31&gt;0,$D$31&gt;$A84),$B$31*$C$31/100/12,0))</f>
        <v/>
      </c>
      <c r="J84" s="16">
        <f>IF($B84=0,0,IF(AND($B$32&gt;0,$D$32&gt;$A84),$B$32*$C$32/100/12,0))</f>
        <v/>
      </c>
      <c r="K84" s="16">
        <f>IF($B84=0,0,IF(AND($B$33&gt;0,$D$33&gt;$A84),$B$33*$C$33/100/12,0))</f>
        <v/>
      </c>
      <c r="L84" s="16">
        <f>IF($B84=0,0,IF(AND($B$34&gt;0,$D$34&gt;$A84),$B$34*$C$34/100/12,0))</f>
        <v/>
      </c>
      <c r="M84" s="16">
        <f>IF($B84=0,0,IF(AND($B$35&gt;0,$D$35&gt;$A84),$B$35*$C$35/100/12,0))</f>
        <v/>
      </c>
      <c r="N84" s="16">
        <f>IF($B84=0,0,IF(AND($B$36&gt;0,$D$36&gt;$A84),$B$36*$C$36/100/12,0))</f>
        <v/>
      </c>
      <c r="O84" s="16">
        <f>IF($B84=0,0,IF(AND($B$37&gt;0,$D$37&gt;$A84),$B$37*$C$37/100/12,0))</f>
        <v/>
      </c>
      <c r="P84" s="23">
        <f>$B$7+H$37*SUMIFS(H$6:H$35,$G$6:$G$35,"&lt;="&amp;IF($A84="",EDATE($B$5,33),$A84),$F$6:$F$35,"&lt;&gt;")/100</f>
        <v/>
      </c>
      <c r="Q84" s="23">
        <f>$B$7+$B$9*(P84-$B$7)+$C$18/100</f>
        <v/>
      </c>
      <c r="R84" s="23">
        <f>$B$7+$B$9*(P84-$B$7)+$C$19/100</f>
        <v/>
      </c>
      <c r="S84" s="23">
        <f>$B$7+$B$9*(AVERAGE(INDEX(P$51:P$86,MAX(1,33)):INDEX(P$51:P$86,34))-$B$7)+$C$20/100</f>
        <v/>
      </c>
      <c r="T84" s="23">
        <f>$B$7+$B$9*(AVERAGE(INDEX(P$51:P$86,MAX(1,32)):INDEX(P$51:P$86,34))-$B$7)+$C$21/100</f>
        <v/>
      </c>
      <c r="U84" s="20">
        <f>U83+V83</f>
        <v/>
      </c>
      <c r="V84" s="32">
        <f>U84*(($B$18*Q84+$B$19*R84+$B$20*S84+$B$21*T84)/$B$8)/100*$B84/360</f>
        <v/>
      </c>
      <c r="W84" s="33">
        <f>IF($B$11="RCV",1,-1)*(($B$12/100)-(P84/100+$B$13/10000))*$B84/360</f>
        <v/>
      </c>
      <c r="X84" s="23">
        <f>$B$7+I$37*SUMIFS(I$6:I$35,$G$6:$G$35,"&lt;="&amp;IF($A84="",EDATE($B$5,33),$A84),$F$6:$F$35,"&lt;&gt;")/100</f>
        <v/>
      </c>
      <c r="Y84" s="23">
        <f>$B$7+$B$9*(X84-$B$7)+$C$18/100</f>
        <v/>
      </c>
      <c r="Z84" s="23">
        <f>$B$7+$B$9*(X84-$B$7)+$C$19/100</f>
        <v/>
      </c>
      <c r="AA84" s="23">
        <f>$B$7+$B$9*(AVERAGE(INDEX(X$51:X$86,MAX(1,33)):INDEX(X$51:X$86,34))-$B$7)+$C$20/100</f>
        <v/>
      </c>
      <c r="AB84" s="23">
        <f>$B$7+$B$9*(AVERAGE(INDEX(X$51:X$86,MAX(1,32)):INDEX(X$51:X$86,34))-$B$7)+$C$21/100</f>
        <v/>
      </c>
      <c r="AC84" s="20">
        <f>AC83+AD83</f>
        <v/>
      </c>
      <c r="AD84" s="32">
        <f>AC84*(($B$18*Y84+$B$19*Z84+$B$20*AA84+$B$21*AB84)/$B$8)/100*$B84/360</f>
        <v/>
      </c>
      <c r="AE84" s="33">
        <f>IF($B$11="RCV",1,-1)*(($B$12/100)-(X84/100+$B$13/10000))*$B84/360</f>
        <v/>
      </c>
      <c r="AF84" s="23">
        <f>$B$7+J$37*SUMIFS(J$6:J$35,$G$6:$G$35,"&lt;="&amp;IF($A84="",EDATE($B$5,33),$A84),$F$6:$F$35,"&lt;&gt;")/100</f>
        <v/>
      </c>
      <c r="AG84" s="23">
        <f>$B$7+$B$9*(AF84-$B$7)+$C$18/100</f>
        <v/>
      </c>
      <c r="AH84" s="23">
        <f>$B$7+$B$9*(AF84-$B$7)+$C$19/100</f>
        <v/>
      </c>
      <c r="AI84" s="23">
        <f>$B$7+$B$9*(AVERAGE(INDEX(AF$51:AF$86,MAX(1,33)):INDEX(AF$51:AF$86,34))-$B$7)+$C$20/100</f>
        <v/>
      </c>
      <c r="AJ84" s="23">
        <f>$B$7+$B$9*(AVERAGE(INDEX(AF$51:AF$86,MAX(1,32)):INDEX(AF$51:AF$86,34))-$B$7)+$C$21/100</f>
        <v/>
      </c>
      <c r="AK84" s="20">
        <f>AK83+AL83</f>
        <v/>
      </c>
      <c r="AL84" s="32">
        <f>AK84*(($B$18*AG84+$B$19*AH84+$B$20*AI84+$B$21*AJ84)/$B$8)/100*$B84/360</f>
        <v/>
      </c>
      <c r="AM84" s="33">
        <f>IF($B$11="RCV",1,-1)*(($B$12/100)-(AF84/100+$B$13/10000))*$B84/360</f>
        <v/>
      </c>
      <c r="AN84" s="23">
        <f>$B$7+K$37*SUMIFS(K$6:K$35,$G$6:$G$35,"&lt;="&amp;IF($A84="",EDATE($B$5,33),$A84),$F$6:$F$35,"&lt;&gt;")/100</f>
        <v/>
      </c>
      <c r="AO84" s="23">
        <f>$B$7+$B$9*(AN84-$B$7)+$C$18/100</f>
        <v/>
      </c>
      <c r="AP84" s="23">
        <f>$B$7+$B$9*(AN84-$B$7)+$C$19/100</f>
        <v/>
      </c>
      <c r="AQ84" s="23">
        <f>$B$7+$B$9*(AVERAGE(INDEX(AN$51:AN$86,MAX(1,33)):INDEX(AN$51:AN$86,34))-$B$7)+$C$20/100</f>
        <v/>
      </c>
      <c r="AR84" s="23">
        <f>$B$7+$B$9*(AVERAGE(INDEX(AN$51:AN$86,MAX(1,32)):INDEX(AN$51:AN$86,34))-$B$7)+$C$21/100</f>
        <v/>
      </c>
      <c r="AS84" s="20">
        <f>AS83+AT83</f>
        <v/>
      </c>
      <c r="AT84" s="32">
        <f>AS84*(($B$18*AO84+$B$19*AP84+$B$20*AQ84+$B$21*AR84)/$B$8)/100*$B84/360</f>
        <v/>
      </c>
      <c r="AU84" s="33">
        <f>IF($B$11="RCV",1,-1)*(($B$12/100)-(AN84/100+$B$13/10000))*$B84/360</f>
        <v/>
      </c>
      <c r="AV84" s="23">
        <f>$B$7+L$37*SUMIFS(L$6:L$35,$G$6:$G$35,"&lt;="&amp;IF($A84="",EDATE($B$5,33),$A84),$F$6:$F$35,"&lt;&gt;")/100</f>
        <v/>
      </c>
      <c r="AW84" s="23">
        <f>$B$7+$B$9*(AV84-$B$7)+$C$18/100</f>
        <v/>
      </c>
      <c r="AX84" s="23">
        <f>$B$7+$B$9*(AV84-$B$7)+$C$19/100</f>
        <v/>
      </c>
      <c r="AY84" s="23">
        <f>$B$7+$B$9*(AVERAGE(INDEX(AV$51:AV$86,MAX(1,33)):INDEX(AV$51:AV$86,34))-$B$7)+$C$20/100</f>
        <v/>
      </c>
      <c r="AZ84" s="23">
        <f>$B$7+$B$9*(AVERAGE(INDEX(AV$51:AV$86,MAX(1,32)):INDEX(AV$51:AV$86,34))-$B$7)+$C$21/100</f>
        <v/>
      </c>
      <c r="BA84" s="20">
        <f>BA83+BB83</f>
        <v/>
      </c>
      <c r="BB84" s="32">
        <f>BA84*(($B$18*AW84+$B$19*AX84+$B$20*AY84+$B$21*AZ84)/$B$8)/100*$B84/360</f>
        <v/>
      </c>
      <c r="BC84" s="33">
        <f>IF($B$11="RCV",1,-1)*(($B$12/100)-(AV84/100+$B$13/10000))*$B84/360</f>
        <v/>
      </c>
      <c r="BD84" s="23">
        <f>$B$7+M$37*SUMIFS(M$6:M$35,$G$6:$G$35,"&lt;="&amp;IF($A84="",EDATE($B$5,33),$A84),$F$6:$F$35,"&lt;&gt;")/100</f>
        <v/>
      </c>
      <c r="BE84" s="23">
        <f>$B$7+$B$9*(BD84-$B$7)+$C$18/100</f>
        <v/>
      </c>
      <c r="BF84" s="23">
        <f>$B$7+$B$9*(BD84-$B$7)+$C$19/100</f>
        <v/>
      </c>
      <c r="BG84" s="23">
        <f>$B$7+$B$9*(AVERAGE(INDEX(BD$51:BD$86,MAX(1,33)):INDEX(BD$51:BD$86,34))-$B$7)+$C$20/100</f>
        <v/>
      </c>
      <c r="BH84" s="23">
        <f>$B$7+$B$9*(AVERAGE(INDEX(BD$51:BD$86,MAX(1,32)):INDEX(BD$51:BD$86,34))-$B$7)+$C$21/100</f>
        <v/>
      </c>
      <c r="BI84" s="20">
        <f>BI83+BJ83</f>
        <v/>
      </c>
      <c r="BJ84" s="32">
        <f>BI84*(($B$18*BE84+$B$19*BF84+$B$20*BG84+$B$21*BH84)/$B$8)/100*$B84/360</f>
        <v/>
      </c>
      <c r="BK84" s="33">
        <f>IF($B$11="RCV",1,-1)*(($B$12/100)-(BD84/100+$B$13/10000))*$B84/360</f>
        <v/>
      </c>
      <c r="BL84" s="23">
        <f>$B$7+N$37*SUMIFS(N$6:N$35,$G$6:$G$35,"&lt;="&amp;IF($A84="",EDATE($B$5,33),$A84),$F$6:$F$35,"&lt;&gt;")/100</f>
        <v/>
      </c>
      <c r="BM84" s="23">
        <f>$B$7+$B$9*(BL84-$B$7)+$C$18/100</f>
        <v/>
      </c>
      <c r="BN84" s="23">
        <f>$B$7+$B$9*(BL84-$B$7)+$C$19/100</f>
        <v/>
      </c>
      <c r="BO84" s="23">
        <f>$B$7+$B$9*(AVERAGE(INDEX(BL$51:BL$86,MAX(1,33)):INDEX(BL$51:BL$86,34))-$B$7)+$C$20/100</f>
        <v/>
      </c>
      <c r="BP84" s="23">
        <f>$B$7+$B$9*(AVERAGE(INDEX(BL$51:BL$86,MAX(1,32)):INDEX(BL$51:BL$86,34))-$B$7)+$C$21/100</f>
        <v/>
      </c>
      <c r="BQ84" s="20">
        <f>BQ83+BR83</f>
        <v/>
      </c>
      <c r="BR84" s="32">
        <f>BQ84*(($B$18*BM84+$B$19*BN84+$B$20*BO84+$B$21*BP84)/$B$8)/100*$B84/360</f>
        <v/>
      </c>
      <c r="BS84" s="33">
        <f>IF($B$11="RCV",1,-1)*(($B$12/100)-(BL84/100+$B$13/10000))*$B84/360</f>
        <v/>
      </c>
      <c r="BT84" s="23">
        <f>$B$7+O$37*SUMIFS(O$6:O$35,$G$6:$G$35,"&lt;="&amp;IF($A84="",EDATE($B$5,33),$A84),$F$6:$F$35,"&lt;&gt;")/100</f>
        <v/>
      </c>
      <c r="BU84" s="23">
        <f>$B$7+$B$9*(BT84-$B$7)+$C$18/100</f>
        <v/>
      </c>
      <c r="BV84" s="23">
        <f>$B$7+$B$9*(BT84-$B$7)+$C$19/100</f>
        <v/>
      </c>
      <c r="BW84" s="23">
        <f>$B$7+$B$9*(AVERAGE(INDEX(BT$51:BT$86,MAX(1,33)):INDEX(BT$51:BT$86,34))-$B$7)+$C$20/100</f>
        <v/>
      </c>
      <c r="BX84" s="23">
        <f>$B$7+$B$9*(AVERAGE(INDEX(BT$51:BT$86,MAX(1,32)):INDEX(BT$51:BT$86,34))-$B$7)+$C$21/100</f>
        <v/>
      </c>
      <c r="BY84" s="20">
        <f>BY83+BZ83</f>
        <v/>
      </c>
      <c r="BZ84" s="32">
        <f>BY84*(($B$18*BU84+$B$19*BV84+$B$20*BW84+$B$21*BX84)/$B$8)/100*$B84/360</f>
        <v/>
      </c>
      <c r="CA84" s="33">
        <f>IF($B$11="RCV",1,-1)*(($B$12/100)-(BT84/100+$B$13/10000))*$B84/360</f>
        <v/>
      </c>
    </row>
    <row r="85" outlineLevel="1">
      <c r="A85" s="15">
        <f>IF(34&lt;$B$6,EDATE($B$5,34),"")</f>
        <v/>
      </c>
      <c r="B85" s="24">
        <f>IF(A85="",0,EDATE(A85,1)-A85)</f>
        <v/>
      </c>
      <c r="C85" s="23">
        <f>SUM(D85:O85)</f>
        <v/>
      </c>
      <c r="D85" s="16">
        <f>IF($B85=0,0,IF(AND($B$26&gt;0,$D$26&gt;$A85),$B$26*$C$26/100/12,0))</f>
        <v/>
      </c>
      <c r="E85" s="16">
        <f>IF($B85=0,0,IF(AND($B$27&gt;0,$D$27&gt;$A85),$B$27*$C$27/100/12,0))</f>
        <v/>
      </c>
      <c r="F85" s="16">
        <f>IF($B85=0,0,IF(AND($B$28&gt;0,$D$28&gt;$A85),$B$28*$C$28/100/12,0))</f>
        <v/>
      </c>
      <c r="G85" s="16">
        <f>IF($B85=0,0,IF(AND($B$29&gt;0,$D$29&gt;$A85),$B$29*$C$29/100/12,0))</f>
        <v/>
      </c>
      <c r="H85" s="16">
        <f>IF($B85=0,0,IF(AND($B$30&gt;0,$D$30&gt;$A85),$B$30*$C$30/100/12,0))</f>
        <v/>
      </c>
      <c r="I85" s="16">
        <f>IF($B85=0,0,IF(AND($B$31&gt;0,$D$31&gt;$A85),$B$31*$C$31/100/12,0))</f>
        <v/>
      </c>
      <c r="J85" s="16">
        <f>IF($B85=0,0,IF(AND($B$32&gt;0,$D$32&gt;$A85),$B$32*$C$32/100/12,0))</f>
        <v/>
      </c>
      <c r="K85" s="16">
        <f>IF($B85=0,0,IF(AND($B$33&gt;0,$D$33&gt;$A85),$B$33*$C$33/100/12,0))</f>
        <v/>
      </c>
      <c r="L85" s="16">
        <f>IF($B85=0,0,IF(AND($B$34&gt;0,$D$34&gt;$A85),$B$34*$C$34/100/12,0))</f>
        <v/>
      </c>
      <c r="M85" s="16">
        <f>IF($B85=0,0,IF(AND($B$35&gt;0,$D$35&gt;$A85),$B$35*$C$35/100/12,0))</f>
        <v/>
      </c>
      <c r="N85" s="16">
        <f>IF($B85=0,0,IF(AND($B$36&gt;0,$D$36&gt;$A85),$B$36*$C$36/100/12,0))</f>
        <v/>
      </c>
      <c r="O85" s="16">
        <f>IF($B85=0,0,IF(AND($B$37&gt;0,$D$37&gt;$A85),$B$37*$C$37/100/12,0))</f>
        <v/>
      </c>
      <c r="P85" s="23">
        <f>$B$7+H$37*SUMIFS(H$6:H$35,$G$6:$G$35,"&lt;="&amp;IF($A85="",EDATE($B$5,34),$A85),$F$6:$F$35,"&lt;&gt;")/100</f>
        <v/>
      </c>
      <c r="Q85" s="23">
        <f>$B$7+$B$9*(P85-$B$7)+$C$18/100</f>
        <v/>
      </c>
      <c r="R85" s="23">
        <f>$B$7+$B$9*(P85-$B$7)+$C$19/100</f>
        <v/>
      </c>
      <c r="S85" s="23">
        <f>$B$7+$B$9*(AVERAGE(INDEX(P$51:P$86,MAX(1,34)):INDEX(P$51:P$86,35))-$B$7)+$C$20/100</f>
        <v/>
      </c>
      <c r="T85" s="23">
        <f>$B$7+$B$9*(AVERAGE(INDEX(P$51:P$86,MAX(1,33)):INDEX(P$51:P$86,35))-$B$7)+$C$21/100</f>
        <v/>
      </c>
      <c r="U85" s="20">
        <f>U84+V84</f>
        <v/>
      </c>
      <c r="V85" s="32">
        <f>U85*(($B$18*Q85+$B$19*R85+$B$20*S85+$B$21*T85)/$B$8)/100*$B85/360</f>
        <v/>
      </c>
      <c r="W85" s="33">
        <f>IF($B$11="RCV",1,-1)*(($B$12/100)-(P85/100+$B$13/10000))*$B85/360</f>
        <v/>
      </c>
      <c r="X85" s="23">
        <f>$B$7+I$37*SUMIFS(I$6:I$35,$G$6:$G$35,"&lt;="&amp;IF($A85="",EDATE($B$5,34),$A85),$F$6:$F$35,"&lt;&gt;")/100</f>
        <v/>
      </c>
      <c r="Y85" s="23">
        <f>$B$7+$B$9*(X85-$B$7)+$C$18/100</f>
        <v/>
      </c>
      <c r="Z85" s="23">
        <f>$B$7+$B$9*(X85-$B$7)+$C$19/100</f>
        <v/>
      </c>
      <c r="AA85" s="23">
        <f>$B$7+$B$9*(AVERAGE(INDEX(X$51:X$86,MAX(1,34)):INDEX(X$51:X$86,35))-$B$7)+$C$20/100</f>
        <v/>
      </c>
      <c r="AB85" s="23">
        <f>$B$7+$B$9*(AVERAGE(INDEX(X$51:X$86,MAX(1,33)):INDEX(X$51:X$86,35))-$B$7)+$C$21/100</f>
        <v/>
      </c>
      <c r="AC85" s="20">
        <f>AC84+AD84</f>
        <v/>
      </c>
      <c r="AD85" s="32">
        <f>AC85*(($B$18*Y85+$B$19*Z85+$B$20*AA85+$B$21*AB85)/$B$8)/100*$B85/360</f>
        <v/>
      </c>
      <c r="AE85" s="33">
        <f>IF($B$11="RCV",1,-1)*(($B$12/100)-(X85/100+$B$13/10000))*$B85/360</f>
        <v/>
      </c>
      <c r="AF85" s="23">
        <f>$B$7+J$37*SUMIFS(J$6:J$35,$G$6:$G$35,"&lt;="&amp;IF($A85="",EDATE($B$5,34),$A85),$F$6:$F$35,"&lt;&gt;")/100</f>
        <v/>
      </c>
      <c r="AG85" s="23">
        <f>$B$7+$B$9*(AF85-$B$7)+$C$18/100</f>
        <v/>
      </c>
      <c r="AH85" s="23">
        <f>$B$7+$B$9*(AF85-$B$7)+$C$19/100</f>
        <v/>
      </c>
      <c r="AI85" s="23">
        <f>$B$7+$B$9*(AVERAGE(INDEX(AF$51:AF$86,MAX(1,34)):INDEX(AF$51:AF$86,35))-$B$7)+$C$20/100</f>
        <v/>
      </c>
      <c r="AJ85" s="23">
        <f>$B$7+$B$9*(AVERAGE(INDEX(AF$51:AF$86,MAX(1,33)):INDEX(AF$51:AF$86,35))-$B$7)+$C$21/100</f>
        <v/>
      </c>
      <c r="AK85" s="20">
        <f>AK84+AL84</f>
        <v/>
      </c>
      <c r="AL85" s="32">
        <f>AK85*(($B$18*AG85+$B$19*AH85+$B$20*AI85+$B$21*AJ85)/$B$8)/100*$B85/360</f>
        <v/>
      </c>
      <c r="AM85" s="33">
        <f>IF($B$11="RCV",1,-1)*(($B$12/100)-(AF85/100+$B$13/10000))*$B85/360</f>
        <v/>
      </c>
      <c r="AN85" s="23">
        <f>$B$7+K$37*SUMIFS(K$6:K$35,$G$6:$G$35,"&lt;="&amp;IF($A85="",EDATE($B$5,34),$A85),$F$6:$F$35,"&lt;&gt;")/100</f>
        <v/>
      </c>
      <c r="AO85" s="23">
        <f>$B$7+$B$9*(AN85-$B$7)+$C$18/100</f>
        <v/>
      </c>
      <c r="AP85" s="23">
        <f>$B$7+$B$9*(AN85-$B$7)+$C$19/100</f>
        <v/>
      </c>
      <c r="AQ85" s="23">
        <f>$B$7+$B$9*(AVERAGE(INDEX(AN$51:AN$86,MAX(1,34)):INDEX(AN$51:AN$86,35))-$B$7)+$C$20/100</f>
        <v/>
      </c>
      <c r="AR85" s="23">
        <f>$B$7+$B$9*(AVERAGE(INDEX(AN$51:AN$86,MAX(1,33)):INDEX(AN$51:AN$86,35))-$B$7)+$C$21/100</f>
        <v/>
      </c>
      <c r="AS85" s="20">
        <f>AS84+AT84</f>
        <v/>
      </c>
      <c r="AT85" s="32">
        <f>AS85*(($B$18*AO85+$B$19*AP85+$B$20*AQ85+$B$21*AR85)/$B$8)/100*$B85/360</f>
        <v/>
      </c>
      <c r="AU85" s="33">
        <f>IF($B$11="RCV",1,-1)*(($B$12/100)-(AN85/100+$B$13/10000))*$B85/360</f>
        <v/>
      </c>
      <c r="AV85" s="23">
        <f>$B$7+L$37*SUMIFS(L$6:L$35,$G$6:$G$35,"&lt;="&amp;IF($A85="",EDATE($B$5,34),$A85),$F$6:$F$35,"&lt;&gt;")/100</f>
        <v/>
      </c>
      <c r="AW85" s="23">
        <f>$B$7+$B$9*(AV85-$B$7)+$C$18/100</f>
        <v/>
      </c>
      <c r="AX85" s="23">
        <f>$B$7+$B$9*(AV85-$B$7)+$C$19/100</f>
        <v/>
      </c>
      <c r="AY85" s="23">
        <f>$B$7+$B$9*(AVERAGE(INDEX(AV$51:AV$86,MAX(1,34)):INDEX(AV$51:AV$86,35))-$B$7)+$C$20/100</f>
        <v/>
      </c>
      <c r="AZ85" s="23">
        <f>$B$7+$B$9*(AVERAGE(INDEX(AV$51:AV$86,MAX(1,33)):INDEX(AV$51:AV$86,35))-$B$7)+$C$21/100</f>
        <v/>
      </c>
      <c r="BA85" s="20">
        <f>BA84+BB84</f>
        <v/>
      </c>
      <c r="BB85" s="32">
        <f>BA85*(($B$18*AW85+$B$19*AX85+$B$20*AY85+$B$21*AZ85)/$B$8)/100*$B85/360</f>
        <v/>
      </c>
      <c r="BC85" s="33">
        <f>IF($B$11="RCV",1,-1)*(($B$12/100)-(AV85/100+$B$13/10000))*$B85/360</f>
        <v/>
      </c>
      <c r="BD85" s="23">
        <f>$B$7+M$37*SUMIFS(M$6:M$35,$G$6:$G$35,"&lt;="&amp;IF($A85="",EDATE($B$5,34),$A85),$F$6:$F$35,"&lt;&gt;")/100</f>
        <v/>
      </c>
      <c r="BE85" s="23">
        <f>$B$7+$B$9*(BD85-$B$7)+$C$18/100</f>
        <v/>
      </c>
      <c r="BF85" s="23">
        <f>$B$7+$B$9*(BD85-$B$7)+$C$19/100</f>
        <v/>
      </c>
      <c r="BG85" s="23">
        <f>$B$7+$B$9*(AVERAGE(INDEX(BD$51:BD$86,MAX(1,34)):INDEX(BD$51:BD$86,35))-$B$7)+$C$20/100</f>
        <v/>
      </c>
      <c r="BH85" s="23">
        <f>$B$7+$B$9*(AVERAGE(INDEX(BD$51:BD$86,MAX(1,33)):INDEX(BD$51:BD$86,35))-$B$7)+$C$21/100</f>
        <v/>
      </c>
      <c r="BI85" s="20">
        <f>BI84+BJ84</f>
        <v/>
      </c>
      <c r="BJ85" s="32">
        <f>BI85*(($B$18*BE85+$B$19*BF85+$B$20*BG85+$B$21*BH85)/$B$8)/100*$B85/360</f>
        <v/>
      </c>
      <c r="BK85" s="33">
        <f>IF($B$11="RCV",1,-1)*(($B$12/100)-(BD85/100+$B$13/10000))*$B85/360</f>
        <v/>
      </c>
      <c r="BL85" s="23">
        <f>$B$7+N$37*SUMIFS(N$6:N$35,$G$6:$G$35,"&lt;="&amp;IF($A85="",EDATE($B$5,34),$A85),$F$6:$F$35,"&lt;&gt;")/100</f>
        <v/>
      </c>
      <c r="BM85" s="23">
        <f>$B$7+$B$9*(BL85-$B$7)+$C$18/100</f>
        <v/>
      </c>
      <c r="BN85" s="23">
        <f>$B$7+$B$9*(BL85-$B$7)+$C$19/100</f>
        <v/>
      </c>
      <c r="BO85" s="23">
        <f>$B$7+$B$9*(AVERAGE(INDEX(BL$51:BL$86,MAX(1,34)):INDEX(BL$51:BL$86,35))-$B$7)+$C$20/100</f>
        <v/>
      </c>
      <c r="BP85" s="23">
        <f>$B$7+$B$9*(AVERAGE(INDEX(BL$51:BL$86,MAX(1,33)):INDEX(BL$51:BL$86,35))-$B$7)+$C$21/100</f>
        <v/>
      </c>
      <c r="BQ85" s="20">
        <f>BQ84+BR84</f>
        <v/>
      </c>
      <c r="BR85" s="32">
        <f>BQ85*(($B$18*BM85+$B$19*BN85+$B$20*BO85+$B$21*BP85)/$B$8)/100*$B85/360</f>
        <v/>
      </c>
      <c r="BS85" s="33">
        <f>IF($B$11="RCV",1,-1)*(($B$12/100)-(BL85/100+$B$13/10000))*$B85/360</f>
        <v/>
      </c>
      <c r="BT85" s="23">
        <f>$B$7+O$37*SUMIFS(O$6:O$35,$G$6:$G$35,"&lt;="&amp;IF($A85="",EDATE($B$5,34),$A85),$F$6:$F$35,"&lt;&gt;")/100</f>
        <v/>
      </c>
      <c r="BU85" s="23">
        <f>$B$7+$B$9*(BT85-$B$7)+$C$18/100</f>
        <v/>
      </c>
      <c r="BV85" s="23">
        <f>$B$7+$B$9*(BT85-$B$7)+$C$19/100</f>
        <v/>
      </c>
      <c r="BW85" s="23">
        <f>$B$7+$B$9*(AVERAGE(INDEX(BT$51:BT$86,MAX(1,34)):INDEX(BT$51:BT$86,35))-$B$7)+$C$20/100</f>
        <v/>
      </c>
      <c r="BX85" s="23">
        <f>$B$7+$B$9*(AVERAGE(INDEX(BT$51:BT$86,MAX(1,33)):INDEX(BT$51:BT$86,35))-$B$7)+$C$21/100</f>
        <v/>
      </c>
      <c r="BY85" s="20">
        <f>BY84+BZ84</f>
        <v/>
      </c>
      <c r="BZ85" s="32">
        <f>BY85*(($B$18*BU85+$B$19*BV85+$B$20*BW85+$B$21*BX85)/$B$8)/100*$B85/360</f>
        <v/>
      </c>
      <c r="CA85" s="33">
        <f>IF($B$11="RCV",1,-1)*(($B$12/100)-(BT85/100+$B$13/10000))*$B85/360</f>
        <v/>
      </c>
    </row>
    <row r="86" outlineLevel="1">
      <c r="A86" s="15">
        <f>IF(35&lt;$B$6,EDATE($B$5,35),"")</f>
        <v/>
      </c>
      <c r="B86" s="24">
        <f>IF(A86="",0,EDATE(A86,1)-A86)</f>
        <v/>
      </c>
      <c r="C86" s="23">
        <f>SUM(D86:O86)</f>
        <v/>
      </c>
      <c r="D86" s="16">
        <f>IF($B86=0,0,IF(AND($B$26&gt;0,$D$26&gt;$A86),$B$26*$C$26/100/12,0))</f>
        <v/>
      </c>
      <c r="E86" s="16">
        <f>IF($B86=0,0,IF(AND($B$27&gt;0,$D$27&gt;$A86),$B$27*$C$27/100/12,0))</f>
        <v/>
      </c>
      <c r="F86" s="16">
        <f>IF($B86=0,0,IF(AND($B$28&gt;0,$D$28&gt;$A86),$B$28*$C$28/100/12,0))</f>
        <v/>
      </c>
      <c r="G86" s="16">
        <f>IF($B86=0,0,IF(AND($B$29&gt;0,$D$29&gt;$A86),$B$29*$C$29/100/12,0))</f>
        <v/>
      </c>
      <c r="H86" s="16">
        <f>IF($B86=0,0,IF(AND($B$30&gt;0,$D$30&gt;$A86),$B$30*$C$30/100/12,0))</f>
        <v/>
      </c>
      <c r="I86" s="16">
        <f>IF($B86=0,0,IF(AND($B$31&gt;0,$D$31&gt;$A86),$B$31*$C$31/100/12,0))</f>
        <v/>
      </c>
      <c r="J86" s="16">
        <f>IF($B86=0,0,IF(AND($B$32&gt;0,$D$32&gt;$A86),$B$32*$C$32/100/12,0))</f>
        <v/>
      </c>
      <c r="K86" s="16">
        <f>IF($B86=0,0,IF(AND($B$33&gt;0,$D$33&gt;$A86),$B$33*$C$33/100/12,0))</f>
        <v/>
      </c>
      <c r="L86" s="16">
        <f>IF($B86=0,0,IF(AND($B$34&gt;0,$D$34&gt;$A86),$B$34*$C$34/100/12,0))</f>
        <v/>
      </c>
      <c r="M86" s="16">
        <f>IF($B86=0,0,IF(AND($B$35&gt;0,$D$35&gt;$A86),$B$35*$C$35/100/12,0))</f>
        <v/>
      </c>
      <c r="N86" s="16">
        <f>IF($B86=0,0,IF(AND($B$36&gt;0,$D$36&gt;$A86),$B$36*$C$36/100/12,0))</f>
        <v/>
      </c>
      <c r="O86" s="16">
        <f>IF($B86=0,0,IF(AND($B$37&gt;0,$D$37&gt;$A86),$B$37*$C$37/100/12,0))</f>
        <v/>
      </c>
      <c r="P86" s="23">
        <f>$B$7+H$37*SUMIFS(H$6:H$35,$G$6:$G$35,"&lt;="&amp;IF($A86="",EDATE($B$5,35),$A86),$F$6:$F$35,"&lt;&gt;")/100</f>
        <v/>
      </c>
      <c r="Q86" s="23">
        <f>$B$7+$B$9*(P86-$B$7)+$C$18/100</f>
        <v/>
      </c>
      <c r="R86" s="23">
        <f>$B$7+$B$9*(P86-$B$7)+$C$19/100</f>
        <v/>
      </c>
      <c r="S86" s="23">
        <f>$B$7+$B$9*(AVERAGE(INDEX(P$51:P$86,MAX(1,35)):INDEX(P$51:P$86,36))-$B$7)+$C$20/100</f>
        <v/>
      </c>
      <c r="T86" s="23">
        <f>$B$7+$B$9*(AVERAGE(INDEX(P$51:P$86,MAX(1,34)):INDEX(P$51:P$86,36))-$B$7)+$C$21/100</f>
        <v/>
      </c>
      <c r="U86" s="20">
        <f>U85+V85</f>
        <v/>
      </c>
      <c r="V86" s="32">
        <f>U86*(($B$18*Q86+$B$19*R86+$B$20*S86+$B$21*T86)/$B$8)/100*$B86/360</f>
        <v/>
      </c>
      <c r="W86" s="33">
        <f>IF($B$11="RCV",1,-1)*(($B$12/100)-(P86/100+$B$13/10000))*$B86/360</f>
        <v/>
      </c>
      <c r="X86" s="23">
        <f>$B$7+I$37*SUMIFS(I$6:I$35,$G$6:$G$35,"&lt;="&amp;IF($A86="",EDATE($B$5,35),$A86),$F$6:$F$35,"&lt;&gt;")/100</f>
        <v/>
      </c>
      <c r="Y86" s="23">
        <f>$B$7+$B$9*(X86-$B$7)+$C$18/100</f>
        <v/>
      </c>
      <c r="Z86" s="23">
        <f>$B$7+$B$9*(X86-$B$7)+$C$19/100</f>
        <v/>
      </c>
      <c r="AA86" s="23">
        <f>$B$7+$B$9*(AVERAGE(INDEX(X$51:X$86,MAX(1,35)):INDEX(X$51:X$86,36))-$B$7)+$C$20/100</f>
        <v/>
      </c>
      <c r="AB86" s="23">
        <f>$B$7+$B$9*(AVERAGE(INDEX(X$51:X$86,MAX(1,34)):INDEX(X$51:X$86,36))-$B$7)+$C$21/100</f>
        <v/>
      </c>
      <c r="AC86" s="20">
        <f>AC85+AD85</f>
        <v/>
      </c>
      <c r="AD86" s="32">
        <f>AC86*(($B$18*Y86+$B$19*Z86+$B$20*AA86+$B$21*AB86)/$B$8)/100*$B86/360</f>
        <v/>
      </c>
      <c r="AE86" s="33">
        <f>IF($B$11="RCV",1,-1)*(($B$12/100)-(X86/100+$B$13/10000))*$B86/360</f>
        <v/>
      </c>
      <c r="AF86" s="23">
        <f>$B$7+J$37*SUMIFS(J$6:J$35,$G$6:$G$35,"&lt;="&amp;IF($A86="",EDATE($B$5,35),$A86),$F$6:$F$35,"&lt;&gt;")/100</f>
        <v/>
      </c>
      <c r="AG86" s="23">
        <f>$B$7+$B$9*(AF86-$B$7)+$C$18/100</f>
        <v/>
      </c>
      <c r="AH86" s="23">
        <f>$B$7+$B$9*(AF86-$B$7)+$C$19/100</f>
        <v/>
      </c>
      <c r="AI86" s="23">
        <f>$B$7+$B$9*(AVERAGE(INDEX(AF$51:AF$86,MAX(1,35)):INDEX(AF$51:AF$86,36))-$B$7)+$C$20/100</f>
        <v/>
      </c>
      <c r="AJ86" s="23">
        <f>$B$7+$B$9*(AVERAGE(INDEX(AF$51:AF$86,MAX(1,34)):INDEX(AF$51:AF$86,36))-$B$7)+$C$21/100</f>
        <v/>
      </c>
      <c r="AK86" s="20">
        <f>AK85+AL85</f>
        <v/>
      </c>
      <c r="AL86" s="32">
        <f>AK86*(($B$18*AG86+$B$19*AH86+$B$20*AI86+$B$21*AJ86)/$B$8)/100*$B86/360</f>
        <v/>
      </c>
      <c r="AM86" s="33">
        <f>IF($B$11="RCV",1,-1)*(($B$12/100)-(AF86/100+$B$13/10000))*$B86/360</f>
        <v/>
      </c>
      <c r="AN86" s="23">
        <f>$B$7+K$37*SUMIFS(K$6:K$35,$G$6:$G$35,"&lt;="&amp;IF($A86="",EDATE($B$5,35),$A86),$F$6:$F$35,"&lt;&gt;")/100</f>
        <v/>
      </c>
      <c r="AO86" s="23">
        <f>$B$7+$B$9*(AN86-$B$7)+$C$18/100</f>
        <v/>
      </c>
      <c r="AP86" s="23">
        <f>$B$7+$B$9*(AN86-$B$7)+$C$19/100</f>
        <v/>
      </c>
      <c r="AQ86" s="23">
        <f>$B$7+$B$9*(AVERAGE(INDEX(AN$51:AN$86,MAX(1,35)):INDEX(AN$51:AN$86,36))-$B$7)+$C$20/100</f>
        <v/>
      </c>
      <c r="AR86" s="23">
        <f>$B$7+$B$9*(AVERAGE(INDEX(AN$51:AN$86,MAX(1,34)):INDEX(AN$51:AN$86,36))-$B$7)+$C$21/100</f>
        <v/>
      </c>
      <c r="AS86" s="20">
        <f>AS85+AT85</f>
        <v/>
      </c>
      <c r="AT86" s="32">
        <f>AS86*(($B$18*AO86+$B$19*AP86+$B$20*AQ86+$B$21*AR86)/$B$8)/100*$B86/360</f>
        <v/>
      </c>
      <c r="AU86" s="33">
        <f>IF($B$11="RCV",1,-1)*(($B$12/100)-(AN86/100+$B$13/10000))*$B86/360</f>
        <v/>
      </c>
      <c r="AV86" s="23">
        <f>$B$7+L$37*SUMIFS(L$6:L$35,$G$6:$G$35,"&lt;="&amp;IF($A86="",EDATE($B$5,35),$A86),$F$6:$F$35,"&lt;&gt;")/100</f>
        <v/>
      </c>
      <c r="AW86" s="23">
        <f>$B$7+$B$9*(AV86-$B$7)+$C$18/100</f>
        <v/>
      </c>
      <c r="AX86" s="23">
        <f>$B$7+$B$9*(AV86-$B$7)+$C$19/100</f>
        <v/>
      </c>
      <c r="AY86" s="23">
        <f>$B$7+$B$9*(AVERAGE(INDEX(AV$51:AV$86,MAX(1,35)):INDEX(AV$51:AV$86,36))-$B$7)+$C$20/100</f>
        <v/>
      </c>
      <c r="AZ86" s="23">
        <f>$B$7+$B$9*(AVERAGE(INDEX(AV$51:AV$86,MAX(1,34)):INDEX(AV$51:AV$86,36))-$B$7)+$C$21/100</f>
        <v/>
      </c>
      <c r="BA86" s="20">
        <f>BA85+BB85</f>
        <v/>
      </c>
      <c r="BB86" s="32">
        <f>BA86*(($B$18*AW86+$B$19*AX86+$B$20*AY86+$B$21*AZ86)/$B$8)/100*$B86/360</f>
        <v/>
      </c>
      <c r="BC86" s="33">
        <f>IF($B$11="RCV",1,-1)*(($B$12/100)-(AV86/100+$B$13/10000))*$B86/360</f>
        <v/>
      </c>
      <c r="BD86" s="23">
        <f>$B$7+M$37*SUMIFS(M$6:M$35,$G$6:$G$35,"&lt;="&amp;IF($A86="",EDATE($B$5,35),$A86),$F$6:$F$35,"&lt;&gt;")/100</f>
        <v/>
      </c>
      <c r="BE86" s="23">
        <f>$B$7+$B$9*(BD86-$B$7)+$C$18/100</f>
        <v/>
      </c>
      <c r="BF86" s="23">
        <f>$B$7+$B$9*(BD86-$B$7)+$C$19/100</f>
        <v/>
      </c>
      <c r="BG86" s="23">
        <f>$B$7+$B$9*(AVERAGE(INDEX(BD$51:BD$86,MAX(1,35)):INDEX(BD$51:BD$86,36))-$B$7)+$C$20/100</f>
        <v/>
      </c>
      <c r="BH86" s="23">
        <f>$B$7+$B$9*(AVERAGE(INDEX(BD$51:BD$86,MAX(1,34)):INDEX(BD$51:BD$86,36))-$B$7)+$C$21/100</f>
        <v/>
      </c>
      <c r="BI86" s="20">
        <f>BI85+BJ85</f>
        <v/>
      </c>
      <c r="BJ86" s="32">
        <f>BI86*(($B$18*BE86+$B$19*BF86+$B$20*BG86+$B$21*BH86)/$B$8)/100*$B86/360</f>
        <v/>
      </c>
      <c r="BK86" s="33">
        <f>IF($B$11="RCV",1,-1)*(($B$12/100)-(BD86/100+$B$13/10000))*$B86/360</f>
        <v/>
      </c>
      <c r="BL86" s="23">
        <f>$B$7+N$37*SUMIFS(N$6:N$35,$G$6:$G$35,"&lt;="&amp;IF($A86="",EDATE($B$5,35),$A86),$F$6:$F$35,"&lt;&gt;")/100</f>
        <v/>
      </c>
      <c r="BM86" s="23">
        <f>$B$7+$B$9*(BL86-$B$7)+$C$18/100</f>
        <v/>
      </c>
      <c r="BN86" s="23">
        <f>$B$7+$B$9*(BL86-$B$7)+$C$19/100</f>
        <v/>
      </c>
      <c r="BO86" s="23">
        <f>$B$7+$B$9*(AVERAGE(INDEX(BL$51:BL$86,MAX(1,35)):INDEX(BL$51:BL$86,36))-$B$7)+$C$20/100</f>
        <v/>
      </c>
      <c r="BP86" s="23">
        <f>$B$7+$B$9*(AVERAGE(INDEX(BL$51:BL$86,MAX(1,34)):INDEX(BL$51:BL$86,36))-$B$7)+$C$21/100</f>
        <v/>
      </c>
      <c r="BQ86" s="20">
        <f>BQ85+BR85</f>
        <v/>
      </c>
      <c r="BR86" s="32">
        <f>BQ86*(($B$18*BM86+$B$19*BN86+$B$20*BO86+$B$21*BP86)/$B$8)/100*$B86/360</f>
        <v/>
      </c>
      <c r="BS86" s="33">
        <f>IF($B$11="RCV",1,-1)*(($B$12/100)-(BL86/100+$B$13/10000))*$B86/360</f>
        <v/>
      </c>
      <c r="BT86" s="23">
        <f>$B$7+O$37*SUMIFS(O$6:O$35,$G$6:$G$35,"&lt;="&amp;IF($A86="",EDATE($B$5,35),$A86),$F$6:$F$35,"&lt;&gt;")/100</f>
        <v/>
      </c>
      <c r="BU86" s="23">
        <f>$B$7+$B$9*(BT86-$B$7)+$C$18/100</f>
        <v/>
      </c>
      <c r="BV86" s="23">
        <f>$B$7+$B$9*(BT86-$B$7)+$C$19/100</f>
        <v/>
      </c>
      <c r="BW86" s="23">
        <f>$B$7+$B$9*(AVERAGE(INDEX(BT$51:BT$86,MAX(1,35)):INDEX(BT$51:BT$86,36))-$B$7)+$C$20/100</f>
        <v/>
      </c>
      <c r="BX86" s="23">
        <f>$B$7+$B$9*(AVERAGE(INDEX(BT$51:BT$86,MAX(1,34)):INDEX(BT$51:BT$86,36))-$B$7)+$C$21/100</f>
        <v/>
      </c>
      <c r="BY86" s="20">
        <f>BY85+BZ85</f>
        <v/>
      </c>
      <c r="BZ86" s="32">
        <f>BY86*(($B$18*BU86+$B$19*BV86+$B$20*BW86+$B$21*BX86)/$B$8)/100*$B86/360</f>
        <v/>
      </c>
      <c r="CA86" s="33">
        <f>IF($B$11="RCV",1,-1)*(($B$12/100)-(BT86/100+$B$13/10000))*$B86/360</f>
        <v/>
      </c>
    </row>
    <row r="87">
      <c r="A87" s="6" t="inlineStr">
        <is>
          <t>UNIT TOTALS</t>
        </is>
      </c>
    </row>
    <row r="88">
      <c r="C88" s="20">
        <f>SUM(C51:C86)</f>
        <v/>
      </c>
      <c r="V88" s="20">
        <f>SUM(V51:V86)</f>
        <v/>
      </c>
      <c r="W88" s="34">
        <f>SUM(W51:W86)</f>
        <v/>
      </c>
      <c r="AD88" s="20">
        <f>SUM(AD51:AD86)</f>
        <v/>
      </c>
      <c r="AE88" s="34">
        <f>SUM(AE51:AE86)</f>
        <v/>
      </c>
      <c r="AL88" s="20">
        <f>SUM(AL51:AL86)</f>
        <v/>
      </c>
      <c r="AM88" s="34">
        <f>SUM(AM51:AM86)</f>
        <v/>
      </c>
      <c r="AT88" s="20">
        <f>SUM(AT51:AT86)</f>
        <v/>
      </c>
      <c r="AU88" s="34">
        <f>SUM(AU51:AU86)</f>
        <v/>
      </c>
      <c r="BB88" s="20">
        <f>SUM(BB51:BB86)</f>
        <v/>
      </c>
      <c r="BC88" s="34">
        <f>SUM(BC51:BC86)</f>
        <v/>
      </c>
      <c r="BJ88" s="20">
        <f>SUM(BJ51:BJ86)</f>
        <v/>
      </c>
      <c r="BK88" s="34">
        <f>SUM(BK51:BK86)</f>
        <v/>
      </c>
      <c r="BR88" s="20">
        <f>SUM(BR51:BR86)</f>
        <v/>
      </c>
      <c r="BS88" s="34">
        <f>SUM(BS51:BS86)</f>
        <v/>
      </c>
      <c r="BZ88" s="20">
        <f>SUM(BZ51:BZ86)</f>
        <v/>
      </c>
      <c r="CA88" s="34">
        <f>SUM(CA51:CA86)</f>
        <v/>
      </c>
    </row>
    <row r="89">
      <c r="P89" s="34">
        <f>SUMPRODUCT(P51:P86/100*$B$51:$B$86)/360+$B$13/10000*SUM($B$51:$B$86)/360</f>
        <v/>
      </c>
      <c r="X89" s="34">
        <f>SUMPRODUCT(X51:X86/100*$B$51:$B$86)/360+$B$13/10000*SUM($B$51:$B$86)/360</f>
        <v/>
      </c>
      <c r="AF89" s="34">
        <f>SUMPRODUCT(AF51:AF86/100*$B$51:$B$86)/360+$B$13/10000*SUM($B$51:$B$86)/360</f>
        <v/>
      </c>
      <c r="AN89" s="34">
        <f>SUMPRODUCT(AN51:AN86/100*$B$51:$B$86)/360+$B$13/10000*SUM($B$51:$B$86)/360</f>
        <v/>
      </c>
      <c r="AV89" s="34">
        <f>SUMPRODUCT(AV51:AV86/100*$B$51:$B$86)/360+$B$13/10000*SUM($B$51:$B$86)/360</f>
        <v/>
      </c>
      <c r="BD89" s="34">
        <f>SUMPRODUCT(BD51:BD86/100*$B$51:$B$86)/360+$B$13/10000*SUM($B$51:$B$86)/360</f>
        <v/>
      </c>
      <c r="BL89" s="34">
        <f>SUMPRODUCT(BL51:BL86/100*$B$51:$B$86)/360+$B$13/10000*SUM($B$51:$B$86)/360</f>
        <v/>
      </c>
      <c r="BT89" s="34">
        <f>SUMPRODUCT(BT51:BT86/100*$B$51:$B$86)/360+$B$13/10000*SUM($B$51:$B$86)/360</f>
        <v/>
      </c>
    </row>
    <row r="90">
      <c r="A90" s="3" t="inlineStr">
        <is>
          <t>CHARTS</t>
        </is>
      </c>
    </row>
  </sheetData>
  <mergeCells count="10">
    <mergeCell ref="A40:D40"/>
    <mergeCell ref="Q4:Z4"/>
    <mergeCell ref="A4:D4"/>
    <mergeCell ref="F4:O4"/>
    <mergeCell ref="A49:CA49"/>
    <mergeCell ref="A90:X90"/>
    <mergeCell ref="Q18:AB18"/>
    <mergeCell ref="A24:D24"/>
    <mergeCell ref="A16:D16"/>
    <mergeCell ref="AE4:AM4"/>
  </mergeCells>
  <dataValidations count="2">
    <dataValidation sqref="B11" showDropDown="0" showInputMessage="0" showErrorMessage="0" allowBlank="0" type="list">
      <formula1>"RCV,PAY"</formula1>
    </dataValidation>
    <dataValidation sqref="AF5" showDropDown="0" showInputMessage="0" showErrorMessage="0" allowBlank="0" type="list">
      <formula1>=$R$5:$Y$5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2026-06-12T15:44:27Z</dcterms:created>
  <dcterms:modified xmlns:dcterms="http://purl.org/dc/terms/" xmlns:xsi="http://www.w3.org/2001/XMLSchema-instance" xsi:type="dcterms:W3CDTF">2026-06-12T15:44:27Z</dcterms:modified>
</cp:coreProperties>
</file>