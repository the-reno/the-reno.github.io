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OD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;-0;&quot;-&quot;"/>
    <numFmt numFmtId="167" formatCode="0.000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color rgb="000000FF"/>
    </font>
    <font>
      <name val="Arial"/>
      <color rgb="00595959"/>
      <sz val="9"/>
    </font>
    <font>
      <name val="Consolas"/>
      <color rgb="007F4F00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0" borderId="1" pivotButton="0" quotePrefix="0" xfId="0"/>
    <xf numFmtId="166" fontId="5" fillId="0" borderId="1" pivotButton="0" quotePrefix="0" xfId="0"/>
    <xf numFmtId="2" fontId="5" fillId="0" borderId="1" pivotButton="0" quotePrefix="0" xfId="0"/>
    <xf numFmtId="0" fontId="6" fillId="0" borderId="0" pivotButton="0" quotePrefix="0" xfId="0"/>
    <xf numFmtId="0" fontId="2" fillId="2" borderId="1" pivotButton="0" quotePrefix="0" xfId="0"/>
    <xf numFmtId="0" fontId="7" fillId="0" borderId="0" pivotButton="0" quotePrefix="0" xfId="0"/>
    <xf numFmtId="167" fontId="2" fillId="2" borderId="1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>
      <c r="A1" s="1" t="inlineStr">
        <is>
          <t>NII ENGINE — SIMPLE EXAMPLE</t>
        </is>
      </c>
    </row>
    <row r="2">
      <c r="A2" s="2" t="inlineStr"/>
    </row>
    <row r="3">
      <c r="A3" s="2" t="inlineStr">
        <is>
          <t>Four functions: FED_HOL, MAKE_CURVE, ACCRUE, SWAP.</t>
        </is>
      </c>
    </row>
    <row r="4">
      <c r="A4" s="2" t="inlineStr"/>
    </row>
    <row r="5">
      <c r="A5" s="2" t="inlineStr">
        <is>
          <t>SETUP</t>
        </is>
      </c>
    </row>
    <row r="6">
      <c r="A6" s="2" t="inlineStr">
        <is>
          <t>1. Open NII_ENGINE_ALL_VBA.txt. Alt+F11 in Excel.</t>
        </is>
      </c>
    </row>
    <row r="7">
      <c r="A7" s="2" t="inlineStr">
        <is>
          <t>2. Paste its 6 modules. cCalendar and cStripCurve are CLASS modules;</t>
        </is>
      </c>
    </row>
    <row r="8">
      <c r="A8" s="2" t="inlineStr">
        <is>
          <t xml:space="preserve">   the other four are normal modules. Delete each block's first</t>
        </is>
      </c>
    </row>
    <row r="9">
      <c r="A9" s="2" t="inlineStr">
        <is>
          <t xml:space="preserve">   'Attribute VB_Name' line. Rename each module to its banner name.</t>
        </is>
      </c>
    </row>
    <row r="10">
      <c r="A10" s="2" t="inlineStr">
        <is>
          <t>3. Save as .xlsm. Press Ctrl+Alt+F9.</t>
        </is>
      </c>
    </row>
    <row r="11">
      <c r="A11" s="2" t="inlineStr">
        <is>
          <t>4. Go to MODEL. Copy each formula in column E into the yellow cell on</t>
        </is>
      </c>
    </row>
    <row r="12">
      <c r="A12" s="2" t="inlineStr">
        <is>
          <t xml:space="preserve">   its left. Do B4 (calendar) and B5 (curve) FIRST.</t>
        </is>
      </c>
    </row>
    <row r="13">
      <c r="A13" s="2" t="inlineStr">
        <is>
          <t>5. Each Result should match the Expected value next to it.</t>
        </is>
      </c>
    </row>
    <row r="14">
      <c r="A14" s="2" t="inlineStr">
        <is>
          <t>6. Alt+F8 &gt; TestAll writes a TESTS sheet — expect MODEL STATUS: OK.</t>
        </is>
      </c>
    </row>
    <row r="15">
      <c r="A15" s="2" t="inlineStr"/>
    </row>
    <row r="16">
      <c r="A16" s="2" t="inlineStr">
        <is>
          <t>RULE: ACCRUE and SWAP point at the curve CELL B5 — never type "cuts".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4" max="4"/>
    <col width="11" customWidth="1" min="5" max="5"/>
  </cols>
  <sheetData>
    <row r="1">
      <c r="A1" s="3" t="inlineStr">
        <is>
          <t>INPUTS</t>
        </is>
      </c>
    </row>
    <row r="3">
      <c r="A3" s="4" t="inlineStr">
        <is>
          <t>Holidays</t>
        </is>
      </c>
      <c r="D3" s="4" t="inlineStr">
        <is>
          <t>FOMC moves (date | bps)</t>
        </is>
      </c>
    </row>
    <row r="4">
      <c r="A4" s="5" t="n">
        <v>46023</v>
      </c>
      <c r="D4" s="5" t="n">
        <v>46190</v>
      </c>
      <c r="E4" s="6" t="n">
        <v>-25</v>
      </c>
    </row>
    <row r="5">
      <c r="A5" s="5" t="n">
        <v>46041</v>
      </c>
      <c r="D5" s="5" t="n">
        <v>46232</v>
      </c>
      <c r="E5" s="6" t="n">
        <v>-25</v>
      </c>
    </row>
    <row r="6">
      <c r="A6" s="5" t="n">
        <v>46206</v>
      </c>
      <c r="D6" s="5" t="n">
        <v>46281</v>
      </c>
      <c r="E6" s="6" t="n">
        <v>-25</v>
      </c>
    </row>
    <row r="7">
      <c r="A7" s="5" t="n">
        <v>46272</v>
      </c>
      <c r="D7" s="5" t="n">
        <v>46323</v>
      </c>
      <c r="E7" s="6" t="n">
        <v>0</v>
      </c>
    </row>
    <row r="8">
      <c r="A8" s="5" t="n">
        <v>46352</v>
      </c>
    </row>
    <row r="9">
      <c r="A9" s="5" t="n">
        <v>46381</v>
      </c>
    </row>
    <row r="10">
      <c r="D10" s="4" t="inlineStr">
        <is>
          <t>SOFR now %</t>
        </is>
      </c>
      <c r="E10" s="7" t="n">
        <v>3.8</v>
      </c>
    </row>
    <row r="12">
      <c r="A12" s="8" t="inlineStr">
        <is>
          <t>Holidays = A4:A9   ·   FOMC = D4:E7   ·   SOFR = E10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8" customWidth="1" min="4" max="4"/>
    <col width="62" customWidth="1" min="5" max="5"/>
  </cols>
  <sheetData>
    <row r="1">
      <c r="A1" s="3" t="inlineStr">
        <is>
          <t>MODEL — paste each column-E formula into the yellow cell</t>
        </is>
      </c>
    </row>
    <row r="3">
      <c r="A3" s="4" t="inlineStr">
        <is>
          <t>1 · BUILD OBJECTS (do these first)</t>
        </is>
      </c>
      <c r="E3" s="4" t="inlineStr">
        <is>
          <t>PASTE THIS</t>
        </is>
      </c>
    </row>
    <row r="4">
      <c r="A4" s="2" t="inlineStr">
        <is>
          <t>Calendar</t>
        </is>
      </c>
      <c r="B4" s="9" t="n"/>
      <c r="E4" s="10">
        <f>FED_HOL(INPUTS!A4:A9)</f>
        <v/>
      </c>
    </row>
    <row r="5">
      <c r="A5" s="2" t="inlineStr">
        <is>
          <t>Curve</t>
        </is>
      </c>
      <c r="B5" s="9" t="n"/>
      <c r="E5" s="10">
        <f>MAKE_CURVE("cuts",INPUTS!E10,INPUTS!D4:E7,$B$4)</f>
        <v/>
      </c>
    </row>
    <row r="7">
      <c r="A7" s="4" t="inlineStr">
        <is>
          <t>2 · ACCRUE</t>
        </is>
      </c>
      <c r="C7" s="4" t="inlineStr">
        <is>
          <t>Expected</t>
        </is>
      </c>
      <c r="D7" s="4" t="inlineStr">
        <is>
          <t>Check</t>
        </is>
      </c>
      <c r="E7" s="4" t="inlineStr">
        <is>
          <t>PASTE THIS</t>
        </is>
      </c>
    </row>
    <row r="8">
      <c r="A8" s="2" t="inlineStr">
        <is>
          <t>ON, normal day</t>
        </is>
      </c>
      <c r="B8" s="11" t="n"/>
      <c r="C8" s="12" t="n">
        <v>0.009861</v>
      </c>
      <c r="D8" s="4">
        <f>IF(ABS(B8-C8)&lt;0.000001,"OK","check")</f>
        <v/>
      </c>
      <c r="E8" s="10">
        <f>ACCRUE(DATE(2026,7,15),DATE(2026,7,16),100,"SIMPLE",$B$5)</f>
        <v/>
      </c>
    </row>
    <row r="9">
      <c r="A9" s="2" t="inlineStr">
        <is>
          <t>ON, over a weekend</t>
        </is>
      </c>
      <c r="B9" s="11" t="n"/>
      <c r="C9" s="12" t="n">
        <v>0.029583</v>
      </c>
      <c r="D9" s="4">
        <f>IF(ABS(B9-C9)&lt;0.000001,"OK","check")</f>
        <v/>
      </c>
      <c r="E9" s="10">
        <f>ACCRUE(DATE(2026,7,17),DATE(2026,7,20),100,"SIMPLE",$B$5)</f>
        <v/>
      </c>
    </row>
    <row r="10">
      <c r="A10" s="2" t="inlineStr">
        <is>
          <t>ON, holiday bridge</t>
        </is>
      </c>
      <c r="B10" s="11" t="n"/>
      <c r="C10" s="12" t="n">
        <v>0.039444</v>
      </c>
      <c r="D10" s="4">
        <f>IF(ABS(B10-C10)&lt;0.000001,"OK","check")</f>
        <v/>
      </c>
      <c r="E10" s="10">
        <f>ACCRUE(DATE(2026,7,2),DATE(2026,7,6),100,"SIMPLE",$B$5)</f>
        <v/>
      </c>
    </row>
    <row r="11">
      <c r="A11" s="2" t="inlineStr">
        <is>
          <t>Period, simple</t>
        </is>
      </c>
      <c r="B11" s="11" t="n"/>
      <c r="C11" s="12" t="n">
        <v>0.85375</v>
      </c>
      <c r="D11" s="4">
        <f>IF(ABS(B11-C11)&lt;0.000001,"OK","check")</f>
        <v/>
      </c>
      <c r="E11" s="10">
        <f>ACCRUE(DATE(2026,7,1),DATE(2026,10,1),100,"SIMPLE",$B$5)</f>
        <v/>
      </c>
    </row>
    <row r="12">
      <c r="A12" s="2" t="inlineStr">
        <is>
          <t>Period, compounding</t>
        </is>
      </c>
      <c r="B12" s="11" t="n"/>
      <c r="C12" s="12" t="n">
        <v>0.857325</v>
      </c>
      <c r="D12" s="4">
        <f>IF(ABS(B12-C12)&lt;0.000001,"OK","check")</f>
        <v/>
      </c>
      <c r="E12" s="10">
        <f>ACCRUE(DATE(2026,7,1),DATE(2026,10,1),100,"COMPOUND",$B$5)</f>
        <v/>
      </c>
    </row>
    <row r="14">
      <c r="A14" s="4" t="inlineStr">
        <is>
          <t>3 · SWAP — $375mm @3.15%, July, receive-fixed</t>
        </is>
      </c>
    </row>
    <row r="15">
      <c r="A15" s="2" t="inlineStr">
        <is>
          <t>FIXED leg</t>
        </is>
      </c>
      <c r="B15" s="11" t="n"/>
      <c r="C15" s="12" t="n">
        <v>1.017187</v>
      </c>
      <c r="D15" s="4">
        <f>IF(ABS(B15-C15)&lt;0.000001,"OK","check")</f>
        <v/>
      </c>
      <c r="E15" s="10">
        <f>SWAP(DATE(2026,7,1),DATE(2026,8,1),375,3.15,$B$5,"FIXED")</f>
        <v/>
      </c>
    </row>
    <row r="16">
      <c r="A16" s="2" t="inlineStr">
        <is>
          <t>FLOAT leg</t>
        </is>
      </c>
      <c r="B16" s="11" t="n"/>
      <c r="C16" s="12" t="n">
        <v>1.142773</v>
      </c>
      <c r="D16" s="4">
        <f>IF(ABS(B16-C16)&lt;0.000001,"OK","check")</f>
        <v/>
      </c>
      <c r="E16" s="10">
        <f>SWAP(DATE(2026,7,1),DATE(2026,8,1),375,3.15,$B$5,"FLOAT")</f>
        <v/>
      </c>
    </row>
    <row r="17">
      <c r="A17" s="2" t="inlineStr">
        <is>
          <t>NET (fixed-float)</t>
        </is>
      </c>
      <c r="B17" s="11" t="n"/>
      <c r="C17" s="12" t="n">
        <v>-0.125585</v>
      </c>
      <c r="D17" s="4">
        <f>IF(ABS(B17-C17)&lt;0.000001,"OK","check")</f>
        <v/>
      </c>
      <c r="E17" s="10">
        <f>SWAP(DATE(2026,7,1),DATE(2026,8,1),375,3.15,$B$5,"NET")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2026-06-15T17:30:59Z</dcterms:created>
  <dcterms:modified xmlns:dcterms="http://purl.org/dc/terms/" xmlns:xsi="http://www.w3.org/2001/XMLSchema-instance" xsi:type="dcterms:W3CDTF">2026-06-15T17:30:59Z</dcterms:modified>
</cp:coreProperties>
</file>