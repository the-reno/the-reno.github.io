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MOD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0;-0;&quot;-&quot;"/>
    <numFmt numFmtId="167" formatCode="0.000000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sz val="10"/>
    </font>
    <font>
      <name val="Arial"/>
      <b val="1"/>
      <color rgb="001F3864"/>
      <sz val="12"/>
    </font>
    <font>
      <name val="Arial"/>
      <b val="1"/>
      <sz val="10"/>
    </font>
    <font>
      <name val="Arial"/>
      <color rgb="000000FF"/>
    </font>
    <font>
      <name val="Consolas"/>
      <color rgb="007F4F00"/>
      <sz val="9"/>
    </font>
    <font>
      <name val="Arial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5" fontId="5" fillId="0" borderId="1" pivotButton="0" quotePrefix="0" xfId="0"/>
    <xf numFmtId="0" fontId="5" fillId="0" borderId="1" pivotButton="0" quotePrefix="0" xfId="0"/>
    <xf numFmtId="166" fontId="5" fillId="0" borderId="1" pivotButton="0" quotePrefix="0" xfId="0"/>
    <xf numFmtId="2" fontId="5" fillId="0" borderId="1" pivotButton="0" quotePrefix="0" xfId="0"/>
    <xf numFmtId="0" fontId="2" fillId="2" borderId="1" pivotButton="0" quotePrefix="0" xfId="0"/>
    <xf numFmtId="0" fontId="6" fillId="0" borderId="0" pivotButton="0" quotePrefix="0" xfId="0"/>
    <xf numFmtId="167" fontId="2" fillId="2" borderId="1" pivotButton="0" quotePrefix="0" xfId="0"/>
    <xf numFmtId="167" fontId="2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Holidays" displayName="tblHolidays" ref="A4:B10" headerRowCount="1">
  <autoFilter ref="A4:B10"/>
  <tableColumns count="2">
    <tableColumn id="1" name="Date"/>
    <tableColumn id="2" name="Name"/>
  </tableColumns>
  <tableStyleInfo name="TableStyleLight15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showGridLines="0"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1" t="inlineStr">
        <is>
          <t>NII ENGINE — SIMPLE EXAMPLE</t>
        </is>
      </c>
    </row>
    <row r="2">
      <c r="A2" s="2" t="inlineStr"/>
    </row>
    <row r="3">
      <c r="A3" s="2" t="inlineStr">
        <is>
          <t>Minimal workbook to test the engine: build a calendar and a curve, then</t>
        </is>
      </c>
    </row>
    <row r="4">
      <c r="A4" s="2" t="inlineStr">
        <is>
          <t>accrue interest and price a swap month. No formulas ship; you add the VBA,</t>
        </is>
      </c>
    </row>
    <row r="5">
      <c r="A5" s="2" t="inlineStr">
        <is>
          <t>then paste the formulas from column E of the MODEL sheet.</t>
        </is>
      </c>
    </row>
    <row r="6">
      <c r="A6" s="2" t="inlineStr"/>
    </row>
    <row r="7">
      <c r="A7" s="2" t="inlineStr">
        <is>
          <t>SETUP</t>
        </is>
      </c>
    </row>
    <row r="8">
      <c r="A8" s="2" t="inlineStr">
        <is>
          <t>1. Open NII_ENGINE_ALL_VBA.txt (6 modules, banner-separated).</t>
        </is>
      </c>
    </row>
    <row r="9">
      <c r="A9" s="2" t="inlineStr">
        <is>
          <t>2. Alt+F11. Per module: Insert &gt; Module (CLASS Module for cCalendar &amp;</t>
        </is>
      </c>
    </row>
    <row r="10">
      <c r="A10" s="2" t="inlineStr">
        <is>
          <t xml:space="preserve">   cStripCurve), rename, paste body, skip the 'Attribute VB_Name' line.</t>
        </is>
      </c>
    </row>
    <row r="11">
      <c r="A11" s="2" t="inlineStr">
        <is>
          <t>3. Save as .xlsm. Press Ctrl+Alt+F9.</t>
        </is>
      </c>
    </row>
    <row r="12">
      <c r="A12" s="2" t="inlineStr">
        <is>
          <t>4. MODEL: paste each column-E formula into the yellow cell on its left</t>
        </is>
      </c>
    </row>
    <row r="13">
      <c r="A13" s="2" t="inlineStr">
        <is>
          <t xml:space="preserve">   (B4 calendar, B5 curve first).</t>
        </is>
      </c>
    </row>
    <row r="14">
      <c r="A14" s="2" t="inlineStr">
        <is>
          <t>5. Results should match the Expected column.</t>
        </is>
      </c>
    </row>
    <row r="15">
      <c r="A15" s="2" t="inlineStr">
        <is>
          <t>6. Alt+F8 &gt; TestAll -&gt; TESTS sheet, expect MODEL STATUS: OK.</t>
        </is>
      </c>
    </row>
    <row r="16">
      <c r="A16" s="2" t="inlineStr"/>
    </row>
    <row r="17">
      <c r="A17" s="2" t="inlineStr">
        <is>
          <t>RULE: handles flow cell-to-cell (B4, B5) — never type the handle as text.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4" customWidth="1" min="4" max="4"/>
    <col width="11" customWidth="1" min="5" max="5"/>
  </cols>
  <sheetData>
    <row r="1">
      <c r="A1" s="3" t="inlineStr">
        <is>
          <t>INPUTS — objects rebuild from here on recalc</t>
        </is>
      </c>
    </row>
    <row r="3">
      <c r="A3" s="4" t="inlineStr">
        <is>
          <t>HOLIDAYS (Excel Table — add rows freely)</t>
        </is>
      </c>
      <c r="D3" s="4" t="inlineStr">
        <is>
          <t>SCENARIO 'cuts' — FOMC moves</t>
        </is>
      </c>
    </row>
    <row r="4">
      <c r="A4" s="4" t="inlineStr">
        <is>
          <t>Date</t>
        </is>
      </c>
      <c r="B4" s="4" t="inlineStr">
        <is>
          <t>Name</t>
        </is>
      </c>
      <c r="D4" s="4" t="inlineStr">
        <is>
          <t>Decision</t>
        </is>
      </c>
      <c r="E4" s="4" t="inlineStr">
        <is>
          <t>Move bps</t>
        </is>
      </c>
    </row>
    <row r="5">
      <c r="A5" s="5" t="n">
        <v>46023</v>
      </c>
      <c r="B5" s="6" t="inlineStr">
        <is>
          <t>New Year</t>
        </is>
      </c>
      <c r="D5" s="5" t="n">
        <v>46190</v>
      </c>
      <c r="E5" s="7" t="n">
        <v>-25</v>
      </c>
    </row>
    <row r="6">
      <c r="A6" s="5" t="n">
        <v>46041</v>
      </c>
      <c r="B6" s="6" t="inlineStr">
        <is>
          <t>MLK Day</t>
        </is>
      </c>
      <c r="D6" s="5" t="n">
        <v>46232</v>
      </c>
      <c r="E6" s="7" t="n">
        <v>-25</v>
      </c>
    </row>
    <row r="7">
      <c r="A7" s="5" t="n">
        <v>46206</v>
      </c>
      <c r="B7" s="6" t="inlineStr">
        <is>
          <t>Independence (obs)</t>
        </is>
      </c>
      <c r="D7" s="5" t="n">
        <v>46281</v>
      </c>
      <c r="E7" s="7" t="n">
        <v>-25</v>
      </c>
    </row>
    <row r="8">
      <c r="A8" s="5" t="n">
        <v>46272</v>
      </c>
      <c r="B8" s="6" t="inlineStr">
        <is>
          <t>Labor Day</t>
        </is>
      </c>
      <c r="D8" s="5" t="n">
        <v>46323</v>
      </c>
      <c r="E8" s="7" t="n">
        <v>0</v>
      </c>
    </row>
    <row r="9">
      <c r="A9" s="5" t="n">
        <v>46352</v>
      </c>
      <c r="B9" s="6" t="inlineStr">
        <is>
          <t>Thanksgiving</t>
        </is>
      </c>
    </row>
    <row r="10">
      <c r="A10" s="5" t="n">
        <v>46381</v>
      </c>
      <c r="B10" s="6" t="inlineStr">
        <is>
          <t>Christmas</t>
        </is>
      </c>
      <c r="D10" s="4" t="inlineStr">
        <is>
          <t>Initial SOFR (%)</t>
        </is>
      </c>
      <c r="E10" s="8" t="n">
        <v>3.8</v>
      </c>
    </row>
    <row r="11">
      <c r="D11" s="4" t="inlineStr">
        <is>
          <t>Scale ×</t>
        </is>
      </c>
      <c r="E11" s="8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8" customWidth="1" min="3" max="3"/>
    <col width="13" customWidth="1" min="4" max="4"/>
    <col width="78" customWidth="1" min="5" max="5"/>
  </cols>
  <sheetData>
    <row r="1">
      <c r="A1" s="3" t="inlineStr">
        <is>
          <t>MODEL — paste each column-E formula into the yellow cell</t>
        </is>
      </c>
    </row>
    <row r="3">
      <c r="A3" s="4" t="inlineStr">
        <is>
          <t>1 · OBJECTS</t>
        </is>
      </c>
      <c r="E3" s="4" t="inlineStr">
        <is>
          <t>FORMULA TO PASTE</t>
        </is>
      </c>
    </row>
    <row r="4">
      <c r="A4" s="2" t="inlineStr">
        <is>
          <t>Calendar handle</t>
        </is>
      </c>
      <c r="B4" s="9" t="n"/>
      <c r="E4" s="10">
        <f>FED_HOL(tblHolidays[Date])</f>
        <v/>
      </c>
    </row>
    <row r="5">
      <c r="A5" s="2" t="inlineStr">
        <is>
          <t>Curve handle</t>
        </is>
      </c>
      <c r="B5" s="9" t="n"/>
      <c r="E5" s="10">
        <f>MAKE_CURVE("cuts",INPUTS!E10,INPUTS!D5:D8,INPUTS!E5:E8,INPUTS!E11,$B$4)</f>
        <v/>
      </c>
    </row>
    <row r="7">
      <c r="A7" s="4" t="inlineStr">
        <is>
          <t>2 · ACCRUALS</t>
        </is>
      </c>
      <c r="C7" s="4" t="inlineStr">
        <is>
          <t>Result</t>
        </is>
      </c>
      <c r="D7" s="4" t="inlineStr">
        <is>
          <t>Expected</t>
        </is>
      </c>
      <c r="E7" s="4" t="inlineStr">
        <is>
          <t>FORMULA TO PASTE</t>
        </is>
      </c>
    </row>
    <row r="8">
      <c r="A8" s="2" t="inlineStr">
        <is>
          <t>ON, normal (15-Jul)</t>
        </is>
      </c>
      <c r="B8" s="11" t="n"/>
      <c r="C8" s="4">
        <f>IF(ABS(B8-D8)&lt;0.000001,"OK","≠")</f>
        <v/>
      </c>
      <c r="D8" s="12" t="n">
        <v>0.009861</v>
      </c>
      <c r="E8" s="10">
        <f>ACCRUE(DATE(2026,7,15),DATE(2026,7,16),100,"SIMPLE",$B$5,"I")</f>
        <v/>
      </c>
    </row>
    <row r="9">
      <c r="A9" s="2" t="inlineStr">
        <is>
          <t>ON, weekend (17-Jul)</t>
        </is>
      </c>
      <c r="B9" s="11" t="n"/>
      <c r="C9" s="4">
        <f>IF(ABS(B9-D9)&lt;0.000001,"OK","≠")</f>
        <v/>
      </c>
      <c r="D9" s="12" t="n">
        <v>0.029583</v>
      </c>
      <c r="E9" s="10">
        <f>ACCRUE(DATE(2026,7,17),DATE(2026,7,20),100,"SIMPLE",$B$5,"I")</f>
        <v/>
      </c>
    </row>
    <row r="10">
      <c r="A10" s="2" t="inlineStr">
        <is>
          <t>ON, holiday bridge (02-Jul)</t>
        </is>
      </c>
      <c r="B10" s="11" t="n"/>
      <c r="C10" s="4">
        <f>IF(ABS(B10-D10)&lt;0.000001,"OK","≠")</f>
        <v/>
      </c>
      <c r="D10" s="12" t="n">
        <v>0.039444</v>
      </c>
      <c r="E10" s="10">
        <f>ACCRUE(DATE(2026,7,2),DATE(2026,7,6),100,"SIMPLE",$B$5,"I")</f>
        <v/>
      </c>
    </row>
    <row r="11">
      <c r="A11" s="2" t="inlineStr">
        <is>
          <t>Period simple (Jul-Oct)</t>
        </is>
      </c>
      <c r="B11" s="11" t="n"/>
      <c r="C11" s="4">
        <f>IF(ABS(B11-D11)&lt;0.000001,"OK","≠")</f>
        <v/>
      </c>
      <c r="D11" s="12" t="n">
        <v>0.85375</v>
      </c>
      <c r="E11" s="10">
        <f>ACCRUE(DATE(2026,7,1),DATE(2026,10,1),100,"SIMPLE",$B$5,"I")</f>
        <v/>
      </c>
    </row>
    <row r="12">
      <c r="A12" s="2" t="inlineStr">
        <is>
          <t>Period compound (Jul-Oct)</t>
        </is>
      </c>
      <c r="B12" s="11" t="n"/>
      <c r="C12" s="4">
        <f>IF(ABS(B12-D12)&lt;0.000001,"OK","≠")</f>
        <v/>
      </c>
      <c r="D12" s="12" t="n">
        <v>0.857325</v>
      </c>
      <c r="E12" s="10">
        <f>ACCRUE(DATE(2026,7,1),DATE(2026,10,1),100,"COMPOUND",$B$5,"I")</f>
        <v/>
      </c>
    </row>
    <row r="13">
      <c r="A13" s="2" t="inlineStr">
        <is>
          <t>Compound + principal</t>
        </is>
      </c>
      <c r="B13" s="11" t="n"/>
      <c r="C13" s="4">
        <f>IF(ABS(B13-D13)&lt;0.000001,"OK","≠")</f>
        <v/>
      </c>
      <c r="D13" s="12" t="n">
        <v>100.857325</v>
      </c>
      <c r="E13" s="10">
        <f>ACCRUE(DATE(2026,7,1),DATE(2026,10,1),100,"COMPOUND",$B$5,"PI")</f>
        <v/>
      </c>
    </row>
    <row r="15">
      <c r="A15" s="4" t="inlineStr">
        <is>
          <t>3 · SWAP MONTH ($375mm @3.15%, Jul, RCV) — three legs</t>
        </is>
      </c>
    </row>
    <row r="16">
      <c r="A16" s="2" t="inlineStr">
        <is>
          <t>FIXED leg</t>
        </is>
      </c>
      <c r="B16" s="11" t="n"/>
      <c r="C16" s="4">
        <f>IF(ABS(B16-D16)&lt;0.000001,"OK","≠")</f>
        <v/>
      </c>
      <c r="D16" s="12" t="n">
        <v>1.017187</v>
      </c>
      <c r="E16" s="10">
        <f>SWAP_NET(DATE(2026,7,1),DATE(2026,8,1),375,3.15,$B$5,"RCV","FIXED")</f>
        <v/>
      </c>
    </row>
    <row r="17">
      <c r="A17" s="2" t="inlineStr">
        <is>
          <t>FLOAT leg</t>
        </is>
      </c>
      <c r="B17" s="11" t="n"/>
      <c r="C17" s="4">
        <f>IF(ABS(B17-D17)&lt;0.000001,"OK","≠")</f>
        <v/>
      </c>
      <c r="D17" s="12" t="n">
        <v>1.142773</v>
      </c>
      <c r="E17" s="10">
        <f>SWAP_NET(DATE(2026,7,1),DATE(2026,8,1),375,3.15,$B$5,"RCV","FLOAT")</f>
        <v/>
      </c>
    </row>
    <row r="18">
      <c r="A18" s="2" t="inlineStr">
        <is>
          <t>NET</t>
        </is>
      </c>
      <c r="B18" s="11" t="n"/>
      <c r="C18" s="4">
        <f>IF(ABS(B18-D18)&lt;0.000001,"OK","≠")</f>
        <v/>
      </c>
      <c r="D18" s="12" t="n">
        <v>-0.125585</v>
      </c>
      <c r="E18" s="10">
        <f>SWAP_NET(DATE(2026,7,1),DATE(2026,8,1),375,3.15,$B$5,"RCV","NET")</f>
        <v/>
      </c>
    </row>
    <row r="20">
      <c r="A20" s="13" t="inlineStr">
        <is>
          <t>NET = FIXED − FLOAT (RCV).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2026-06-15T16:51:34Z</dcterms:created>
  <dcterms:modified xmlns:dcterms="http://purl.org/dc/terms/" xmlns:xsi="http://www.w3.org/2001/XMLSchema-instance" xsi:type="dcterms:W3CDTF">2026-06-15T16:51:34Z</dcterms:modified>
</cp:coreProperties>
</file>