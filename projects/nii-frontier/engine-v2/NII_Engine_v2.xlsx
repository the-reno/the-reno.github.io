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;-0;&quot;-&quot;"/>
    <numFmt numFmtId="167" formatCode="0.00000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sz val="10"/>
    </font>
    <font>
      <name val="Consolas"/>
      <color rgb="007F4F00"/>
      <sz val="9"/>
    </font>
    <font>
      <name val="Arial"/>
      <b val="1"/>
      <color rgb="001F3864"/>
      <sz val="12"/>
    </font>
    <font>
      <name val="Arial"/>
      <b val="1"/>
      <sz val="10"/>
    </font>
    <font>
      <name val="Arial"/>
      <color rgb="000000FF"/>
    </font>
    <font>
      <name val="Arial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6" fillId="0" borderId="1" pivotButton="0" quotePrefix="0" xfId="0"/>
    <xf numFmtId="0" fontId="6" fillId="0" borderId="1" pivotButton="0" quotePrefix="0" xfId="0"/>
    <xf numFmtId="166" fontId="6" fillId="0" borderId="1" pivotButton="0" quotePrefix="0" xfId="0"/>
    <xf numFmtId="0" fontId="7" fillId="0" borderId="0" pivotButton="0" quotePrefix="0" xfId="0"/>
    <xf numFmtId="0" fontId="2" fillId="2" borderId="1" pivotButton="0" quotePrefix="0" xfId="0"/>
    <xf numFmtId="167" fontId="2" fillId="2" borderId="1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NII ENGINE v2 — object layer</t>
        </is>
      </c>
    </row>
    <row r="2">
      <c r="A2" s="2" t="inlineStr"/>
    </row>
    <row r="3">
      <c r="A3" s="2" t="inlineStr">
        <is>
          <t>Six functions:</t>
        </is>
      </c>
    </row>
    <row r="4">
      <c r="A4" s="3" t="inlineStr">
        <is>
          <t xml:space="preserve">  HolidayTable(name, range)         build a named holiday set</t>
        </is>
      </c>
    </row>
    <row r="5">
      <c r="A5" s="3" t="inlineStr">
        <is>
          <t xml:space="preserve">  FedScenario(name, range)          build a named FOMC move list</t>
        </is>
      </c>
    </row>
    <row r="6">
      <c r="A6" s="3" t="inlineStr">
        <is>
          <t xml:space="preserve">  RatesCurve(name,start,end,sofr,scenCell,holCell)   assemble the curve</t>
        </is>
      </c>
    </row>
    <row r="7">
      <c r="A7" s="3" t="inlineStr">
        <is>
          <t xml:space="preserve">  GET(handleCell)                   spill an object's whole dataset</t>
        </is>
      </c>
    </row>
    <row r="8">
      <c r="A8" s="3" t="inlineStr">
        <is>
          <t xml:space="preserve">  ACCRUE(start,end,amount,type,curveCell)            interest $mm</t>
        </is>
      </c>
    </row>
    <row r="9">
      <c r="A9" s="3" t="inlineStr">
        <is>
          <t xml:space="preserve">  SWAP(start,end,notional,fixed,curveCell,leg)       FIXED|FLOAT|NET</t>
        </is>
      </c>
    </row>
    <row r="10">
      <c r="A10" s="2" t="inlineStr"/>
    </row>
    <row r="11">
      <c r="A11" s="2" t="inlineStr">
        <is>
          <t>SETUP</t>
        </is>
      </c>
    </row>
    <row r="12">
      <c r="A12" s="2" t="inlineStr">
        <is>
          <t>1. Alt+F11. Import the 6 files from the bas folder:</t>
        </is>
      </c>
    </row>
    <row r="13">
      <c r="A13" s="3" t="inlineStr">
        <is>
          <t xml:space="preserve">   File &gt; Import File...  (mRegistry, cHolidayTable, cFedScenario,</t>
        </is>
      </c>
    </row>
    <row r="14">
      <c r="A14" s="3" t="inlineStr">
        <is>
          <t xml:space="preserve">   cRatesCurve, mEngine — classes import as class modules automatically).</t>
        </is>
      </c>
    </row>
    <row r="15">
      <c r="A15" s="2" t="inlineStr">
        <is>
          <t>2. Save as .xlsm. Press Ctrl+Alt+F9.</t>
        </is>
      </c>
    </row>
    <row r="16">
      <c r="A16" s="2" t="inlineStr">
        <is>
          <t>3. MODEL sheet: paste each column-E formula into the yellow cell.</t>
        </is>
      </c>
    </row>
    <row r="17">
      <c r="A17" s="3" t="inlineStr">
        <is>
          <t xml:space="preserve">   Order matters: B4 holidays, B5 scenario, B6 curve, THEN the rest.</t>
        </is>
      </c>
    </row>
    <row r="18">
      <c r="A18" s="2" t="inlineStr">
        <is>
          <t>4. Results should match the Expected column; GET cells spill a table.</t>
        </is>
      </c>
    </row>
    <row r="19">
      <c r="A19" s="2" t="inlineStr"/>
    </row>
    <row r="20">
      <c r="A20" s="2" t="inlineStr">
        <is>
          <t>RULE: every handle is passed as a CELL ($B$6), never as typed text,</t>
        </is>
      </c>
    </row>
    <row r="21">
      <c r="A21" s="2" t="inlineStr">
        <is>
          <t>so editing an input cascades through the whole chain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4" max="4"/>
    <col width="10" customWidth="1" min="5" max="5"/>
  </cols>
  <sheetData>
    <row r="1">
      <c r="A1" s="4" t="inlineStr">
        <is>
          <t>INPUTS</t>
        </is>
      </c>
    </row>
    <row r="3">
      <c r="A3" s="5" t="inlineStr">
        <is>
          <t>Holidays (date | name)</t>
        </is>
      </c>
      <c r="D3" s="5" t="inlineStr">
        <is>
          <t>FOMC moves (date | bps)</t>
        </is>
      </c>
    </row>
    <row r="4">
      <c r="A4" s="6" t="n">
        <v>46023</v>
      </c>
      <c r="B4" s="7" t="inlineStr">
        <is>
          <t>New Year</t>
        </is>
      </c>
      <c r="D4" s="6" t="n">
        <v>46190</v>
      </c>
      <c r="E4" s="8" t="n">
        <v>-25</v>
      </c>
    </row>
    <row r="5">
      <c r="A5" s="6" t="n">
        <v>46041</v>
      </c>
      <c r="B5" s="7" t="inlineStr">
        <is>
          <t>MLK Day</t>
        </is>
      </c>
      <c r="D5" s="6" t="n">
        <v>46232</v>
      </c>
      <c r="E5" s="8" t="n">
        <v>-25</v>
      </c>
    </row>
    <row r="6">
      <c r="A6" s="6" t="n">
        <v>46206</v>
      </c>
      <c r="B6" s="7" t="inlineStr">
        <is>
          <t>Independence (obs)</t>
        </is>
      </c>
      <c r="D6" s="6" t="n">
        <v>46281</v>
      </c>
      <c r="E6" s="8" t="n">
        <v>-25</v>
      </c>
    </row>
    <row r="7">
      <c r="A7" s="6" t="n">
        <v>46272</v>
      </c>
      <c r="B7" s="7" t="inlineStr">
        <is>
          <t>Labor Day</t>
        </is>
      </c>
      <c r="D7" s="6" t="n">
        <v>46323</v>
      </c>
      <c r="E7" s="8" t="n">
        <v>0</v>
      </c>
    </row>
    <row r="8">
      <c r="A8" s="6" t="n">
        <v>46352</v>
      </c>
      <c r="B8" s="7" t="inlineStr">
        <is>
          <t>Thanksgiving</t>
        </is>
      </c>
    </row>
    <row r="9">
      <c r="A9" s="6" t="n">
        <v>46381</v>
      </c>
      <c r="B9" s="7" t="inlineStr">
        <is>
          <t>Christmas</t>
        </is>
      </c>
    </row>
    <row r="11">
      <c r="A11" s="9" t="inlineStr">
        <is>
          <t>Holidays = A4:B9   ·   FOMC = D4:E7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8" customWidth="1" min="4" max="4"/>
    <col width="64" customWidth="1" min="5" max="5"/>
  </cols>
  <sheetData>
    <row r="1">
      <c r="A1" s="4" t="inlineStr">
        <is>
          <t>MODEL — paste each column-E formula into the yellow cell</t>
        </is>
      </c>
    </row>
    <row r="3">
      <c r="A3" s="5" t="inlineStr">
        <is>
          <t>1 · BUILD OBJECTS (in this order)</t>
        </is>
      </c>
      <c r="E3" s="5" t="inlineStr">
        <is>
          <t>PASTE THIS</t>
        </is>
      </c>
    </row>
    <row r="4">
      <c r="A4" s="2" t="inlineStr">
        <is>
          <t>Holidays</t>
        </is>
      </c>
      <c r="B4" s="10" t="n"/>
      <c r="E4" s="3">
        <f>HolidayTable("HOL_US",INPUTS!A4:B9)</f>
        <v/>
      </c>
    </row>
    <row r="5">
      <c r="A5" s="2" t="inlineStr">
        <is>
          <t>Scenario</t>
        </is>
      </c>
      <c r="B5" s="10" t="n"/>
      <c r="E5" s="3">
        <f>FedScenario("CUT",INPUTS!D4:E7)</f>
        <v/>
      </c>
    </row>
    <row r="6">
      <c r="A6" s="2" t="inlineStr">
        <is>
          <t>Curve</t>
        </is>
      </c>
      <c r="B6" s="10" t="n"/>
      <c r="E6" s="3">
        <f>RatesCurve("curve1",DATE(2026,6,15),DATE(2030,12,31),3.80,$B$5,$B$4)</f>
        <v/>
      </c>
    </row>
    <row r="8">
      <c r="A8" s="5" t="inlineStr">
        <is>
          <t>2 · ACCRUE</t>
        </is>
      </c>
      <c r="C8" s="5" t="inlineStr">
        <is>
          <t>Expected</t>
        </is>
      </c>
      <c r="D8" s="5" t="inlineStr">
        <is>
          <t>Check</t>
        </is>
      </c>
      <c r="E8" s="5" t="inlineStr">
        <is>
          <t>PASTE THIS</t>
        </is>
      </c>
    </row>
    <row r="9">
      <c r="A9" s="2" t="inlineStr">
        <is>
          <t>Period simple (Jul-Oct)</t>
        </is>
      </c>
      <c r="B9" s="11" t="n"/>
      <c r="C9" s="12" t="n">
        <v>0.85375</v>
      </c>
      <c r="D9" s="5">
        <f>IF(ABS(B9-C9)&lt;0.000001,"OK","check")</f>
        <v/>
      </c>
      <c r="E9" s="3">
        <f>ACCRUE(DATE(2026,7,1),DATE(2026,10,1),100,"SIMPLE",$B$6)</f>
        <v/>
      </c>
    </row>
    <row r="10">
      <c r="A10" s="2" t="inlineStr">
        <is>
          <t>Period compound (Jul-Oct)</t>
        </is>
      </c>
      <c r="B10" s="11" t="n"/>
      <c r="C10" s="12" t="n">
        <v>0.857325</v>
      </c>
      <c r="D10" s="5">
        <f>IF(ABS(B10-C10)&lt;0.000001,"OK","check")</f>
        <v/>
      </c>
      <c r="E10" s="3">
        <f>ACCRUE(DATE(2026,7,1),DATE(2026,10,1),100,"COMPOUND",$B$6)</f>
        <v/>
      </c>
    </row>
    <row r="12">
      <c r="A12" s="5" t="inlineStr">
        <is>
          <t>3 · SWAP — $375mm @3.15%, July, receive-fixed</t>
        </is>
      </c>
    </row>
    <row r="13">
      <c r="A13" s="2" t="inlineStr">
        <is>
          <t>FIXED leg</t>
        </is>
      </c>
      <c r="B13" s="11" t="n"/>
      <c r="C13" s="12" t="n">
        <v>1.017187</v>
      </c>
      <c r="D13" s="5">
        <f>IF(ABS(B13-C13)&lt;0.000001,"OK","check")</f>
        <v/>
      </c>
      <c r="E13" s="3">
        <f>SWAP(DATE(2026,7,1),DATE(2026,8,1),375,3.15,$B$6,"FIXED")</f>
        <v/>
      </c>
    </row>
    <row r="14">
      <c r="A14" s="2" t="inlineStr">
        <is>
          <t>FLOAT leg</t>
        </is>
      </c>
      <c r="B14" s="11" t="n"/>
      <c r="C14" s="12" t="n">
        <v>1.142773</v>
      </c>
      <c r="D14" s="5">
        <f>IF(ABS(B14-C14)&lt;0.000001,"OK","check")</f>
        <v/>
      </c>
      <c r="E14" s="3">
        <f>SWAP(DATE(2026,7,1),DATE(2026,8,1),375,3.15,$B$6,"FLOAT")</f>
        <v/>
      </c>
    </row>
    <row r="15">
      <c r="A15" s="2" t="inlineStr">
        <is>
          <t>NET</t>
        </is>
      </c>
      <c r="B15" s="11" t="n"/>
      <c r="C15" s="12" t="n">
        <v>-0.125585</v>
      </c>
      <c r="D15" s="5">
        <f>IF(ABS(B15-C15)&lt;0.000001,"OK","check")</f>
        <v/>
      </c>
      <c r="E15" s="3">
        <f>SWAP(DATE(2026,7,1),DATE(2026,8,1),375,3.15,$B$6,"NET")</f>
        <v/>
      </c>
    </row>
    <row r="17">
      <c r="A17" s="5" t="inlineStr">
        <is>
          <t>4 · INSPECT (GET spills the whole dataset)</t>
        </is>
      </c>
    </row>
    <row r="18">
      <c r="A18" s="2" t="inlineStr">
        <is>
          <t>Holidays</t>
        </is>
      </c>
      <c r="E18" s="3">
        <f>GET($B$4)</f>
        <v/>
      </c>
    </row>
    <row r="19">
      <c r="A19" s="2" t="inlineStr">
        <is>
          <t>Scenario</t>
        </is>
      </c>
      <c r="E19" s="3">
        <f>GET($B$5)</f>
        <v/>
      </c>
    </row>
    <row r="20">
      <c r="A20" s="2" t="inlineStr">
        <is>
          <t>Curve strip</t>
        </is>
      </c>
      <c r="E20" s="3">
        <f>GET($B$6)</f>
        <v/>
      </c>
    </row>
    <row r="22">
      <c r="A22" s="9" t="inlineStr">
        <is>
          <t>GET spills into the cells below/right of it — give it empty room.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2026-06-16T11:31:27Z</dcterms:created>
  <dcterms:modified xmlns:dcterms="http://purl.org/dc/terms/" xmlns:xsi="http://www.w3.org/2001/XMLSchema-instance" xsi:type="dcterms:W3CDTF">2026-06-16T11:31:27Z</dcterms:modified>
</cp:coreProperties>
</file>